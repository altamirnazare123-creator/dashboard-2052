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35.xml" ContentType="application/vnd.openxmlformats-officedocument.drawingml.chart+xml"/>
  <Override PartName="/xl/charts/chart1.xml" ContentType="application/vnd.openxmlformats-officedocument.drawingml.chart+xml"/>
  <Override PartName="/xl/charts/chart36.xml" ContentType="application/vnd.openxmlformats-officedocument.drawingml.chart+xml"/>
  <Override PartName="/xl/charts/chart2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39.xml" ContentType="application/vnd.openxmlformats-officedocument.drawingml.chart+xml"/>
  <Override PartName="/xl/charts/chart6.xml" ContentType="application/vnd.openxmlformats-officedocument.drawingml.chart+xml"/>
  <Override PartName="/xl/charts/chart50.xml" ContentType="application/vnd.openxmlformats-officedocument.drawingml.chart+xml"/>
  <Override PartName="/xl/charts/chart7.xml" ContentType="application/vnd.openxmlformats-officedocument.drawingml.chart+xml"/>
  <Override PartName="/xl/charts/chart51.xml" ContentType="application/vnd.openxmlformats-officedocument.drawingml.chart+xml"/>
  <Override PartName="/xl/charts/chart8.xml" ContentType="application/vnd.openxmlformats-officedocument.drawingml.chart+xml"/>
  <Override PartName="/xl/charts/chart52.xml" ContentType="application/vnd.openxmlformats-officedocument.drawingml.chart+xml"/>
  <Override PartName="/xl/charts/chart9.xml" ContentType="application/vnd.openxmlformats-officedocument.drawingml.chart+xml"/>
  <Override PartName="/xl/charts/chart53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_rels/chart62.xml.rels" ContentType="application/vnd.openxmlformats-package.relationships+xml"/>
  <Override PartName="/xl/charts/_rels/chart1.xml.rels" ContentType="application/vnd.openxmlformats-package.relationships+xml"/>
  <Override PartName="/xl/charts/_rels/chart35.xml.rels" ContentType="application/vnd.openxmlformats-package.relationships+xml"/>
  <Override PartName="/xl/charts/_rels/chart63.xml.rels" ContentType="application/vnd.openxmlformats-package.relationships+xml"/>
  <Override PartName="/xl/charts/_rels/chart2.xml.rels" ContentType="application/vnd.openxmlformats-package.relationships+xml"/>
  <Override PartName="/xl/charts/_rels/chart36.xml.rels" ContentType="application/vnd.openxmlformats-package.relationships+xml"/>
  <Override PartName="/xl/charts/_rels/chart64.xml.rels" ContentType="application/vnd.openxmlformats-package.relationships+xml"/>
  <Override PartName="/xl/charts/_rels/chart3.xml.rels" ContentType="application/vnd.openxmlformats-package.relationships+xml"/>
  <Override PartName="/xl/charts/_rels/chart37.xml.rels" ContentType="application/vnd.openxmlformats-package.relationships+xml"/>
  <Override PartName="/xl/charts/_rels/chart4.xml.rels" ContentType="application/vnd.openxmlformats-package.relationships+xml"/>
  <Override PartName="/xl/charts/_rels/chart38.xml.rels" ContentType="application/vnd.openxmlformats-package.relationships+xml"/>
  <Override PartName="/xl/charts/_rels/chart5.xml.rels" ContentType="application/vnd.openxmlformats-package.relationships+xml"/>
  <Override PartName="/xl/charts/_rels/chart39.xml.rels" ContentType="application/vnd.openxmlformats-package.relationships+xml"/>
  <Override PartName="/xl/charts/_rels/chart50.xml.rels" ContentType="application/vnd.openxmlformats-package.relationships+xml"/>
  <Override PartName="/xl/charts/_rels/chart6.xml.rels" ContentType="application/vnd.openxmlformats-package.relationships+xml"/>
  <Override PartName="/xl/charts/_rels/chart10.xml.rels" ContentType="application/vnd.openxmlformats-package.relationships+xml"/>
  <Override PartName="/xl/charts/_rels/chart51.xml.rels" ContentType="application/vnd.openxmlformats-package.relationships+xml"/>
  <Override PartName="/xl/charts/_rels/chart7.xml.rels" ContentType="application/vnd.openxmlformats-package.relationships+xml"/>
  <Override PartName="/xl/charts/_rels/chart11.xml.rels" ContentType="application/vnd.openxmlformats-package.relationships+xml"/>
  <Override PartName="/xl/charts/_rels/chart52.xml.rels" ContentType="application/vnd.openxmlformats-package.relationships+xml"/>
  <Override PartName="/xl/charts/_rels/chart8.xml.rels" ContentType="application/vnd.openxmlformats-package.relationships+xml"/>
  <Override PartName="/xl/charts/_rels/chart12.xml.rels" ContentType="application/vnd.openxmlformats-package.relationships+xml"/>
  <Override PartName="/xl/charts/_rels/chart53.xml.rels" ContentType="application/vnd.openxmlformats-package.relationships+xml"/>
  <Override PartName="/xl/charts/_rels/chart80.xml.rels" ContentType="application/vnd.openxmlformats-package.relationships+xml"/>
  <Override PartName="/xl/charts/_rels/chart9.xml.rels" ContentType="application/vnd.openxmlformats-package.relationships+xml"/>
  <Override PartName="/xl/charts/_rels/chart13.xml.rels" ContentType="application/vnd.openxmlformats-package.relationships+xml"/>
  <Override PartName="/xl/charts/_rels/chart14.xml.rels" ContentType="application/vnd.openxmlformats-package.relationships+xml"/>
  <Override PartName="/xl/charts/_rels/chart15.xml.rels" ContentType="application/vnd.openxmlformats-package.relationships+xml"/>
  <Override PartName="/xl/charts/_rels/chart16.xml.rels" ContentType="application/vnd.openxmlformats-package.relationships+xml"/>
  <Override PartName="/xl/charts/_rels/chart17.xml.rels" ContentType="application/vnd.openxmlformats-package.relationships+xml"/>
  <Override PartName="/xl/charts/_rels/chart18.xml.rels" ContentType="application/vnd.openxmlformats-package.relationships+xml"/>
  <Override PartName="/xl/charts/_rels/chart19.xml.rels" ContentType="application/vnd.openxmlformats-package.relationships+xml"/>
  <Override PartName="/xl/charts/_rels/chart20.xml.rels" ContentType="application/vnd.openxmlformats-package.relationships+xml"/>
  <Override PartName="/xl/charts/_rels/chart21.xml.rels" ContentType="application/vnd.openxmlformats-package.relationships+xml"/>
  <Override PartName="/xl/charts/_rels/chart22.xml.rels" ContentType="application/vnd.openxmlformats-package.relationships+xml"/>
  <Override PartName="/xl/charts/_rels/chart23.xml.rels" ContentType="application/vnd.openxmlformats-package.relationships+xml"/>
  <Override PartName="/xl/charts/_rels/chart24.xml.rels" ContentType="application/vnd.openxmlformats-package.relationships+xml"/>
  <Override PartName="/xl/charts/_rels/chart25.xml.rels" ContentType="application/vnd.openxmlformats-package.relationships+xml"/>
  <Override PartName="/xl/charts/_rels/chart26.xml.rels" ContentType="application/vnd.openxmlformats-package.relationships+xml"/>
  <Override PartName="/xl/charts/_rels/chart27.xml.rels" ContentType="application/vnd.openxmlformats-package.relationships+xml"/>
  <Override PartName="/xl/charts/_rels/chart28.xml.rels" ContentType="application/vnd.openxmlformats-package.relationships+xml"/>
  <Override PartName="/xl/charts/_rels/chart29.xml.rels" ContentType="application/vnd.openxmlformats-package.relationships+xml"/>
  <Override PartName="/xl/charts/_rels/chart30.xml.rels" ContentType="application/vnd.openxmlformats-package.relationships+xml"/>
  <Override PartName="/xl/charts/_rels/chart31.xml.rels" ContentType="application/vnd.openxmlformats-package.relationships+xml"/>
  <Override PartName="/xl/charts/_rels/chart32.xml.rels" ContentType="application/vnd.openxmlformats-package.relationships+xml"/>
  <Override PartName="/xl/charts/_rels/chart33.xml.rels" ContentType="application/vnd.openxmlformats-package.relationships+xml"/>
  <Override PartName="/xl/charts/_rels/chart34.xml.rels" ContentType="application/vnd.openxmlformats-package.relationships+xml"/>
  <Override PartName="/xl/charts/_rels/chart40.xml.rels" ContentType="application/vnd.openxmlformats-package.relationships+xml"/>
  <Override PartName="/xl/charts/_rels/chart41.xml.rels" ContentType="application/vnd.openxmlformats-package.relationships+xml"/>
  <Override PartName="/xl/charts/_rels/chart42.xml.rels" ContentType="application/vnd.openxmlformats-package.relationships+xml"/>
  <Override PartName="/xl/charts/_rels/chart43.xml.rels" ContentType="application/vnd.openxmlformats-package.relationships+xml"/>
  <Override PartName="/xl/charts/_rels/chart44.xml.rels" ContentType="application/vnd.openxmlformats-package.relationships+xml"/>
  <Override PartName="/xl/charts/_rels/chart45.xml.rels" ContentType="application/vnd.openxmlformats-package.relationships+xml"/>
  <Override PartName="/xl/charts/_rels/chart46.xml.rels" ContentType="application/vnd.openxmlformats-package.relationships+xml"/>
  <Override PartName="/xl/charts/_rels/chart47.xml.rels" ContentType="application/vnd.openxmlformats-package.relationships+xml"/>
  <Override PartName="/xl/charts/_rels/chart48.xml.rels" ContentType="application/vnd.openxmlformats-package.relationships+xml"/>
  <Override PartName="/xl/charts/_rels/chart49.xml.rels" ContentType="application/vnd.openxmlformats-package.relationships+xml"/>
  <Override PartName="/xl/charts/_rels/chart54.xml.rels" ContentType="application/vnd.openxmlformats-package.relationships+xml"/>
  <Override PartName="/xl/charts/_rels/chart55.xml.rels" ContentType="application/vnd.openxmlformats-package.relationships+xml"/>
  <Override PartName="/xl/charts/_rels/chart56.xml.rels" ContentType="application/vnd.openxmlformats-package.relationships+xml"/>
  <Override PartName="/xl/charts/_rels/chart57.xml.rels" ContentType="application/vnd.openxmlformats-package.relationships+xml"/>
  <Override PartName="/xl/charts/_rels/chart58.xml.rels" ContentType="application/vnd.openxmlformats-package.relationships+xml"/>
  <Override PartName="/xl/charts/_rels/chart59.xml.rels" ContentType="application/vnd.openxmlformats-package.relationships+xml"/>
  <Override PartName="/xl/charts/_rels/chart60.xml.rels" ContentType="application/vnd.openxmlformats-package.relationships+xml"/>
  <Override PartName="/xl/charts/_rels/chart61.xml.rels" ContentType="application/vnd.openxmlformats-package.relationships+xml"/>
  <Override PartName="/xl/charts/_rels/chart65.xml.rels" ContentType="application/vnd.openxmlformats-package.relationships+xml"/>
  <Override PartName="/xl/charts/_rels/chart66.xml.rels" ContentType="application/vnd.openxmlformats-package.relationships+xml"/>
  <Override PartName="/xl/charts/_rels/chart67.xml.rels" ContentType="application/vnd.openxmlformats-package.relationships+xml"/>
  <Override PartName="/xl/charts/_rels/chart68.xml.rels" ContentType="application/vnd.openxmlformats-package.relationships+xml"/>
  <Override PartName="/xl/charts/_rels/chart69.xml.rels" ContentType="application/vnd.openxmlformats-package.relationships+xml"/>
  <Override PartName="/xl/charts/_rels/chart70.xml.rels" ContentType="application/vnd.openxmlformats-package.relationships+xml"/>
  <Override PartName="/xl/charts/_rels/chart71.xml.rels" ContentType="application/vnd.openxmlformats-package.relationships+xml"/>
  <Override PartName="/xl/charts/_rels/chart72.xml.rels" ContentType="application/vnd.openxmlformats-package.relationships+xml"/>
  <Override PartName="/xl/charts/_rels/chart73.xml.rels" ContentType="application/vnd.openxmlformats-package.relationships+xml"/>
  <Override PartName="/xl/charts/_rels/chart74.xml.rels" ContentType="application/vnd.openxmlformats-package.relationships+xml"/>
  <Override PartName="/xl/charts/_rels/chart75.xml.rels" ContentType="application/vnd.openxmlformats-package.relationships+xml"/>
  <Override PartName="/xl/charts/_rels/chart76.xml.rels" ContentType="application/vnd.openxmlformats-package.relationships+xml"/>
  <Override PartName="/xl/charts/_rels/chart77.xml.rels" ContentType="application/vnd.openxmlformats-package.relationships+xml"/>
  <Override PartName="/xl/charts/_rels/chart78.xml.rels" ContentType="application/vnd.openxmlformats-package.relationships+xml"/>
  <Override PartName="/xl/charts/_rels/chart79.xml.rels" ContentType="application/vnd.openxmlformats-package.relationships+xml"/>
  <Override PartName="/xl/charts/_rels/chart81.xml.rels" ContentType="application/vnd.openxmlformats-package.relationships+xml"/>
  <Override PartName="/xl/charts/_rels/chart82.xml.rels" ContentType="application/vnd.openxmlformats-package.relationships+xml"/>
  <Override PartName="/xl/charts/_rels/chart83.xml.rels" ContentType="application/vnd.openxmlformats-package.relationships+xml"/>
  <Override PartName="/xl/charts/_rels/chart84.xml.rels" ContentType="application/vnd.openxmlformats-package.relationships+xml"/>
  <Override PartName="/xl/charts/_rels/chart85.xml.rels" ContentType="application/vnd.openxmlformats-package.relationships+xml"/>
  <Override PartName="/xl/charts/_rels/chart86.xml.rels" ContentType="application/vnd.openxmlformats-package.relationships+xml"/>
  <Override PartName="/xl/charts/_rels/chart87.xml.rels" ContentType="application/vnd.openxmlformats-package.relationships+xml"/>
  <Override PartName="/xl/charts/_rels/chart88.xml.rels" ContentType="application/vnd.openxmlformats-package.relationships+xml"/>
  <Override PartName="/xl/charts/_rels/chart89.xml.rels" ContentType="application/vnd.openxmlformats-package.relationships+xml"/>
  <Override PartName="/xl/charts/_rels/chart90.xml.rels" ContentType="application/vnd.openxmlformats-package.relationships+xml"/>
  <Override PartName="/xl/charts/_rels/chart91.xml.rels" ContentType="application/vnd.openxmlformats-package.relationship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53.xml" ContentType="application/vnd.openxmlformats-officedocument.drawingml.chartshap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55.xml" ContentType="application/vnd.openxmlformats-officedocument.drawingml.chartshapes+xml"/>
  <Override PartName="/xl/drawings/drawing3.xml" ContentType="application/vnd.openxmlformats-officedocument.drawing+xml"/>
  <Override PartName="/xl/drawings/drawing56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57.xml" ContentType="application/vnd.openxmlformats-officedocument.drawingml.chartshapes+xml"/>
  <Override PartName="/xl/drawings/drawing6.xml" ContentType="application/vnd.openxmlformats-officedocument.drawingml.chartshapes+xml"/>
  <Override PartName="/xl/drawings/drawing58.xml" ContentType="application/vnd.openxmlformats-officedocument.drawingml.chartshapes+xml"/>
  <Override PartName="/xl/drawings/drawing7.xml" ContentType="application/vnd.openxmlformats-officedocument.drawingml.chartshapes+xml"/>
  <Override PartName="/xl/drawings/drawing59.xml" ContentType="application/vnd.openxmlformats-officedocument.drawingml.chartshapes+xml"/>
  <Override PartName="/xl/drawings/drawing8.xml" ContentType="application/vnd.openxmlformats-officedocument.drawingml.chartshapes+xml"/>
  <Override PartName="/xl/drawings/drawing9.xml" ContentType="application/vnd.openxmlformats-officedocument.drawingml.chartshapes+xml"/>
  <Override PartName="/xl/drawings/drawing10.xml" ContentType="application/vnd.openxmlformats-officedocument.drawingml.chartshapes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ml.chartshapes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drawings/drawing20.xml" ContentType="application/vnd.openxmlformats-officedocument.drawingml.chartshapes+xml"/>
  <Override PartName="/xl/drawings/drawing21.xml" ContentType="application/vnd.openxmlformats-officedocument.drawingml.chartshapes+xml"/>
  <Override PartName="/xl/drawings/drawing22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ml.chartshapes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28.xml" ContentType="application/vnd.openxmlformats-officedocument.drawingml.chartshapes+xml"/>
  <Override PartName="/xl/drawings/drawing29.xml" ContentType="application/vnd.openxmlformats-officedocument.drawingml.chartshapes+xml"/>
  <Override PartName="/xl/drawings/drawing30.xml" ContentType="application/vnd.openxmlformats-officedocument.drawingml.chartshapes+xml"/>
  <Override PartName="/xl/drawings/drawing31.xml" ContentType="application/vnd.openxmlformats-officedocument.drawingml.chartshapes+xml"/>
  <Override PartName="/xl/drawings/drawing32.xml" ContentType="application/vnd.openxmlformats-officedocument.drawingml.chartshapes+xml"/>
  <Override PartName="/xl/drawings/drawing33.xml" ContentType="application/vnd.openxmlformats-officedocument.drawingml.chartshapes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drawings/drawing36.xml" ContentType="application/vnd.openxmlformats-officedocument.drawingml.chartshapes+xml"/>
  <Override PartName="/xl/drawings/drawing37.xml" ContentType="application/vnd.openxmlformats-officedocument.drawingml.chartshapes+xml"/>
  <Override PartName="/xl/drawings/drawing38.xml" ContentType="application/vnd.openxmlformats-officedocument.drawingml.chartshapes+xml"/>
  <Override PartName="/xl/drawings/drawing39.xml" ContentType="application/vnd.openxmlformats-officedocument.drawingml.chartshapes+xml"/>
  <Override PartName="/xl/drawings/drawing40.xml" ContentType="application/vnd.openxmlformats-officedocument.drawingml.chartshapes+xml"/>
  <Override PartName="/xl/drawings/drawing41.xml" ContentType="application/vnd.openxmlformats-officedocument.drawingml.chartshapes+xml"/>
  <Override PartName="/xl/drawings/drawing42.xml" ContentType="application/vnd.openxmlformats-officedocument.drawingml.chartshapes+xml"/>
  <Override PartName="/xl/drawings/drawing43.xml" ContentType="application/vnd.openxmlformats-officedocument.drawingml.chartshapes+xml"/>
  <Override PartName="/xl/drawings/drawing44.xml" ContentType="application/vnd.openxmlformats-officedocument.drawingml.chartshapes+xml"/>
  <Override PartName="/xl/drawings/drawing45.xml" ContentType="application/vnd.openxmlformats-officedocument.drawingml.chartshapes+xml"/>
  <Override PartName="/xl/drawings/drawing46.xml" ContentType="application/vnd.openxmlformats-officedocument.drawingml.chartshapes+xml"/>
  <Override PartName="/xl/drawings/drawing47.xml" ContentType="application/vnd.openxmlformats-officedocument.drawingml.chartshapes+xml"/>
  <Override PartName="/xl/drawings/drawing48.xml" ContentType="application/vnd.openxmlformats-officedocument.drawingml.chartshapes+xml"/>
  <Override PartName="/xl/drawings/drawing49.xml" ContentType="application/vnd.openxmlformats-officedocument.drawingml.chartshapes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drawings/drawing52.xml" ContentType="application/vnd.openxmlformats-officedocument.drawingml.chartshapes+xml"/>
  <Override PartName="/xl/drawings/drawing54.xml" ContentType="application/vnd.openxmlformats-officedocument.drawingml.chartshapes+xml"/>
  <Override PartName="/xl/drawings/drawing60.xml" ContentType="application/vnd.openxmlformats-officedocument.drawingml.chartshapes+xml"/>
  <Override PartName="/xl/drawings/drawing61.xml" ContentType="application/vnd.openxmlformats-officedocument.drawingml.chartshapes+xml"/>
  <Override PartName="/xl/drawings/drawing62.xml" ContentType="application/vnd.openxmlformats-officedocument.drawingml.chartshapes+xml"/>
  <Override PartName="/xl/drawings/drawing63.xml" ContentType="application/vnd.openxmlformats-officedocument.drawingml.chartshapes+xml"/>
  <Override PartName="/xl/drawings/drawing64.xml" ContentType="application/vnd.openxmlformats-officedocument.drawingml.chartshapes+xml"/>
  <Override PartName="/xl/drawings/drawing65.xml" ContentType="application/vnd.openxmlformats-officedocument.drawingml.chartshapes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drawings/drawing68.xml" ContentType="application/vnd.openxmlformats-officedocument.drawingml.chartshapes+xml"/>
  <Override PartName="/xl/drawings/drawing69.xml" ContentType="application/vnd.openxmlformats-officedocument.drawingml.chartshapes+xml"/>
  <Override PartName="/xl/drawings/drawing70.xml" ContentType="application/vnd.openxmlformats-officedocument.drawingml.chartshapes+xml"/>
  <Override PartName="/xl/drawings/drawing71.xml" ContentType="application/vnd.openxmlformats-officedocument.drawingml.chartshapes+xml"/>
  <Override PartName="/xl/drawings/drawing72.xml" ContentType="application/vnd.openxmlformats-officedocument.drawingml.chartshapes+xml"/>
  <Override PartName="/xl/drawings/drawing73.xml" ContentType="application/vnd.openxmlformats-officedocument.drawingml.chartshapes+xml"/>
  <Override PartName="/xl/drawings/drawing74.xml" ContentType="application/vnd.openxmlformats-officedocument.drawingml.chartshapes+xml"/>
  <Override PartName="/xl/drawings/drawing75.xml" ContentType="application/vnd.openxmlformats-officedocument.drawingml.chartshapes+xml"/>
  <Override PartName="/xl/drawings/drawing76.xml" ContentType="application/vnd.openxmlformats-officedocument.drawingml.chartshapes+xml"/>
  <Override PartName="/xl/drawings/drawing77.xml" ContentType="application/vnd.openxmlformats-officedocument.drawingml.chartshapes+xml"/>
  <Override PartName="/xl/drawings/drawing78.xml" ContentType="application/vnd.openxmlformats-officedocument.drawingml.chartshapes+xml"/>
  <Override PartName="/xl/drawings/drawing79.xml" ContentType="application/vnd.openxmlformats-officedocument.drawingml.chartshapes+xml"/>
  <Override PartName="/xl/drawings/drawing80.xml" ContentType="application/vnd.openxmlformats-officedocument.drawingml.chartshapes+xml"/>
  <Override PartName="/xl/drawings/drawing81.xml" ContentType="application/vnd.openxmlformats-officedocument.drawingml.chartshapes+xml"/>
  <Override PartName="/xl/drawings/drawing82.xml" ContentType="application/vnd.openxmlformats-officedocument.drawingml.chartshapes+xml"/>
  <Override PartName="/xl/drawings/drawing83.xml" ContentType="application/vnd.openxmlformats-officedocument.drawing+xml"/>
  <Override PartName="/xl/drawings/drawing84.xml" ContentType="application/vnd.openxmlformats-officedocument.drawingml.chartshapes+xml"/>
  <Override PartName="/xl/drawings/drawing85.xml" ContentType="application/vnd.openxmlformats-officedocument.drawingml.chartshapes+xml"/>
  <Override PartName="/xl/drawings/drawing86.xml" ContentType="application/vnd.openxmlformats-officedocument.drawingml.chartshapes+xml"/>
  <Override PartName="/xl/drawings/drawing87.xml" ContentType="application/vnd.openxmlformats-officedocument.drawingml.chartshapes+xml"/>
  <Override PartName="/xl/drawings/drawing88.xml" ContentType="application/vnd.openxmlformats-officedocument.drawingml.chartshapes+xml"/>
  <Override PartName="/xl/drawings/drawing89.xml" ContentType="application/vnd.openxmlformats-officedocument.drawingml.chartshapes+xml"/>
  <Override PartName="/xl/drawings/drawing90.xml" ContentType="application/vnd.openxmlformats-officedocument.drawingml.chartshapes+xml"/>
  <Override PartName="/xl/drawings/drawing91.xml" ContentType="application/vnd.openxmlformats-officedocument.drawingml.chartshapes+xml"/>
  <Override PartName="/xl/drawings/drawing92.xml" ContentType="application/vnd.openxmlformats-officedocument.drawingml.chartshapes+xml"/>
  <Override PartName="/xl/drawings/drawing93.xml" ContentType="application/vnd.openxmlformats-officedocument.drawingml.chartshapes+xml"/>
  <Override PartName="/xl/drawings/drawing94.xml" ContentType="application/vnd.openxmlformats-officedocument.drawingml.chartshapes+xml"/>
  <Override PartName="/xl/drawings/drawing95.xml" ContentType="application/vnd.openxmlformats-officedocument.drawingml.chartshapes+xml"/>
  <Override PartName="/xl/drawings/drawing96.xml" ContentType="application/vnd.openxmlformats-officedocument.drawingml.chartshapes+xml"/>
  <Override PartName="/xl/drawings/drawing97.xml" ContentType="application/vnd.openxmlformats-officedocument.drawingml.chartshapes+xml"/>
  <Override PartName="/xl/drawings/drawing98.xml" ContentType="application/vnd.openxmlformats-officedocument.drawingml.chartshapes+xml"/>
  <Override PartName="/xl/drawings/drawing99.xml" ContentType="application/vnd.openxmlformats-officedocument.drawingml.chartshapes+xml"/>
  <Override PartName="/xl/drawings/_rels/drawing3.xml.rels" ContentType="application/vnd.openxmlformats-package.relationships+xml"/>
  <Override PartName="/xl/drawings/_rels/drawing51.xml.rels" ContentType="application/vnd.openxmlformats-package.relationships+xml"/>
  <Override PartName="/xl/drawings/_rels/drawing19.xml.rels" ContentType="application/vnd.openxmlformats-package.relationships+xml"/>
  <Override PartName="/xl/drawings/_rels/drawing35.xml.rels" ContentType="application/vnd.openxmlformats-package.relationships+xml"/>
  <Override PartName="/xl/drawings/_rels/drawing67.xml.rels" ContentType="application/vnd.openxmlformats-package.relationships+xml"/>
  <Override PartName="/xl/drawings/_rels/drawing83.xml.rels" ContentType="application/vnd.openxmlformats-package.relationships+xml"/>
  <Override PartName="/xl/ctrlProps/ctrlProps2.xml" ContentType="application/vnd.ms-excel.controlpropertie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Bem-vindo" sheetId="1" state="visible" r:id="rId3"/>
    <sheet name=" EUA" sheetId="2" state="visible" r:id="rId4"/>
    <sheet name=" China" sheetId="3" state="visible" r:id="rId5"/>
    <sheet name=" OCDE" sheetId="4" state="visible" r:id="rId6"/>
    <sheet name=" BRISE" sheetId="5" state="visible" r:id="rId7"/>
    <sheet name=" LINHA" sheetId="6" state="visible" r:id="rId8"/>
    <sheet name=" SumWorl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<sst xmlns="http://schemas.openxmlformats.org/spreadsheetml/2006/main" count="2062" uniqueCount="214">
  <si>
    <t xml:space="preserve"> As folhas contêm os dados do livro 2052 de Jorgen Randers.</t>
  </si>
  <si>
    <t xml:space="preserve"> Listamos as fontes e você pode ver as fórmulas que usamos.</t>
  </si>
  <si>
    <t xml:space="preserve"> Além disso, você pode criar sua própria previsão, alterando as células que estão sobrepostas em amarelo.</t>
  </si>
  <si>
    <t xml:space="preserve"> Você não pode alterar nenhuma outra célula.</t>
  </si>
  <si>
    <t xml:space="preserve"> A planilha SumWorld soma automaticamente as 5 regiões. Portanto, se você quiser alterar o mundo, precisa começar pelas regiões.</t>
  </si>
  <si>
    <t xml:space="preserve"> Utilizamos o seguinte código de cores:</t>
  </si>
  <si>
    <t xml:space="preserve"> Dados históricos</t>
  </si>
  <si>
    <t xml:space="preserve"> Sua previsão</t>
  </si>
  <si>
    <t xml:space="preserve"> Previsão de Randers</t>
  </si>
  <si>
    <t xml:space="preserve"> Calculado a partir da sua previsão.</t>
  </si>
  <si>
    <t xml:space="preserve">Valores calculados</t>
  </si>
  <si>
    <t xml:space="preserve"> Suas próprias células de referência</t>
  </si>
  <si>
    <t xml:space="preserve"> Se encontrar algum erro, por favor, nos avise: 2052@blue-way.net</t>
  </si>
  <si>
    <t xml:space="preserve"> Código de cores</t>
  </si>
  <si>
    <t xml:space="preserve"> EUA</t>
  </si>
  <si>
    <t xml:space="preserve"> Unidades</t>
  </si>
  <si>
    <t xml:space="preserve"> População, EUA</t>
  </si>
  <si>
    <t xml:space="preserve"> Deputado</t>
  </si>
  <si>
    <t xml:space="preserve"> A tabela original foi baixada de http://esa.un.org/unpd/wpp/Excel-Data/DB03_Population_ByAgeSex_Quinquennial/WPP2010_DB3_F1_POPULATION_BY_AGE_BOTH_SEXES.XLS</t>
  </si>
  <si>
    <t xml:space="preserve"> Nascimentos, EUA</t>
  </si>
  <si>
    <t xml:space="preserve"> Mp/ano</t>
  </si>
  <si>
    <t xml:space="preserve"> Último acesso em 11 de abril de 2012</t>
  </si>
  <si>
    <t xml:space="preserve"> Mortes, EUA</t>
  </si>
  <si>
    <t xml:space="preserve"> Para valores futuros, foi utilizada a variante BAIXA.</t>
  </si>
  <si>
    <t xml:space="preserve"> taxa bruta de natalidade</t>
  </si>
  <si>
    <t xml:space="preserve"> % por ano</t>
  </si>
  <si>
    <t xml:space="preserve"> taxa bruta de mortalidade</t>
  </si>
  <si>
    <t xml:space="preserve"> Apenas para fins informativos</t>
  </si>
  <si>
    <t xml:space="preserve"> Previsão baixa da população da ONU</t>
  </si>
  <si>
    <t xml:space="preserve"> Nascimentos: baixa previsão da ONU</t>
  </si>
  <si>
    <t xml:space="preserve"> Mortes: previsão baixa da ONU</t>
  </si>
  <si>
    <t xml:space="preserve"> Baixa taxa de natalidade da ONU</t>
  </si>
  <si>
    <t xml:space="preserve"> Baixa taxa de mortalidade da ONU</t>
  </si>
  <si>
    <t xml:space="preserve"> Prezado(a) usuário(a): Utilize a tabela amarela abaixo para definir o valor máximo nos eixos verticais do gráfico.</t>
  </si>
  <si>
    <t xml:space="preserve"> Para taxas: o valor inserido no ano n é o valor médio anual entre n e n+5.</t>
  </si>
  <si>
    <t xml:space="preserve"> Valor máximo no eixo vertical</t>
  </si>
  <si>
    <t xml:space="preserve"> Cálculos realizados para ajustar todas as variáveis para valores entre 0 e 1.</t>
  </si>
  <si>
    <t xml:space="preserve">Para o gráfico à esquerda, nomes das variáveis (unidade)</t>
  </si>
  <si>
    <t xml:space="preserve"> nos gráficos originais de Randers</t>
  </si>
  <si>
    <t xml:space="preserve"> Na sua previsão</t>
  </si>
  <si>
    <t xml:space="preserve"> Gráfico 2</t>
  </si>
  <si>
    <t xml:space="preserve"> Pessoas nos EUA com idades entre 15 e 64 anos</t>
  </si>
  <si>
    <t xml:space="preserve"> Insira a faixa etária de 15 a 64 anos diretamente.</t>
  </si>
  <si>
    <t xml:space="preserve"> Faixa etária de 15 a 65 anos como porcentagem da população total</t>
  </si>
  <si>
    <t xml:space="preserve"> %</t>
  </si>
  <si>
    <t xml:space="preserve"> ônus de suporte (população/idade 15-64)</t>
  </si>
  <si>
    <t xml:space="preserve"> Mp / Mp</t>
  </si>
  <si>
    <t xml:space="preserve"> Pessoas ONU Previsão Baixa (Mp)</t>
  </si>
  <si>
    <t xml:space="preserve"> Pessoas nos EUA com idade entre 15 e 64 anos - Previsão baixa da ONU (Mp)</t>
  </si>
  <si>
    <t xml:space="preserve"> Sobrecarga de apoio ONU Baixa (população/idade 15-64)</t>
  </si>
  <si>
    <t xml:space="preserve"/>
  </si>
  <si>
    <t xml:space="preserve"> Gráfico 3</t>
  </si>
  <si>
    <t xml:space="preserve"> PIB EUA</t>
  </si>
  <si>
    <t xml:space="preserve"> T$ / ano</t>
  </si>
  <si>
    <t xml:space="preserve"> Os dados originais provêm de http://pwt.econ.upenn.edu/php_site/pwt70/pwt70_form.php</t>
  </si>
  <si>
    <t xml:space="preserve"> Último acesso em 12 de abril de 2012.</t>
  </si>
  <si>
    <t xml:space="preserve"> Produtividade do trabalho</t>
  </si>
  <si>
    <t xml:space="preserve"> $ por pessoa - ano</t>
  </si>
  <si>
    <t xml:space="preserve"> PIB 1965 = [2052_Penn_World_Table.xlsx]pwt!J13409</t>
  </si>
  <si>
    <t xml:space="preserve"> Crescimento da produtividade</t>
  </si>
  <si>
    <t xml:space="preserve"> %/ano</t>
  </si>
  <si>
    <t xml:space="preserve"> Idade 15-64 1965 =[UN_2052_POPULATION_BY_AGE_BOTH_SEXES.xls]ESTIMATIVAS!$F$6287/1000</t>
  </si>
  <si>
    <t xml:space="preserve"> Produtividade do trabalho em 1965 nos EUA</t>
  </si>
  <si>
    <t xml:space="preserve"> PIB per capita</t>
  </si>
  <si>
    <t xml:space="preserve"> $ / pessoa / ano</t>
  </si>
  <si>
    <t xml:space="preserve"> crescimento em LP sua estimativa</t>
  </si>
  <si>
    <t xml:space="preserve"> Gráfico 4</t>
  </si>
  <si>
    <t xml:space="preserve"> Investimento</t>
  </si>
  <si>
    <t xml:space="preserve"> Consumo</t>
  </si>
  <si>
    <t xml:space="preserve"> % de participação no investimento</t>
  </si>
  <si>
    <t xml:space="preserve">Participação no investimento do ano passado mais variação percentual na taxa de investimento normal</t>
  </si>
  <si>
    <t xml:space="preserve"> % investimento voluntário</t>
  </si>
  <si>
    <t xml:space="preserve"> % investimento forçado</t>
  </si>
  <si>
    <t xml:space="preserve"> Variação percentual na taxa de investimento normal</t>
  </si>
  <si>
    <t xml:space="preserve"> investimento sem ajuste à norma mundial</t>
  </si>
  <si>
    <t xml:space="preserve"> investimento voluntário (T$/ano)</t>
  </si>
  <si>
    <t xml:space="preserve"> investimento forçado (T$/ano)</t>
  </si>
  <si>
    <t xml:space="preserve"> variação no investimento normal (T$/ano)</t>
  </si>
  <si>
    <t xml:space="preserve"> Gráfico 5</t>
  </si>
  <si>
    <t xml:space="preserve"> Consumo por pessoa</t>
  </si>
  <si>
    <t xml:space="preserve"> $ por pessoa-ano</t>
  </si>
  <si>
    <t xml:space="preserve"> Gráfico 6</t>
  </si>
  <si>
    <t xml:space="preserve"> Dados originais de http://www.bp.com/assets/bp_internet/globalbp/globalbp_uk_english/reports_and_publications/statistical_energy_review_2011/STAGING/local_assets/spreadsheets/statistical_review_of_world_energy_full_report_2011.xls</t>
  </si>
  <si>
    <t xml:space="preserve"> Uso de óleo</t>
  </si>
  <si>
    <t xml:space="preserve"> Mtoe / ano</t>
  </si>
  <si>
    <t xml:space="preserve"> Último acesso em 13 de abril de 2012.</t>
  </si>
  <si>
    <t xml:space="preserve"> consumo de gás</t>
  </si>
  <si>
    <t xml:space="preserve"> Uso de carvão</t>
  </si>
  <si>
    <t xml:space="preserve"> uso nuclear</t>
  </si>
  <si>
    <t xml:space="preserve"> Uso de água</t>
  </si>
  <si>
    <t xml:space="preserve"> Energias renováveis, outros usos</t>
  </si>
  <si>
    <t xml:space="preserve"> Energias renováveis, uso de biocombustíveis</t>
  </si>
  <si>
    <t xml:space="preserve"> Uso renovável</t>
  </si>
  <si>
    <t xml:space="preserve"> Consumo de energia</t>
  </si>
  <si>
    <t xml:space="preserve"> Intensidade energética</t>
  </si>
  <si>
    <t xml:space="preserve"> dedo do pé / M$</t>
  </si>
  <si>
    <t xml:space="preserve"> Crescimento da intensidade energética</t>
  </si>
  <si>
    <t xml:space="preserve"> % óleo</t>
  </si>
  <si>
    <t xml:space="preserve"> % gás</t>
  </si>
  <si>
    <t xml:space="preserve"> % de energias renováveis</t>
  </si>
  <si>
    <t xml:space="preserve"> % nuclear</t>
  </si>
  <si>
    <t xml:space="preserve"> % carvão</t>
  </si>
  <si>
    <t xml:space="preserve">Prezado(a) usuário(a): Utilize a tabela abaixo para definir o valor máximo nos eixos verticais do gráfico.</t>
  </si>
  <si>
    <t xml:space="preserve"> Se alguma das porcentagens de carvão estiver em vermelho e negativa, significa que você inseriu mais de 100%!</t>
  </si>
  <si>
    <t xml:space="preserve"> máximo</t>
  </si>
  <si>
    <t xml:space="preserve"> escala</t>
  </si>
  <si>
    <t xml:space="preserve"> Gráfico 7</t>
  </si>
  <si>
    <t xml:space="preserve"> Gráfico 8</t>
  </si>
  <si>
    <t xml:space="preserve"> Gráfico 9</t>
  </si>
  <si>
    <t xml:space="preserve"> Dados originais de http://cdiac.ornl.gov/trends/emis/meth_reg.html convertidos em toneladas de carbono.</t>
  </si>
  <si>
    <t xml:space="preserve"> Emissões de CO2</t>
  </si>
  <si>
    <t xml:space="preserve"> MtCO2 / ano</t>
  </si>
  <si>
    <t xml:space="preserve"> Fração renovável</t>
  </si>
  <si>
    <t xml:space="preserve"> intensidade climática</t>
  </si>
  <si>
    <t xml:space="preserve"> tCO2 / toe</t>
  </si>
  <si>
    <t xml:space="preserve"> Emissões de CO2 provenientes do petróleo</t>
  </si>
  <si>
    <t xml:space="preserve"> MtC / ano</t>
  </si>
  <si>
    <t xml:space="preserve"> Emissões de CO2 provenientes do gás</t>
  </si>
  <si>
    <t xml:space="preserve"> Emissões de CO2 provenientes do carvão</t>
  </si>
  <si>
    <t xml:space="preserve"> Emissões de CO2 provenientes de carvão, petróleo e gás.</t>
  </si>
  <si>
    <t xml:space="preserve"> gás</t>
  </si>
  <si>
    <t xml:space="preserve"> óleo</t>
  </si>
  <si>
    <t xml:space="preserve"> carvão</t>
  </si>
  <si>
    <t xml:space="preserve"> Fator de conversão calculado a partir de cdiac.ornl.gov</t>
  </si>
  <si>
    <t xml:space="preserve"> emissões / uso</t>
  </si>
  <si>
    <t xml:space="preserve"> Unidades: tC / dedo do pé</t>
  </si>
  <si>
    <t xml:space="preserve"> Gráfico 10</t>
  </si>
  <si>
    <t xml:space="preserve"> Consulte o gráfico 10 na planilha SumWorld.</t>
  </si>
  <si>
    <t xml:space="preserve"> Gráfico 11</t>
  </si>
  <si>
    <t xml:space="preserve"> Dados originais de http://faostat.fao.org/site/567/default.aspx#ancor</t>
  </si>
  <si>
    <t xml:space="preserve"> Produção de alimentos</t>
  </si>
  <si>
    <t xml:space="preserve"> Monte</t>
  </si>
  <si>
    <t xml:space="preserve"> Terra cultivada</t>
  </si>
  <si>
    <t xml:space="preserve"> Mha</t>
  </si>
  <si>
    <t xml:space="preserve"> Rendimento bruto</t>
  </si>
  <si>
    <t xml:space="preserve"> t / ha</t>
  </si>
  <si>
    <t xml:space="preserve"> Alimentação por pessoa</t>
  </si>
  <si>
    <t xml:space="preserve"> t / pessoa-ano</t>
  </si>
  <si>
    <t xml:space="preserve">Cereais, frutas cítricas, grãos grossos, culturas de fibras primárias, frutas (exceto melões), juta e fibras semelhantes à juta.</t>
  </si>
  <si>
    <t xml:space="preserve"> Crescimento na produção de alimentos</t>
  </si>
  <si>
    <t xml:space="preserve"> Equivalente a tortas oleaginosas, principais oleaginosas, leguminosas, raízes e tubérculos, nozes, hortaliças e melões.</t>
  </si>
  <si>
    <t xml:space="preserve"> Crescimento em terras cultivadas</t>
  </si>
  <si>
    <t xml:space="preserve"> Crescimento da produção de alimentos (%/ano)</t>
  </si>
  <si>
    <t xml:space="preserve"> Crescimento da área cultivada (%/ano)</t>
  </si>
  <si>
    <t xml:space="preserve"> Gráfico 12</t>
  </si>
  <si>
    <t xml:space="preserve"> Dados originais de http://www.footprintnetwork.org</t>
  </si>
  <si>
    <t xml:space="preserve"> Biocapacidade total, EUA</t>
  </si>
  <si>
    <t xml:space="preserve"> Mgha</t>
  </si>
  <si>
    <t xml:space="preserve"> Crescimento da capacidade biológica total</t>
  </si>
  <si>
    <t xml:space="preserve"> Pegada não energética</t>
  </si>
  <si>
    <t xml:space="preserve"> Pegada não energética por pessoa (NEFPP)</t>
  </si>
  <si>
    <t xml:space="preserve"> gha / pessoa</t>
  </si>
  <si>
    <t xml:space="preserve"> Taxa de variação do NEFPP</t>
  </si>
  <si>
    <t xml:space="preserve"> Biocapacidade não utilizada</t>
  </si>
  <si>
    <t xml:space="preserve"> Biocapacidade não utilizada por pessoa</t>
  </si>
  <si>
    <t xml:space="preserve"> Gráfico 13</t>
  </si>
  <si>
    <t xml:space="preserve"> Gráfico 14</t>
  </si>
  <si>
    <t xml:space="preserve"> Gráfico 15</t>
  </si>
  <si>
    <t xml:space="preserve"> China</t>
  </si>
  <si>
    <t xml:space="preserve"> População, China</t>
  </si>
  <si>
    <t xml:space="preserve"> Nascimentos, China</t>
  </si>
  <si>
    <t xml:space="preserve"> Mortes, China</t>
  </si>
  <si>
    <t xml:space="preserve"> Pessoas na China, com idades entre 15 e 64 anos.</t>
  </si>
  <si>
    <t xml:space="preserve"> População da China com idade entre 15 e 64 anos - Previsão baixa da ONU (Mp)</t>
  </si>
  <si>
    <t xml:space="preserve"> PIB da China</t>
  </si>
  <si>
    <t xml:space="preserve"> PIB 1965</t>
  </si>
  <si>
    <t xml:space="preserve"> Idade 15-64 anos 1965</t>
  </si>
  <si>
    <t xml:space="preserve"> Produtividade do trabalho na China em 1965</t>
  </si>
  <si>
    <t xml:space="preserve"> Biocapacidade total, China</t>
  </si>
  <si>
    <t xml:space="preserve"> EUA sem OCDE</t>
  </si>
  <si>
    <t xml:space="preserve">População, EUA sem a OCDE</t>
  </si>
  <si>
    <t xml:space="preserve"> Nascimentos, EUA sem a OCDE</t>
  </si>
  <si>
    <t xml:space="preserve"> Mortes, EUA sem a OCDE</t>
  </si>
  <si>
    <t xml:space="preserve"> Pessoas de países não pertencentes à OCDE, com idade entre 15 e 64 anos.</t>
  </si>
  <si>
    <t xml:space="preserve"> Pessoas de 15 a 64 anos, fora dos EUA e países da OCDE (previsão baixa da ONU - Mp)</t>
  </si>
  <si>
    <t xml:space="preserve"> PIB dos EUA sem a OCDE</t>
  </si>
  <si>
    <t xml:space="preserve"> Biocapacidade total, excluindo os EUA (OCDE)</t>
  </si>
  <si>
    <t xml:space="preserve"> BRISE</t>
  </si>
  <si>
    <t xml:space="preserve"> População, BRISE</t>
  </si>
  <si>
    <t xml:space="preserve"> Nascimentos, BRISE</t>
  </si>
  <si>
    <t xml:space="preserve"> Mortes, BRISE</t>
  </si>
  <si>
    <t xml:space="preserve"> Pessoas BRISE com idades entre 15 e 64 anos</t>
  </si>
  <si>
    <t xml:space="preserve"> Pessoas BRISE Idade 15-64 Previsão Baixa da ONU (Mp)</t>
  </si>
  <si>
    <t xml:space="preserve"> PIB BRISE</t>
  </si>
  <si>
    <t xml:space="preserve"> Biocapacidade total, BRISE</t>
  </si>
  <si>
    <t xml:space="preserve"> LINHA</t>
  </si>
  <si>
    <t xml:space="preserve"> População, Resto do Mundo</t>
  </si>
  <si>
    <t xml:space="preserve"> Nascimentos, ROW</t>
  </si>
  <si>
    <t xml:space="preserve"> Mortes, ROW</t>
  </si>
  <si>
    <t xml:space="preserve"> Pessoas ROW com idade entre 15 e 64 anos</t>
  </si>
  <si>
    <t xml:space="preserve"> Pessoas do Resto do Mundo com idade entre 15 e 64 anos - Previsão Baixa da ONU (Mp)</t>
  </si>
  <si>
    <t xml:space="preserve"> PIB ROW</t>
  </si>
  <si>
    <t xml:space="preserve"> Biocapacidade total, ROW</t>
  </si>
  <si>
    <t xml:space="preserve"> Prezado(a) usuário(a): Esta é a versão de 7 de novembro de 2014, às 11h, da planilha de 2052 de Ulrich Goluke (2052@blue-way.net)</t>
  </si>
  <si>
    <t xml:space="preserve"> Prezado(a) usuário(a): O lado esquerdo desta planilha contém os dados numéricos e os gráficos que você também encontra no livro de 2052.</t>
  </si>
  <si>
    <t xml:space="preserve"> Prezado(a) usuário(a): Os cálculos nesta parte à direita da planilha garantem o dimensionamento correto dos gráficos.</t>
  </si>
  <si>
    <t xml:space="preserve">Contém também a fonte dos dados históricos.</t>
  </si>
  <si>
    <t xml:space="preserve"> SumWorld</t>
  </si>
  <si>
    <t xml:space="preserve"> População, SumWorld</t>
  </si>
  <si>
    <t xml:space="preserve"> Nascimentos, SumWorld</t>
  </si>
  <si>
    <t xml:space="preserve"> Mortes, SumWorld</t>
  </si>
  <si>
    <t xml:space="preserve"> Pessoas SumWorld com idades entre 15 e 64 anos</t>
  </si>
  <si>
    <t xml:space="preserve"> Soma Mundial de Pessoas com Idade entre 15 e 64 Anos - Previsão Baixa da ONU (Mp)</t>
  </si>
  <si>
    <t xml:space="preserve"> PIB SumWorld</t>
  </si>
  <si>
    <t xml:space="preserve"> Aumento da temperatura em relação aos tempos pré-industriais (em graus Celsius)</t>
  </si>
  <si>
    <t xml:space="preserve"> Os dados originais foram baixados de http://www.metoffice.gov.uk/hadobs/hadcrut3/data/download.html e http://co2now.org/images/stories/data/co2-mlo-monthly-noaa-esrl.xls</t>
  </si>
  <si>
    <t xml:space="preserve"> fator de escala de temperatura de Hadcrut3 para CROADS</t>
  </si>
  <si>
    <t xml:space="preserve"> Todos os valores futuros são gerados a partir do modelo C-Roads, utilizando como entrada a previsão de emissões de CO2 da JR.</t>
  </si>
  <si>
    <t xml:space="preserve"> CO2 na atmosfera (ppm)</t>
  </si>
  <si>
    <t xml:space="preserve"> O modelo C-Roads pode ser acessado em http://climateinteractive.org/simulations/C-ROADS</t>
  </si>
  <si>
    <t xml:space="preserve"> Fator de escala CO2 de Hadcrut3 para CROADS</t>
  </si>
  <si>
    <t xml:space="preserve"> CO2e na atmosfera (ppme)</t>
  </si>
  <si>
    <t xml:space="preserve"> Aumento do nível do mar acima do nível do mar em 2000 (mm)</t>
  </si>
  <si>
    <t xml:space="preserve"> Biocapacidade total, SumWorld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</si>
</sst>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/m/yyyy;@"/>
    <numFmt numFmtId="166" formatCode="#,##0"/>
    <numFmt numFmtId="167" formatCode="#,##0.0"/>
    <numFmt numFmtId="168" formatCode="0.00"/>
    <numFmt numFmtId="169" formatCode="0.00%"/>
    <numFmt numFmtId="170" formatCode="0"/>
    <numFmt numFmtId="171" formatCode="0.0"/>
    <numFmt numFmtId="172" formatCode="#,##0.000"/>
    <numFmt numFmtId="173" formatCode="#,##0.00"/>
    <numFmt numFmtId="174" formatCode="0.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1"/>
      <color rgb="FF000000"/>
      <name val="Calibri"/>
      <family val="0"/>
    </font>
    <font>
      <b val="true"/>
      <sz val="14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8"/>
      <color theme="0"/>
      <name val="Arial"/>
      <family val="2"/>
      <charset val="1"/>
    </font>
    <font>
      <sz val="12"/>
      <color rgb="FFFF0000"/>
      <name val="Arial"/>
      <family val="2"/>
      <charset val="1"/>
    </font>
    <font>
      <sz val="8"/>
      <color theme="0" tint="-0.35"/>
      <name val="Arial"/>
      <family val="2"/>
      <charset val="1"/>
    </font>
    <font>
      <sz val="8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Arial"/>
      <family val="2"/>
      <charset val="1"/>
    </font>
    <font>
      <u val="single"/>
      <sz val="8"/>
      <color theme="10"/>
      <name val="Arial"/>
      <family val="2"/>
      <charset val="1"/>
    </font>
    <font>
      <sz val="8"/>
      <color rgb="FFFF0000"/>
      <name val="Arial"/>
      <family val="2"/>
      <charset val="1"/>
    </font>
    <font>
      <sz val="11"/>
      <name val="Times New Roman"/>
      <family val="1"/>
    </font>
    <font>
      <b val="true"/>
      <sz val="10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0"/>
    </font>
    <font>
      <b val="true"/>
      <sz val="11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D8D8D8"/>
      </patternFill>
    </fill>
    <fill>
      <patternFill patternType="solid">
        <fgColor rgb="FFFFFFCC"/>
        <bgColor rgb="FFE5FFE5"/>
      </patternFill>
    </fill>
    <fill>
      <patternFill patternType="solid">
        <fgColor theme="0" tint="-0.05"/>
        <bgColor rgb="FFDBEEF4"/>
      </patternFill>
    </fill>
    <fill>
      <patternFill patternType="solid">
        <fgColor rgb="FFE5FFE5"/>
        <bgColor rgb="FFF2F2F2"/>
      </patternFill>
    </fill>
    <fill>
      <patternFill patternType="solid">
        <fgColor rgb="FF0000FF"/>
        <bgColor rgb="FF0000FF"/>
      </patternFill>
    </fill>
    <fill>
      <patternFill patternType="solid">
        <fgColor theme="8" tint="0.7999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rgb="FFD9D9D9"/>
      </patternFill>
    </fill>
    <fill>
      <patternFill patternType="solid">
        <fgColor rgb="FFFFFF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thin">
        <color theme="0" tint="-0.05"/>
      </right>
      <top/>
      <bottom style="thin">
        <color theme="0" tint="-0.05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 diagonalUp="false" diagonalDown="false"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 diagonalUp="false" diagonalDown="false">
      <left style="thin">
        <color theme="0" tint="-0.05"/>
      </left>
      <right/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theme="0" tint="-0.05"/>
      </left>
      <right/>
      <top/>
      <bottom style="thin">
        <color theme="0" tint="-0.05"/>
      </bottom>
      <diagonal/>
    </border>
    <border diagonalUp="false" diagonalDown="false">
      <left/>
      <right style="thin">
        <color theme="0" tint="-0.05"/>
      </right>
      <top style="thin">
        <color theme="0" tint="-0.05"/>
      </top>
      <bottom/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4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5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6" fillId="3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3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7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5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11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2"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 val="1"/>
        <i val="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78787"/>
      <rgbColor rgb="FF9999FF"/>
      <rgbColor rgb="FF7030A0"/>
      <rgbColor rgb="FFFFFFCC"/>
      <rgbColor rgb="FFDBEEF4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5FFE5"/>
      <rgbColor rgb="FFFFFF99"/>
      <rgbColor rgb="FFBFBFBF"/>
      <rgbColor rgb="FFFF99CC"/>
      <rgbColor rgb="FFD9D9D9"/>
      <rgbColor rgb="FFFFC7CE"/>
      <rgbColor rgb="FF3366FF"/>
      <rgbColor rgb="FF33CCCC"/>
      <rgbColor rgb="FF99CC00"/>
      <rgbColor rgb="FFFFC000"/>
      <rgbColor rgb="FFFF9900"/>
      <rgbColor rgb="FFFF6600"/>
      <rgbColor rgb="FF6F568D"/>
      <rgbColor rgb="FFA6A6A6"/>
      <rgbColor rgb="FF003366"/>
      <rgbColor rgb="FF00B050"/>
      <rgbColor rgb="FF0D0D0D"/>
      <rgbColor rgb="FF333300"/>
      <rgbColor rgb="FF996633"/>
      <rgbColor rgb="FF8064A2"/>
      <rgbColor rgb="FF604A7B"/>
      <rgbColor rgb="FF4F62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9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10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11.xml"/>
</Relationships>
</file>

<file path=xl/charts/_rels/chart9.xml.rels><?xml version="1.0" encoding="UTF-8"?>
<Relationships xmlns="http://schemas.openxmlformats.org/package/2006/relationships"><Relationship Id="rId1" Type="http://schemas.openxmlformats.org/officeDocument/2006/relationships/chartUserShapes" Target="../drawings/drawing12.xml"/>
</Relationships>
</file>

<file path=xl/charts/_rels/chart10.xml.rels><?xml version="1.0" encoding="UTF-8"?>
<Relationships xmlns="http://schemas.openxmlformats.org/package/2006/relationships"><Relationship Id="rId1" Type="http://schemas.openxmlformats.org/officeDocument/2006/relationships/chartUserShapes" Target="../drawings/drawing13.xml"/>
</Relationships>
</file>

<file path=xl/charts/_rels/chart11.xml.rels><?xml version="1.0" encoding="UTF-8"?>
<Relationships xmlns="http://schemas.openxmlformats.org/package/2006/relationships"><Relationship Id="rId1" Type="http://schemas.openxmlformats.org/officeDocument/2006/relationships/chartUserShapes" Target="../drawings/drawing14.xml"/>
</Relationships>
</file>

<file path=xl/charts/_rels/chart12.xml.rels><?xml version="1.0" encoding="UTF-8"?>
<Relationships xmlns="http://schemas.openxmlformats.org/package/2006/relationships"><Relationship Id="rId1" Type="http://schemas.openxmlformats.org/officeDocument/2006/relationships/chartUserShapes" Target="../drawings/drawing15.xml"/>
</Relationships>
</file>

<file path=xl/charts/_rels/chart13.xml.rels><?xml version="1.0" encoding="UTF-8"?>
<Relationships xmlns="http://schemas.openxmlformats.org/package/2006/relationships"><Relationship Id="rId1" Type="http://schemas.openxmlformats.org/officeDocument/2006/relationships/chartUserShapes" Target="../drawings/drawing16.xml"/>
</Relationships>
</file>

<file path=xl/charts/_rels/chart14.xml.rels><?xml version="1.0" encoding="UTF-8"?>
<Relationships xmlns="http://schemas.openxmlformats.org/package/2006/relationships"><Relationship Id="rId1" Type="http://schemas.openxmlformats.org/officeDocument/2006/relationships/chartUserShapes" Target="../drawings/drawing17.xml"/>
</Relationships>
</file>

<file path=xl/charts/_rels/chart15.xml.rels><?xml version="1.0" encoding="UTF-8"?>
<Relationships xmlns="http://schemas.openxmlformats.org/package/2006/relationships"><Relationship Id="rId1" Type="http://schemas.openxmlformats.org/officeDocument/2006/relationships/chartUserShapes" Target="../drawings/drawing18.xml"/>
</Relationships>
</file>

<file path=xl/charts/_rels/chart16.xml.rels><?xml version="1.0" encoding="UTF-8"?>
<Relationships xmlns="http://schemas.openxmlformats.org/package/2006/relationships"><Relationship Id="rId1" Type="http://schemas.openxmlformats.org/officeDocument/2006/relationships/chartUserShapes" Target="../drawings/drawing20.xml"/>
</Relationships>
</file>

<file path=xl/charts/_rels/chart17.xml.rels><?xml version="1.0" encoding="UTF-8"?>
<Relationships xmlns="http://schemas.openxmlformats.org/package/2006/relationships"><Relationship Id="rId1" Type="http://schemas.openxmlformats.org/officeDocument/2006/relationships/chartUserShapes" Target="../drawings/drawing21.xml"/>
</Relationships>
</file>

<file path=xl/charts/_rels/chart18.xml.rels><?xml version="1.0" encoding="UTF-8"?>
<Relationships xmlns="http://schemas.openxmlformats.org/package/2006/relationships"><Relationship Id="rId1" Type="http://schemas.openxmlformats.org/officeDocument/2006/relationships/chartUserShapes" Target="../drawings/drawing22.xml"/>
</Relationships>
</file>

<file path=xl/charts/_rels/chart19.xml.rels><?xml version="1.0" encoding="UTF-8"?>
<Relationships xmlns="http://schemas.openxmlformats.org/package/2006/relationships"><Relationship Id="rId1" Type="http://schemas.openxmlformats.org/officeDocument/2006/relationships/chartUserShapes" Target="../drawings/drawing23.xml"/>
</Relationships>
</file>

<file path=xl/charts/_rels/chart20.xml.rels><?xml version="1.0" encoding="UTF-8"?>
<Relationships xmlns="http://schemas.openxmlformats.org/package/2006/relationships"><Relationship Id="rId1" Type="http://schemas.openxmlformats.org/officeDocument/2006/relationships/chartUserShapes" Target="../drawings/drawing24.xml"/>
</Relationships>
</file>

<file path=xl/charts/_rels/chart21.xml.rels><?xml version="1.0" encoding="UTF-8"?>
<Relationships xmlns="http://schemas.openxmlformats.org/package/2006/relationships"><Relationship Id="rId1" Type="http://schemas.openxmlformats.org/officeDocument/2006/relationships/chartUserShapes" Target="../drawings/drawing25.xml"/>
</Relationships>
</file>

<file path=xl/charts/_rels/chart22.xml.rels><?xml version="1.0" encoding="UTF-8"?>
<Relationships xmlns="http://schemas.openxmlformats.org/package/2006/relationships"><Relationship Id="rId1" Type="http://schemas.openxmlformats.org/officeDocument/2006/relationships/chartUserShapes" Target="../drawings/drawing26.xml"/>
</Relationships>
</file>

<file path=xl/charts/_rels/chart23.xml.rels><?xml version="1.0" encoding="UTF-8"?>
<Relationships xmlns="http://schemas.openxmlformats.org/package/2006/relationships"><Relationship Id="rId1" Type="http://schemas.openxmlformats.org/officeDocument/2006/relationships/chartUserShapes" Target="../drawings/drawing27.xml"/>
</Relationships>
</file>

<file path=xl/charts/_rels/chart24.xml.rels><?xml version="1.0" encoding="UTF-8"?>
<Relationships xmlns="http://schemas.openxmlformats.org/package/2006/relationships"><Relationship Id="rId1" Type="http://schemas.openxmlformats.org/officeDocument/2006/relationships/chartUserShapes" Target="../drawings/drawing28.xml"/>
</Relationships>
</file>

<file path=xl/charts/_rels/chart25.xml.rels><?xml version="1.0" encoding="UTF-8"?>
<Relationships xmlns="http://schemas.openxmlformats.org/package/2006/relationships"><Relationship Id="rId1" Type="http://schemas.openxmlformats.org/officeDocument/2006/relationships/chartUserShapes" Target="../drawings/drawing29.xml"/>
</Relationships>
</file>

<file path=xl/charts/_rels/chart26.xml.rels><?xml version="1.0" encoding="UTF-8"?>
<Relationships xmlns="http://schemas.openxmlformats.org/package/2006/relationships"><Relationship Id="rId1" Type="http://schemas.openxmlformats.org/officeDocument/2006/relationships/chartUserShapes" Target="../drawings/drawing30.xml"/>
</Relationships>
</file>

<file path=xl/charts/_rels/chart27.xml.rels><?xml version="1.0" encoding="UTF-8"?>
<Relationships xmlns="http://schemas.openxmlformats.org/package/2006/relationships"><Relationship Id="rId1" Type="http://schemas.openxmlformats.org/officeDocument/2006/relationships/chartUserShapes" Target="../drawings/drawing31.xml"/>
</Relationships>
</file>

<file path=xl/charts/_rels/chart28.xml.rels><?xml version="1.0" encoding="UTF-8"?>
<Relationships xmlns="http://schemas.openxmlformats.org/package/2006/relationships"><Relationship Id="rId1" Type="http://schemas.openxmlformats.org/officeDocument/2006/relationships/chartUserShapes" Target="../drawings/drawing32.xml"/>
</Relationships>
</file>

<file path=xl/charts/_rels/chart29.xml.rels><?xml version="1.0" encoding="UTF-8"?>
<Relationships xmlns="http://schemas.openxmlformats.org/package/2006/relationships"><Relationship Id="rId1" Type="http://schemas.openxmlformats.org/officeDocument/2006/relationships/chartUserShapes" Target="../drawings/drawing33.xml"/>
</Relationships>
</file>

<file path=xl/charts/_rels/chart30.xml.rels><?xml version="1.0" encoding="UTF-8"?>
<Relationships xmlns="http://schemas.openxmlformats.org/package/2006/relationships"><Relationship Id="rId1" Type="http://schemas.openxmlformats.org/officeDocument/2006/relationships/chartUserShapes" Target="../drawings/drawing34.xml"/>
</Relationships>
</file>

<file path=xl/charts/_rels/chart31.xml.rels><?xml version="1.0" encoding="UTF-8"?>
<Relationships xmlns="http://schemas.openxmlformats.org/package/2006/relationships"><Relationship Id="rId1" Type="http://schemas.openxmlformats.org/officeDocument/2006/relationships/chartUserShapes" Target="../drawings/drawing36.xml"/>
</Relationships>
</file>

<file path=xl/charts/_rels/chart32.xml.rels><?xml version="1.0" encoding="UTF-8"?>
<Relationships xmlns="http://schemas.openxmlformats.org/package/2006/relationships"><Relationship Id="rId1" Type="http://schemas.openxmlformats.org/officeDocument/2006/relationships/chartUserShapes" Target="../drawings/drawing37.xml"/>
</Relationships>
</file>

<file path=xl/charts/_rels/chart33.xml.rels><?xml version="1.0" encoding="UTF-8"?>
<Relationships xmlns="http://schemas.openxmlformats.org/package/2006/relationships"><Relationship Id="rId1" Type="http://schemas.openxmlformats.org/officeDocument/2006/relationships/chartUserShapes" Target="../drawings/drawing38.xml"/>
</Relationships>
</file>

<file path=xl/charts/_rels/chart34.xml.rels><?xml version="1.0" encoding="UTF-8"?>
<Relationships xmlns="http://schemas.openxmlformats.org/package/2006/relationships"><Relationship Id="rId1" Type="http://schemas.openxmlformats.org/officeDocument/2006/relationships/chartUserShapes" Target="../drawings/drawing39.xml"/>
</Relationships>
</file>

<file path=xl/charts/_rels/chart35.xml.rels><?xml version="1.0" encoding="UTF-8"?>
<Relationships xmlns="http://schemas.openxmlformats.org/package/2006/relationships"><Relationship Id="rId1" Type="http://schemas.openxmlformats.org/officeDocument/2006/relationships/chartUserShapes" Target="../drawings/drawing40.xml"/>
</Relationships>
</file>

<file path=xl/charts/_rels/chart36.xml.rels><?xml version="1.0" encoding="UTF-8"?>
<Relationships xmlns="http://schemas.openxmlformats.org/package/2006/relationships"><Relationship Id="rId1" Type="http://schemas.openxmlformats.org/officeDocument/2006/relationships/chartUserShapes" Target="../drawings/drawing41.xml"/>
</Relationships>
</file>

<file path=xl/charts/_rels/chart37.xml.rels><?xml version="1.0" encoding="UTF-8"?>
<Relationships xmlns="http://schemas.openxmlformats.org/package/2006/relationships"><Relationship Id="rId1" Type="http://schemas.openxmlformats.org/officeDocument/2006/relationships/chartUserShapes" Target="../drawings/drawing42.xml"/>
</Relationships>
</file>

<file path=xl/charts/_rels/chart38.xml.rels><?xml version="1.0" encoding="UTF-8"?>
<Relationships xmlns="http://schemas.openxmlformats.org/package/2006/relationships"><Relationship Id="rId1" Type="http://schemas.openxmlformats.org/officeDocument/2006/relationships/chartUserShapes" Target="../drawings/drawing43.xml"/>
</Relationships>
</file>

<file path=xl/charts/_rels/chart39.xml.rels><?xml version="1.0" encoding="UTF-8"?>
<Relationships xmlns="http://schemas.openxmlformats.org/package/2006/relationships"><Relationship Id="rId1" Type="http://schemas.openxmlformats.org/officeDocument/2006/relationships/chartUserShapes" Target="../drawings/drawing44.xml"/>
</Relationships>
</file>

<file path=xl/charts/_rels/chart40.xml.rels><?xml version="1.0" encoding="UTF-8"?>
<Relationships xmlns="http://schemas.openxmlformats.org/package/2006/relationships"><Relationship Id="rId1" Type="http://schemas.openxmlformats.org/officeDocument/2006/relationships/chartUserShapes" Target="../drawings/drawing45.xml"/>
</Relationships>
</file>

<file path=xl/charts/_rels/chart41.xml.rels><?xml version="1.0" encoding="UTF-8"?>
<Relationships xmlns="http://schemas.openxmlformats.org/package/2006/relationships"><Relationship Id="rId1" Type="http://schemas.openxmlformats.org/officeDocument/2006/relationships/chartUserShapes" Target="../drawings/drawing46.xml"/>
</Relationships>
</file>

<file path=xl/charts/_rels/chart42.xml.rels><?xml version="1.0" encoding="UTF-8"?>
<Relationships xmlns="http://schemas.openxmlformats.org/package/2006/relationships"><Relationship Id="rId1" Type="http://schemas.openxmlformats.org/officeDocument/2006/relationships/chartUserShapes" Target="../drawings/drawing47.xml"/>
</Relationships>
</file>

<file path=xl/charts/_rels/chart43.xml.rels><?xml version="1.0" encoding="UTF-8"?>
<Relationships xmlns="http://schemas.openxmlformats.org/package/2006/relationships"><Relationship Id="rId1" Type="http://schemas.openxmlformats.org/officeDocument/2006/relationships/chartUserShapes" Target="../drawings/drawing48.xml"/>
</Relationships>
</file>

<file path=xl/charts/_rels/chart44.xml.rels><?xml version="1.0" encoding="UTF-8"?>
<Relationships xmlns="http://schemas.openxmlformats.org/package/2006/relationships"><Relationship Id="rId1" Type="http://schemas.openxmlformats.org/officeDocument/2006/relationships/chartUserShapes" Target="../drawings/drawing49.xml"/>
</Relationships>
</file>

<file path=xl/charts/_rels/chart45.xml.rels><?xml version="1.0" encoding="UTF-8"?>
<Relationships xmlns="http://schemas.openxmlformats.org/package/2006/relationships"><Relationship Id="rId1" Type="http://schemas.openxmlformats.org/officeDocument/2006/relationships/chartUserShapes" Target="../drawings/drawing50.xml"/>
</Relationships>
</file>

<file path=xl/charts/_rels/chart46.xml.rels><?xml version="1.0" encoding="UTF-8"?>
<Relationships xmlns="http://schemas.openxmlformats.org/package/2006/relationships"><Relationship Id="rId1" Type="http://schemas.openxmlformats.org/officeDocument/2006/relationships/chartUserShapes" Target="../drawings/drawing52.xml"/>
</Relationships>
</file>

<file path=xl/charts/_rels/chart47.xml.rels><?xml version="1.0" encoding="UTF-8"?>
<Relationships xmlns="http://schemas.openxmlformats.org/package/2006/relationships"><Relationship Id="rId1" Type="http://schemas.openxmlformats.org/officeDocument/2006/relationships/chartUserShapes" Target="../drawings/drawing53.xml"/>
</Relationships>
</file>

<file path=xl/charts/_rels/chart48.xml.rels><?xml version="1.0" encoding="UTF-8"?>
<Relationships xmlns="http://schemas.openxmlformats.org/package/2006/relationships"><Relationship Id="rId1" Type="http://schemas.openxmlformats.org/officeDocument/2006/relationships/chartUserShapes" Target="../drawings/drawing54.xml"/>
</Relationships>
</file>

<file path=xl/charts/_rels/chart49.xml.rels><?xml version="1.0" encoding="UTF-8"?>
<Relationships xmlns="http://schemas.openxmlformats.org/package/2006/relationships"><Relationship Id="rId1" Type="http://schemas.openxmlformats.org/officeDocument/2006/relationships/chartUserShapes" Target="../drawings/drawing55.xml"/>
</Relationships>
</file>

<file path=xl/charts/_rels/chart50.xml.rels><?xml version="1.0" encoding="UTF-8"?>
<Relationships xmlns="http://schemas.openxmlformats.org/package/2006/relationships"><Relationship Id="rId1" Type="http://schemas.openxmlformats.org/officeDocument/2006/relationships/chartUserShapes" Target="../drawings/drawing56.xml"/>
</Relationships>
</file>

<file path=xl/charts/_rels/chart51.xml.rels><?xml version="1.0" encoding="UTF-8"?>
<Relationships xmlns="http://schemas.openxmlformats.org/package/2006/relationships"><Relationship Id="rId1" Type="http://schemas.openxmlformats.org/officeDocument/2006/relationships/chartUserShapes" Target="../drawings/drawing57.xml"/>
</Relationships>
</file>

<file path=xl/charts/_rels/chart52.xml.rels><?xml version="1.0" encoding="UTF-8"?>
<Relationships xmlns="http://schemas.openxmlformats.org/package/2006/relationships"><Relationship Id="rId1" Type="http://schemas.openxmlformats.org/officeDocument/2006/relationships/chartUserShapes" Target="../drawings/drawing58.xml"/>
</Relationships>
</file>

<file path=xl/charts/_rels/chart53.xml.rels><?xml version="1.0" encoding="UTF-8"?>
<Relationships xmlns="http://schemas.openxmlformats.org/package/2006/relationships"><Relationship Id="rId1" Type="http://schemas.openxmlformats.org/officeDocument/2006/relationships/chartUserShapes" Target="../drawings/drawing59.xml"/>
</Relationships>
</file>

<file path=xl/charts/_rels/chart54.xml.rels><?xml version="1.0" encoding="UTF-8"?>
<Relationships xmlns="http://schemas.openxmlformats.org/package/2006/relationships"><Relationship Id="rId1" Type="http://schemas.openxmlformats.org/officeDocument/2006/relationships/chartUserShapes" Target="../drawings/drawing60.xml"/>
</Relationships>
</file>

<file path=xl/charts/_rels/chart55.xml.rels><?xml version="1.0" encoding="UTF-8"?>
<Relationships xmlns="http://schemas.openxmlformats.org/package/2006/relationships"><Relationship Id="rId1" Type="http://schemas.openxmlformats.org/officeDocument/2006/relationships/chartUserShapes" Target="../drawings/drawing61.xml"/>
</Relationships>
</file>

<file path=xl/charts/_rels/chart56.xml.rels><?xml version="1.0" encoding="UTF-8"?>
<Relationships xmlns="http://schemas.openxmlformats.org/package/2006/relationships"><Relationship Id="rId1" Type="http://schemas.openxmlformats.org/officeDocument/2006/relationships/chartUserShapes" Target="../drawings/drawing62.xml"/>
</Relationships>
</file>

<file path=xl/charts/_rels/chart57.xml.rels><?xml version="1.0" encoding="UTF-8"?>
<Relationships xmlns="http://schemas.openxmlformats.org/package/2006/relationships"><Relationship Id="rId1" Type="http://schemas.openxmlformats.org/officeDocument/2006/relationships/chartUserShapes" Target="../drawings/drawing63.xml"/>
</Relationships>
</file>

<file path=xl/charts/_rels/chart58.xml.rels><?xml version="1.0" encoding="UTF-8"?>
<Relationships xmlns="http://schemas.openxmlformats.org/package/2006/relationships"><Relationship Id="rId1" Type="http://schemas.openxmlformats.org/officeDocument/2006/relationships/chartUserShapes" Target="../drawings/drawing64.xml"/>
</Relationships>
</file>

<file path=xl/charts/_rels/chart59.xml.rels><?xml version="1.0" encoding="UTF-8"?>
<Relationships xmlns="http://schemas.openxmlformats.org/package/2006/relationships"><Relationship Id="rId1" Type="http://schemas.openxmlformats.org/officeDocument/2006/relationships/chartUserShapes" Target="../drawings/drawing65.xml"/>
</Relationships>
</file>

<file path=xl/charts/_rels/chart60.xml.rels><?xml version="1.0" encoding="UTF-8"?>
<Relationships xmlns="http://schemas.openxmlformats.org/package/2006/relationships"><Relationship Id="rId1" Type="http://schemas.openxmlformats.org/officeDocument/2006/relationships/chartUserShapes" Target="../drawings/drawing66.xml"/>
</Relationships>
</file>

<file path=xl/charts/_rels/chart61.xml.rels><?xml version="1.0" encoding="UTF-8"?>
<Relationships xmlns="http://schemas.openxmlformats.org/package/2006/relationships"><Relationship Id="rId1" Type="http://schemas.openxmlformats.org/officeDocument/2006/relationships/chartUserShapes" Target="../drawings/drawing68.xml"/>
</Relationships>
</file>

<file path=xl/charts/_rels/chart62.xml.rels><?xml version="1.0" encoding="UTF-8"?>
<Relationships xmlns="http://schemas.openxmlformats.org/package/2006/relationships"><Relationship Id="rId1" Type="http://schemas.openxmlformats.org/officeDocument/2006/relationships/chartUserShapes" Target="../drawings/drawing69.xml"/>
</Relationships>
</file>

<file path=xl/charts/_rels/chart63.xml.rels><?xml version="1.0" encoding="UTF-8"?>
<Relationships xmlns="http://schemas.openxmlformats.org/package/2006/relationships"><Relationship Id="rId1" Type="http://schemas.openxmlformats.org/officeDocument/2006/relationships/chartUserShapes" Target="../drawings/drawing70.xml"/>
</Relationships>
</file>

<file path=xl/charts/_rels/chart64.xml.rels><?xml version="1.0" encoding="UTF-8"?>
<Relationships xmlns="http://schemas.openxmlformats.org/package/2006/relationships"><Relationship Id="rId1" Type="http://schemas.openxmlformats.org/officeDocument/2006/relationships/chartUserShapes" Target="../drawings/drawing71.xml"/>
</Relationships>
</file>

<file path=xl/charts/_rels/chart65.xml.rels><?xml version="1.0" encoding="UTF-8"?>
<Relationships xmlns="http://schemas.openxmlformats.org/package/2006/relationships"><Relationship Id="rId1" Type="http://schemas.openxmlformats.org/officeDocument/2006/relationships/chartUserShapes" Target="../drawings/drawing72.xml"/>
</Relationships>
</file>

<file path=xl/charts/_rels/chart66.xml.rels><?xml version="1.0" encoding="UTF-8"?>
<Relationships xmlns="http://schemas.openxmlformats.org/package/2006/relationships"><Relationship Id="rId1" Type="http://schemas.openxmlformats.org/officeDocument/2006/relationships/chartUserShapes" Target="../drawings/drawing73.xml"/>
</Relationships>
</file>

<file path=xl/charts/_rels/chart67.xml.rels><?xml version="1.0" encoding="UTF-8"?>
<Relationships xmlns="http://schemas.openxmlformats.org/package/2006/relationships"><Relationship Id="rId1" Type="http://schemas.openxmlformats.org/officeDocument/2006/relationships/chartUserShapes" Target="../drawings/drawing74.xml"/>
</Relationships>
</file>

<file path=xl/charts/_rels/chart68.xml.rels><?xml version="1.0" encoding="UTF-8"?>
<Relationships xmlns="http://schemas.openxmlformats.org/package/2006/relationships"><Relationship Id="rId1" Type="http://schemas.openxmlformats.org/officeDocument/2006/relationships/chartUserShapes" Target="../drawings/drawing75.xml"/>
</Relationships>
</file>

<file path=xl/charts/_rels/chart69.xml.rels><?xml version="1.0" encoding="UTF-8"?>
<Relationships xmlns="http://schemas.openxmlformats.org/package/2006/relationships"><Relationship Id="rId1" Type="http://schemas.openxmlformats.org/officeDocument/2006/relationships/chartUserShapes" Target="../drawings/drawing76.xml"/>
</Relationships>
</file>

<file path=xl/charts/_rels/chart70.xml.rels><?xml version="1.0" encoding="UTF-8"?>
<Relationships xmlns="http://schemas.openxmlformats.org/package/2006/relationships"><Relationship Id="rId1" Type="http://schemas.openxmlformats.org/officeDocument/2006/relationships/chartUserShapes" Target="../drawings/drawing77.xml"/>
</Relationships>
</file>

<file path=xl/charts/_rels/chart71.xml.rels><?xml version="1.0" encoding="UTF-8"?>
<Relationships xmlns="http://schemas.openxmlformats.org/package/2006/relationships"><Relationship Id="rId1" Type="http://schemas.openxmlformats.org/officeDocument/2006/relationships/chartUserShapes" Target="../drawings/drawing78.xml"/>
</Relationships>
</file>

<file path=xl/charts/_rels/chart72.xml.rels><?xml version="1.0" encoding="UTF-8"?>
<Relationships xmlns="http://schemas.openxmlformats.org/package/2006/relationships"><Relationship Id="rId1" Type="http://schemas.openxmlformats.org/officeDocument/2006/relationships/chartUserShapes" Target="../drawings/drawing79.xml"/>
</Relationships>
</file>

<file path=xl/charts/_rels/chart73.xml.rels><?xml version="1.0" encoding="UTF-8"?>
<Relationships xmlns="http://schemas.openxmlformats.org/package/2006/relationships"><Relationship Id="rId1" Type="http://schemas.openxmlformats.org/officeDocument/2006/relationships/chartUserShapes" Target="../drawings/drawing80.xml"/>
</Relationships>
</file>

<file path=xl/charts/_rels/chart74.xml.rels><?xml version="1.0" encoding="UTF-8"?>
<Relationships xmlns="http://schemas.openxmlformats.org/package/2006/relationships"><Relationship Id="rId1" Type="http://schemas.openxmlformats.org/officeDocument/2006/relationships/chartUserShapes" Target="../drawings/drawing81.xml"/>
</Relationships>
</file>

<file path=xl/charts/_rels/chart75.xml.rels><?xml version="1.0" encoding="UTF-8"?>
<Relationships xmlns="http://schemas.openxmlformats.org/package/2006/relationships"><Relationship Id="rId1" Type="http://schemas.openxmlformats.org/officeDocument/2006/relationships/chartUserShapes" Target="../drawings/drawing82.xml"/>
</Relationships>
</file>

<file path=xl/charts/_rels/chart76.xml.rels><?xml version="1.0" encoding="UTF-8"?>
<Relationships xmlns="http://schemas.openxmlformats.org/package/2006/relationships"><Relationship Id="rId1" Type="http://schemas.openxmlformats.org/officeDocument/2006/relationships/chartUserShapes" Target="../drawings/drawing84.xml"/>
</Relationships>
</file>

<file path=xl/charts/_rels/chart77.xml.rels><?xml version="1.0" encoding="UTF-8"?>
<Relationships xmlns="http://schemas.openxmlformats.org/package/2006/relationships"><Relationship Id="rId1" Type="http://schemas.openxmlformats.org/officeDocument/2006/relationships/chartUserShapes" Target="../drawings/drawing85.xml"/>
</Relationships>
</file>

<file path=xl/charts/_rels/chart78.xml.rels><?xml version="1.0" encoding="UTF-8"?>
<Relationships xmlns="http://schemas.openxmlformats.org/package/2006/relationships"><Relationship Id="rId1" Type="http://schemas.openxmlformats.org/officeDocument/2006/relationships/chartUserShapes" Target="../drawings/drawing86.xml"/>
</Relationships>
</file>

<file path=xl/charts/_rels/chart79.xml.rels><?xml version="1.0" encoding="UTF-8"?>
<Relationships xmlns="http://schemas.openxmlformats.org/package/2006/relationships"><Relationship Id="rId1" Type="http://schemas.openxmlformats.org/officeDocument/2006/relationships/chartUserShapes" Target="../drawings/drawing87.xml"/>
</Relationships>
</file>

<file path=xl/charts/_rels/chart80.xml.rels><?xml version="1.0" encoding="UTF-8"?>
<Relationships xmlns="http://schemas.openxmlformats.org/package/2006/relationships"><Relationship Id="rId1" Type="http://schemas.openxmlformats.org/officeDocument/2006/relationships/chartUserShapes" Target="../drawings/drawing88.xml"/>
</Relationships>
</file>

<file path=xl/charts/_rels/chart81.xml.rels><?xml version="1.0" encoding="UTF-8"?>
<Relationships xmlns="http://schemas.openxmlformats.org/package/2006/relationships"><Relationship Id="rId1" Type="http://schemas.openxmlformats.org/officeDocument/2006/relationships/chartUserShapes" Target="../drawings/drawing89.xml"/>
</Relationships>
</file>

<file path=xl/charts/_rels/chart82.xml.rels><?xml version="1.0" encoding="UTF-8"?>
<Relationships xmlns="http://schemas.openxmlformats.org/package/2006/relationships"><Relationship Id="rId1" Type="http://schemas.openxmlformats.org/officeDocument/2006/relationships/chartUserShapes" Target="../drawings/drawing90.xml"/>
</Relationships>
</file>

<file path=xl/charts/_rels/chart83.xml.rels><?xml version="1.0" encoding="UTF-8"?>
<Relationships xmlns="http://schemas.openxmlformats.org/package/2006/relationships"><Relationship Id="rId1" Type="http://schemas.openxmlformats.org/officeDocument/2006/relationships/chartUserShapes" Target="../drawings/drawing91.xml"/>
</Relationships>
</file>

<file path=xl/charts/_rels/chart84.xml.rels><?xml version="1.0" encoding="UTF-8"?>
<Relationships xmlns="http://schemas.openxmlformats.org/package/2006/relationships"><Relationship Id="rId1" Type="http://schemas.openxmlformats.org/officeDocument/2006/relationships/chartUserShapes" Target="../drawings/drawing92.xml"/>
</Relationships>
</file>

<file path=xl/charts/_rels/chart85.xml.rels><?xml version="1.0" encoding="UTF-8"?>
<Relationships xmlns="http://schemas.openxmlformats.org/package/2006/relationships"><Relationship Id="rId1" Type="http://schemas.openxmlformats.org/officeDocument/2006/relationships/chartUserShapes" Target="../drawings/drawing93.xml"/>
</Relationships>
</file>

<file path=xl/charts/_rels/chart86.xml.rels><?xml version="1.0" encoding="UTF-8"?>
<Relationships xmlns="http://schemas.openxmlformats.org/package/2006/relationships"><Relationship Id="rId1" Type="http://schemas.openxmlformats.org/officeDocument/2006/relationships/chartUserShapes" Target="../drawings/drawing94.xml"/>
</Relationships>
</file>

<file path=xl/charts/_rels/chart87.xml.rels><?xml version="1.0" encoding="UTF-8"?>
<Relationships xmlns="http://schemas.openxmlformats.org/package/2006/relationships"><Relationship Id="rId1" Type="http://schemas.openxmlformats.org/officeDocument/2006/relationships/chartUserShapes" Target="../drawings/drawing95.xml"/>
</Relationships>
</file>

<file path=xl/charts/_rels/chart88.xml.rels><?xml version="1.0" encoding="UTF-8"?>
<Relationships xmlns="http://schemas.openxmlformats.org/package/2006/relationships"><Relationship Id="rId1" Type="http://schemas.openxmlformats.org/officeDocument/2006/relationships/chartUserShapes" Target="../drawings/drawing96.xml"/>
</Relationships>
</file>

<file path=xl/charts/_rels/chart89.xml.rels><?xml version="1.0" encoding="UTF-8"?>
<Relationships xmlns="http://schemas.openxmlformats.org/package/2006/relationships"><Relationship Id="rId1" Type="http://schemas.openxmlformats.org/officeDocument/2006/relationships/chartUserShapes" Target="../drawings/drawing97.xml"/>
</Relationships>
</file>

<file path=xl/charts/_rels/chart90.xml.rels><?xml version="1.0" encoding="UTF-8"?>
<Relationships xmlns="http://schemas.openxmlformats.org/package/2006/relationships"><Relationship Id="rId1" Type="http://schemas.openxmlformats.org/officeDocument/2006/relationships/chartUserShapes" Target="../drawings/drawing98.xml"/>
</Relationships>
</file>

<file path=xl/charts/_rels/chart91.xml.rels><?xml version="1.0" encoding="UTF-8"?>
<Relationships xmlns="http://schemas.openxmlformats.org/package/2006/relationships"><Relationship Id="rId1" Type="http://schemas.openxmlformats.org/officeDocument/2006/relationships/chartUserShapes" Target="../drawings/drawing9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17298626768"/>
          <c:w val="0.693587842846553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USA!$AA$28</c:f>
              <c:strCache>
                <c:ptCount val="1"/>
                <c:pt idx="0">
                  <c:v>Population, USA (0 - 0.35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USA!$AB$28:$AR$28</c:f>
              <c:numCache>
                <c:formatCode>#,##0.000</c:formatCode>
                <c:ptCount val="17"/>
                <c:pt idx="0">
                  <c:v>0.606409928571429</c:v>
                </c:pt>
                <c:pt idx="1">
                  <c:v>0.634665882857143</c:v>
                </c:pt>
                <c:pt idx="2">
                  <c:v>0.666055537142857</c:v>
                </c:pt>
                <c:pt idx="3">
                  <c:v>0.69886806</c:v>
                </c:pt>
                <c:pt idx="4">
                  <c:v>0.734203328571429</c:v>
                </c:pt>
                <c:pt idx="5">
                  <c:v>0.771806722857143</c:v>
                </c:pt>
                <c:pt idx="6">
                  <c:v>0.818340497142857</c:v>
                </c:pt>
                <c:pt idx="7">
                  <c:v>0.859176128571429</c:v>
                </c:pt>
                <c:pt idx="8">
                  <c:v>0.897834322857143</c:v>
                </c:pt>
                <c:pt idx="9">
                  <c:v>0.921598616848571</c:v>
                </c:pt>
                <c:pt idx="10">
                  <c:v>0.941805377949082</c:v>
                </c:pt>
                <c:pt idx="11">
                  <c:v>0.959013856407224</c:v>
                </c:pt>
                <c:pt idx="12">
                  <c:v>0.972174442638709</c:v>
                </c:pt>
                <c:pt idx="13">
                  <c:v>0.980294704481799</c:v>
                </c:pt>
                <c:pt idx="14">
                  <c:v>0.982907323502498</c:v>
                </c:pt>
                <c:pt idx="15">
                  <c:v>0.980433362148276</c:v>
                </c:pt>
                <c:pt idx="16">
                  <c:v>0.973763482140339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USA!$AA$31</c:f>
              <c:strCache>
                <c:ptCount val="1"/>
                <c:pt idx="0">
                  <c:v>Crude birth rate (0 - 2 %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USA!$AB$31:$AR$31</c:f>
              <c:numCache>
                <c:formatCode>#,##0.000</c:formatCode>
                <c:ptCount val="17"/>
                <c:pt idx="0">
                  <c:v>0.811231110873962</c:v>
                </c:pt>
                <c:pt idx="1">
                  <c:v>0.77780084053135</c:v>
                </c:pt>
                <c:pt idx="2">
                  <c:v>0.797856805059731</c:v>
                </c:pt>
                <c:pt idx="3">
                  <c:v>0.804634813942666</c:v>
                </c:pt>
                <c:pt idx="4">
                  <c:v>0.784273597389809</c:v>
                </c:pt>
                <c:pt idx="5">
                  <c:v>0.729975872234749</c:v>
                </c:pt>
                <c:pt idx="6">
                  <c:v>0.721898318162177</c:v>
                </c:pt>
                <c:pt idx="7">
                  <c:v>0.71431879533631</c:v>
                </c:pt>
                <c:pt idx="8">
                  <c:v>0.69</c:v>
                </c:pt>
                <c:pt idx="9">
                  <c:v>0.65</c:v>
                </c:pt>
                <c:pt idx="10">
                  <c:v>0.625</c:v>
                </c:pt>
                <c:pt idx="11">
                  <c:v>0.6</c:v>
                </c:pt>
                <c:pt idx="12">
                  <c:v>0.575</c:v>
                </c:pt>
                <c:pt idx="13">
                  <c:v>0.55</c:v>
                </c:pt>
                <c:pt idx="14">
                  <c:v>0.525</c:v>
                </c:pt>
                <c:pt idx="15">
                  <c:v>0.5</c:v>
                </c:pt>
                <c:pt idx="16">
                  <c:v>0.475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USA!$AB$32:$AR$32</c:f>
              <c:numCache>
                <c:formatCode>#,##0.000</c:formatCode>
                <c:ptCount val="17"/>
                <c:pt idx="0">
                  <c:v>0.470192640786719</c:v>
                </c:pt>
                <c:pt idx="1">
                  <c:v>0.441060553710738</c:v>
                </c:pt>
                <c:pt idx="2">
                  <c:v>0.444516643009409</c:v>
                </c:pt>
                <c:pt idx="3">
                  <c:v>0.45110865214162</c:v>
                </c:pt>
                <c:pt idx="4">
                  <c:v>0.445194502659472</c:v>
                </c:pt>
                <c:pt idx="5">
                  <c:v>0.441388669945802</c:v>
                </c:pt>
                <c:pt idx="6">
                  <c:v>0.433700014790211</c:v>
                </c:pt>
                <c:pt idx="7">
                  <c:v>0.424202328446575</c:v>
                </c:pt>
                <c:pt idx="8">
                  <c:v>0.425315376273382</c:v>
                </c:pt>
                <c:pt idx="9">
                  <c:v>0.430742280521122</c:v>
                </c:pt>
                <c:pt idx="10">
                  <c:v>0.442282011113417</c:v>
                </c:pt>
                <c:pt idx="11">
                  <c:v>0.46276959249798</c:v>
                </c:pt>
                <c:pt idx="12">
                  <c:v>0.49147320185614</c:v>
                </c:pt>
                <c:pt idx="13">
                  <c:v>0.523348636805303</c:v>
                </c:pt>
                <c:pt idx="14">
                  <c:v>0.550169833361354</c:v>
                </c:pt>
                <c:pt idx="15">
                  <c:v>0.568029916824972</c:v>
                </c:pt>
                <c:pt idx="16">
                  <c:v>0.576319906124484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USA!$AA$38</c:f>
              <c:strCache>
                <c:ptCount val="1"/>
                <c:pt idx="0">
                  <c:v>Population, USA Your forecast (0 - 0.35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USA!$AB$38:$AR$38</c:f>
              <c:numCache>
                <c:formatCode>#,##0.000</c:formatCode>
                <c:ptCount val="17"/>
                <c:pt idx="9">
                  <c:v>0.921626932412857</c:v>
                </c:pt>
                <c:pt idx="10">
                  <c:v>0.941430166715151</c:v>
                </c:pt>
                <c:pt idx="11">
                  <c:v>0.958287756935607</c:v>
                </c:pt>
                <c:pt idx="12">
                  <c:v>0.971175366435677</c:v>
                </c:pt>
                <c:pt idx="13">
                  <c:v>0.979125044977544</c:v>
                </c:pt>
                <c:pt idx="14">
                  <c:v>0.981682356661843</c:v>
                </c:pt>
                <c:pt idx="15">
                  <c:v>0.979260896091409</c:v>
                </c:pt>
                <c:pt idx="16">
                  <c:v>0.972732230434926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USA!$AA$41</c:f>
              <c:strCache>
                <c:ptCount val="1"/>
                <c:pt idx="0">
                  <c:v>Crude birth rate Your forecast (0 - 2 %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USA!$AB$41:$AR$41</c:f>
              <c:numCache>
                <c:formatCode>#,##0.000</c:formatCode>
                <c:ptCount val="17"/>
                <c:pt idx="8">
                  <c:v>0.69</c:v>
                </c:pt>
                <c:pt idx="9">
                  <c:v>0.637</c:v>
                </c:pt>
                <c:pt idx="10">
                  <c:v>0.6125</c:v>
                </c:pt>
                <c:pt idx="11">
                  <c:v>0.588</c:v>
                </c:pt>
                <c:pt idx="12">
                  <c:v>0.5635</c:v>
                </c:pt>
                <c:pt idx="13">
                  <c:v>0.539</c:v>
                </c:pt>
                <c:pt idx="14">
                  <c:v>0.5145</c:v>
                </c:pt>
                <c:pt idx="15">
                  <c:v>0.49</c:v>
                </c:pt>
                <c:pt idx="16">
                  <c:v>0.4655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USA!$AB$42:$AR$42</c:f>
              <c:numCache>
                <c:formatCode>#,##0.000</c:formatCode>
                <c:ptCount val="17"/>
                <c:pt idx="8">
                  <c:v>0.425</c:v>
                </c:pt>
                <c:pt idx="9">
                  <c:v>0.4221274349107</c:v>
                </c:pt>
                <c:pt idx="10">
                  <c:v>0.433436370891148</c:v>
                </c:pt>
                <c:pt idx="11">
                  <c:v>0.45351420064802</c:v>
                </c:pt>
                <c:pt idx="12">
                  <c:v>0.481643737819017</c:v>
                </c:pt>
                <c:pt idx="13">
                  <c:v>0.512881664069197</c:v>
                </c:pt>
                <c:pt idx="14">
                  <c:v>0.539166436694127</c:v>
                </c:pt>
                <c:pt idx="15">
                  <c:v>0.556669318488472</c:v>
                </c:pt>
                <c:pt idx="16">
                  <c:v>0.564793508001994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USA!$AA$36</c:f>
              <c:strCache>
                <c:ptCount val="1"/>
                <c:pt idx="0">
                  <c:v>UN Low Birthrate (0 - 2 %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USA!$AB$36:$AR$36</c:f>
              <c:numCache>
                <c:formatCode>#,##0.000</c:formatCode>
                <c:ptCount val="17"/>
                <c:pt idx="8">
                  <c:v>0.615685147103484</c:v>
                </c:pt>
                <c:pt idx="9">
                  <c:v>0.560659654526804</c:v>
                </c:pt>
                <c:pt idx="10">
                  <c:v>0.522133775616362</c:v>
                </c:pt>
                <c:pt idx="11">
                  <c:v>0.517305466461001</c:v>
                </c:pt>
                <c:pt idx="12">
                  <c:v>0.517310016228008</c:v>
                </c:pt>
                <c:pt idx="13">
                  <c:v>0.51184107983994</c:v>
                </c:pt>
                <c:pt idx="14">
                  <c:v>0.490739869629689</c:v>
                </c:pt>
                <c:pt idx="15">
                  <c:v>0.463826330148424</c:v>
                </c:pt>
                <c:pt idx="16">
                  <c:v>0.446383739412521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USA!$AB$37:$AR$37</c:f>
              <c:numCache>
                <c:formatCode>#,##0.000</c:formatCode>
                <c:ptCount val="17"/>
                <c:pt idx="8">
                  <c:v>0.425315376273382</c:v>
                </c:pt>
                <c:pt idx="9">
                  <c:v>0.430742280521122</c:v>
                </c:pt>
                <c:pt idx="10">
                  <c:v>0.442282011113417</c:v>
                </c:pt>
                <c:pt idx="11">
                  <c:v>0.46276959249798</c:v>
                </c:pt>
                <c:pt idx="12">
                  <c:v>0.49147320185614</c:v>
                </c:pt>
                <c:pt idx="13">
                  <c:v>0.523348636805303</c:v>
                </c:pt>
                <c:pt idx="14">
                  <c:v>0.550169833361354</c:v>
                </c:pt>
                <c:pt idx="15">
                  <c:v>0.568029916824972</c:v>
                </c:pt>
                <c:pt idx="16">
                  <c:v>0.576319906124484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631428"/>
        <c:axId val="91185811"/>
      </c:lineChart>
      <c:catAx>
        <c:axId val="8663142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85811"/>
        <c:crosses val="autoZero"/>
        <c:auto val="1"/>
        <c:lblAlgn val="ctr"/>
        <c:lblOffset val="100"/>
        <c:noMultiLvlLbl val="0"/>
      </c:catAx>
      <c:valAx>
        <c:axId val="9118581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3142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2601435477"/>
          <c:y val="0.115966544497698"/>
          <c:w val="0.691775303940237"/>
          <c:h val="0.807067004980735"/>
        </c:manualLayout>
      </c:layout>
      <c:lineChart>
        <c:grouping val="standard"/>
        <c:varyColors val="0"/>
        <c:ser>
          <c:idx val="0"/>
          <c:order val="0"/>
          <c:tx>
            <c:strRef>
              <c:f>USA!$AA$506</c:f>
              <c:strCache>
                <c:ptCount val="1"/>
                <c:pt idx="0">
                  <c:v>GDP (0 - 18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USA!$AB$506:$AR$506</c:f>
              <c:numCache>
                <c:formatCode>#,##0.000</c:formatCode>
                <c:ptCount val="17"/>
                <c:pt idx="0">
                  <c:v>0.235199809967019</c:v>
                </c:pt>
                <c:pt idx="1">
                  <c:v>0.268849626044538</c:v>
                </c:pt>
                <c:pt idx="2">
                  <c:v>0.320006164883235</c:v>
                </c:pt>
                <c:pt idx="3">
                  <c:v>0.379246867026703</c:v>
                </c:pt>
                <c:pt idx="4">
                  <c:v>0.443805603576457</c:v>
                </c:pt>
                <c:pt idx="5">
                  <c:v>0.50256614611632</c:v>
                </c:pt>
                <c:pt idx="6">
                  <c:v>0.619294741071094</c:v>
                </c:pt>
                <c:pt idx="7">
                  <c:v>0.704559678180508</c:v>
                </c:pt>
                <c:pt idx="8">
                  <c:v>0.707005916154479</c:v>
                </c:pt>
                <c:pt idx="9">
                  <c:v>0.757648570893565</c:v>
                </c:pt>
                <c:pt idx="10">
                  <c:v>0.803631647525078</c:v>
                </c:pt>
                <c:pt idx="11">
                  <c:v>0.841388264975967</c:v>
                </c:pt>
                <c:pt idx="12">
                  <c:v>0.863320149368586</c:v>
                </c:pt>
                <c:pt idx="13">
                  <c:v>0.883809902720798</c:v>
                </c:pt>
                <c:pt idx="14">
                  <c:v>0.895135611006704</c:v>
                </c:pt>
                <c:pt idx="15">
                  <c:v>0.902673144168471</c:v>
                </c:pt>
                <c:pt idx="16">
                  <c:v>0.893832636422616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USA!$AA$505</c:f>
              <c:strCache>
                <c:ptCount val="1"/>
                <c:pt idx="0">
                  <c:v>Population (0 - 0.35G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USA!$AB$505:$AR$505</c:f>
              <c:numCache>
                <c:formatCode>#,##0.000</c:formatCode>
                <c:ptCount val="17"/>
                <c:pt idx="0">
                  <c:v>0.606409928571429</c:v>
                </c:pt>
                <c:pt idx="1">
                  <c:v>0.634665882857143</c:v>
                </c:pt>
                <c:pt idx="2">
                  <c:v>0.666055537142857</c:v>
                </c:pt>
                <c:pt idx="3">
                  <c:v>0.69886806</c:v>
                </c:pt>
                <c:pt idx="4">
                  <c:v>0.734203328571429</c:v>
                </c:pt>
                <c:pt idx="5">
                  <c:v>0.771806722857143</c:v>
                </c:pt>
                <c:pt idx="6">
                  <c:v>0.818340497142857</c:v>
                </c:pt>
                <c:pt idx="7">
                  <c:v>0.859176128571429</c:v>
                </c:pt>
                <c:pt idx="8">
                  <c:v>0.897834322857143</c:v>
                </c:pt>
                <c:pt idx="9">
                  <c:v>0.921598616848571</c:v>
                </c:pt>
                <c:pt idx="10">
                  <c:v>0.941805377949082</c:v>
                </c:pt>
                <c:pt idx="11">
                  <c:v>0.959013856407224</c:v>
                </c:pt>
                <c:pt idx="12">
                  <c:v>0.972174442638709</c:v>
                </c:pt>
                <c:pt idx="13">
                  <c:v>0.980294704481799</c:v>
                </c:pt>
                <c:pt idx="14">
                  <c:v>0.982907323502498</c:v>
                </c:pt>
                <c:pt idx="15">
                  <c:v>0.980433362148276</c:v>
                </c:pt>
                <c:pt idx="16">
                  <c:v>0.973763482140339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USA!$AA$509</c:f>
              <c:strCache>
                <c:ptCount val="1"/>
                <c:pt idx="0">
                  <c:v>Consumption (0 - 18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USA!$AB$509:$AR$509</c:f>
              <c:numCache>
                <c:formatCode>#,##0.000</c:formatCode>
                <c:ptCount val="17"/>
                <c:pt idx="0">
                  <c:v>0.19694586336895</c:v>
                </c:pt>
                <c:pt idx="1">
                  <c:v>0.228069982544105</c:v>
                </c:pt>
                <c:pt idx="2">
                  <c:v>0.264469768512024</c:v>
                </c:pt>
                <c:pt idx="3">
                  <c:v>0.307575968736043</c:v>
                </c:pt>
                <c:pt idx="4">
                  <c:v>0.366323649685123</c:v>
                </c:pt>
                <c:pt idx="5">
                  <c:v>0.406096426807332</c:v>
                </c:pt>
                <c:pt idx="6">
                  <c:v>0.474784189848289</c:v>
                </c:pt>
                <c:pt idx="7">
                  <c:v>0.543121689826196</c:v>
                </c:pt>
                <c:pt idx="8">
                  <c:v>0.59010680780555</c:v>
                </c:pt>
                <c:pt idx="9">
                  <c:v>0.61634111380451</c:v>
                </c:pt>
                <c:pt idx="10">
                  <c:v>0.62763154470374</c:v>
                </c:pt>
                <c:pt idx="11">
                  <c:v>0.636506475293501</c:v>
                </c:pt>
                <c:pt idx="12">
                  <c:v>0.634213681103303</c:v>
                </c:pt>
                <c:pt idx="13">
                  <c:v>0.631673294861007</c:v>
                </c:pt>
                <c:pt idx="14">
                  <c:v>0.623271453582118</c:v>
                </c:pt>
                <c:pt idx="15">
                  <c:v>0.607467782472702</c:v>
                </c:pt>
                <c:pt idx="16">
                  <c:v>0.578733428911563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USA!$AA$508</c:f>
              <c:strCache>
                <c:ptCount val="1"/>
                <c:pt idx="0">
                  <c:v>CO2 Emissions (0 - 11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USA!$AB$508:$AR$508</c:f>
              <c:numCache>
                <c:formatCode>#,##0.000</c:formatCode>
                <c:ptCount val="17"/>
                <c:pt idx="0">
                  <c:v>0.393501</c:v>
                </c:pt>
                <c:pt idx="1">
                  <c:v>0.400539</c:v>
                </c:pt>
                <c:pt idx="2">
                  <c:v>0.429158333333333</c:v>
                </c:pt>
                <c:pt idx="3">
                  <c:v>0.407823</c:v>
                </c:pt>
                <c:pt idx="4">
                  <c:v>0.443539333333333</c:v>
                </c:pt>
                <c:pt idx="5">
                  <c:v>0.476135666666667</c:v>
                </c:pt>
                <c:pt idx="6">
                  <c:v>0.519357333333333</c:v>
                </c:pt>
                <c:pt idx="7">
                  <c:v>0.529624</c:v>
                </c:pt>
                <c:pt idx="8">
                  <c:v>0.515634333333333</c:v>
                </c:pt>
                <c:pt idx="9">
                  <c:v>0.529242058906552</c:v>
                </c:pt>
                <c:pt idx="10">
                  <c:v>0.515028196856578</c:v>
                </c:pt>
                <c:pt idx="11">
                  <c:v>0.493201532964243</c:v>
                </c:pt>
                <c:pt idx="12">
                  <c:v>0.460263799777022</c:v>
                </c:pt>
                <c:pt idx="13">
                  <c:v>0.427529014832373</c:v>
                </c:pt>
                <c:pt idx="14">
                  <c:v>0.391691653275157</c:v>
                </c:pt>
                <c:pt idx="15">
                  <c:v>0.348615726950948</c:v>
                </c:pt>
                <c:pt idx="16">
                  <c:v>0.292057859319315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USA!$AA$507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USA!$AB$507:$AR$507</c:f>
              <c:numCache>
                <c:formatCode>#,##0.000</c:formatCode>
                <c:ptCount val="17"/>
                <c:pt idx="0">
                  <c:v>0.153451363139682</c:v>
                </c:pt>
                <c:pt idx="1">
                  <c:v>0.121451363139682</c:v>
                </c:pt>
                <c:pt idx="2">
                  <c:v>0.198118029806349</c:v>
                </c:pt>
                <c:pt idx="3">
                  <c:v>0.176784696473016</c:v>
                </c:pt>
                <c:pt idx="4">
                  <c:v>0.231784696473016</c:v>
                </c:pt>
                <c:pt idx="5">
                  <c:v>0.235784696473016</c:v>
                </c:pt>
                <c:pt idx="6">
                  <c:v>0.237157742182414</c:v>
                </c:pt>
                <c:pt idx="7">
                  <c:v>0.291885077953339</c:v>
                </c:pt>
                <c:pt idx="8">
                  <c:v>0.323311269283295</c:v>
                </c:pt>
                <c:pt idx="9">
                  <c:v>0.363716165224711</c:v>
                </c:pt>
                <c:pt idx="10">
                  <c:v>0.407845457394918</c:v>
                </c:pt>
                <c:pt idx="11">
                  <c:v>0.451553185780843</c:v>
                </c:pt>
                <c:pt idx="12">
                  <c:v>0.494161645571391</c:v>
                </c:pt>
                <c:pt idx="13">
                  <c:v>0.537767728169759</c:v>
                </c:pt>
                <c:pt idx="14">
                  <c:v>0.581482330958049</c:v>
                </c:pt>
                <c:pt idx="15">
                  <c:v>0.62560510635376</c:v>
                </c:pt>
                <c:pt idx="16">
                  <c:v>0.669907410939535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USA!$AA$512</c:f>
              <c:strCache>
                <c:ptCount val="1"/>
                <c:pt idx="0">
                  <c:v>GDP (0 - 18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USA!$AB$512:$AR$512</c:f>
              <c:numCache>
                <c:formatCode>#,##0.000</c:formatCode>
                <c:ptCount val="17"/>
                <c:pt idx="9">
                  <c:v>0.757604976804951</c:v>
                </c:pt>
                <c:pt idx="10">
                  <c:v>0.78595367845374</c:v>
                </c:pt>
                <c:pt idx="11">
                  <c:v>0.821488398307141</c:v>
                </c:pt>
                <c:pt idx="12">
                  <c:v>0.84177359620969</c:v>
                </c:pt>
                <c:pt idx="13">
                  <c:v>0.860907115960563</c:v>
                </c:pt>
                <c:pt idx="14">
                  <c:v>0.87140109905665</c:v>
                </c:pt>
                <c:pt idx="15">
                  <c:v>0.878520182865555</c:v>
                </c:pt>
                <c:pt idx="16">
                  <c:v>0.870025233975129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USA!$AA$511</c:f>
              <c:strCache>
                <c:ptCount val="1"/>
                <c:pt idx="0">
                  <c:v>Population (0 - 0.35G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USA!$AB$511:$AR$511</c:f>
              <c:numCache>
                <c:formatCode>#,##0.000</c:formatCode>
                <c:ptCount val="17"/>
                <c:pt idx="9">
                  <c:v>0.921626932412857</c:v>
                </c:pt>
                <c:pt idx="10">
                  <c:v>0.941430166715151</c:v>
                </c:pt>
                <c:pt idx="11">
                  <c:v>0.958287756935607</c:v>
                </c:pt>
                <c:pt idx="12">
                  <c:v>0.971175366435677</c:v>
                </c:pt>
                <c:pt idx="13">
                  <c:v>0.979125044977544</c:v>
                </c:pt>
                <c:pt idx="14">
                  <c:v>0.981682356661843</c:v>
                </c:pt>
                <c:pt idx="15">
                  <c:v>0.979260896091409</c:v>
                </c:pt>
                <c:pt idx="16">
                  <c:v>0.972732230434926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USA!$AA$514</c:f>
              <c:strCache>
                <c:ptCount val="1"/>
                <c:pt idx="0">
                  <c:v>Consumption (0 - 18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USA!$AB$514:$AR$514</c:f>
              <c:numCache>
                <c:formatCode>#,##0.000</c:formatCode>
                <c:ptCount val="17"/>
                <c:pt idx="9">
                  <c:v>0.616305650358575</c:v>
                </c:pt>
                <c:pt idx="10">
                  <c:v>0.614155256376826</c:v>
                </c:pt>
                <c:pt idx="11">
                  <c:v>0.622027356662308</c:v>
                </c:pt>
                <c:pt idx="12">
                  <c:v>0.619210054582148</c:v>
                </c:pt>
                <c:pt idx="13">
                  <c:v>0.616389044076539</c:v>
                </c:pt>
                <c:pt idx="14">
                  <c:v>0.608087374793405</c:v>
                </c:pt>
                <c:pt idx="15">
                  <c:v>0.592918004659044</c:v>
                </c:pt>
                <c:pt idx="16">
                  <c:v>0.565406814409262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USA!$AA$513</c:f>
              <c:strCache>
                <c:ptCount val="1"/>
                <c:pt idx="0">
                  <c:v>CO2 Emissions (0 - 11000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USA!$AB$513:$AR$513</c:f>
              <c:numCache>
                <c:formatCode>#,##0.000</c:formatCode>
                <c:ptCount val="17"/>
                <c:pt idx="9">
                  <c:v>0.529211607024109</c:v>
                </c:pt>
                <c:pt idx="10">
                  <c:v>0.510977940080351</c:v>
                </c:pt>
                <c:pt idx="11">
                  <c:v>0.489632430726524</c:v>
                </c:pt>
                <c:pt idx="12">
                  <c:v>0.457496900846218</c:v>
                </c:pt>
                <c:pt idx="13">
                  <c:v>0.425701254288122</c:v>
                </c:pt>
                <c:pt idx="14">
                  <c:v>0.390916446690855</c:v>
                </c:pt>
                <c:pt idx="15">
                  <c:v>0.349243871396584</c:v>
                </c:pt>
                <c:pt idx="16">
                  <c:v>0.294437096441477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71959"/>
        <c:axId val="12658341"/>
      </c:lineChart>
      <c:catAx>
        <c:axId val="387195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658341"/>
        <c:crosses val="autoZero"/>
        <c:auto val="1"/>
        <c:lblAlgn val="ctr"/>
        <c:lblOffset val="100"/>
        <c:noMultiLvlLbl val="0"/>
      </c:catAx>
      <c:valAx>
        <c:axId val="1265834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195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7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31863727455"/>
          <c:w val="0.699882249043274"/>
          <c:h val="0.807014028056112"/>
        </c:manualLayout>
      </c:layout>
      <c:lineChart>
        <c:grouping val="standard"/>
        <c:varyColors val="0"/>
        <c:ser>
          <c:idx val="0"/>
          <c:order val="0"/>
          <c:tx>
            <c:strRef>
              <c:f>USA!$AA$562</c:f>
              <c:strCache>
                <c:ptCount val="1"/>
                <c:pt idx="0">
                  <c:v>GDP per person (0 - 50 000 $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USA!$AB$562:$AR$562</c:f>
              <c:numCache>
                <c:formatCode>0.000</c:formatCode>
                <c:ptCount val="17"/>
                <c:pt idx="0">
                  <c:v>0.398937736899224</c:v>
                </c:pt>
                <c:pt idx="1">
                  <c:v>0.435711216564275</c:v>
                </c:pt>
                <c:pt idx="2">
                  <c:v>0.49417680630289</c:v>
                </c:pt>
                <c:pt idx="3">
                  <c:v>0.558163284495924</c:v>
                </c:pt>
                <c:pt idx="4">
                  <c:v>0.621742977612</c:v>
                </c:pt>
                <c:pt idx="5">
                  <c:v>0.669759881008682</c:v>
                </c:pt>
                <c:pt idx="6">
                  <c:v>0.778390998312123</c:v>
                </c:pt>
                <c:pt idx="7">
                  <c:v>0.843470774618598</c:v>
                </c:pt>
                <c:pt idx="8">
                  <c:v>0.809955764303268</c:v>
                </c:pt>
                <c:pt idx="9">
                  <c:v>0.845591191948525</c:v>
                </c:pt>
                <c:pt idx="10">
                  <c:v>0.877668116039117</c:v>
                </c:pt>
                <c:pt idx="11">
                  <c:v>0.902414416546324</c:v>
                </c:pt>
                <c:pt idx="12">
                  <c:v>0.913402369373487</c:v>
                </c:pt>
                <c:pt idx="13">
                  <c:v>0.927335024937885</c:v>
                </c:pt>
                <c:pt idx="14">
                  <c:v>0.936722000297503</c:v>
                </c:pt>
                <c:pt idx="15">
                  <c:v>0.946993279987968</c:v>
                </c:pt>
                <c:pt idx="16">
                  <c:v>0.944141702385669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USA!$AA$563</c:f>
              <c:strCache>
                <c:ptCount val="1"/>
                <c:pt idx="0">
                  <c:v>Consumption per person (0 - 50 000 $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USA!$AB$563:$AR$563</c:f>
              <c:numCache>
                <c:formatCode>0.000</c:formatCode>
                <c:ptCount val="17"/>
                <c:pt idx="0">
                  <c:v>0.334052723236001</c:v>
                </c:pt>
                <c:pt idx="1">
                  <c:v>0.369621676690085</c:v>
                </c:pt>
                <c:pt idx="2">
                  <c:v>0.408413461705105</c:v>
                </c:pt>
                <c:pt idx="3">
                  <c:v>0.452680372253774</c:v>
                </c:pt>
                <c:pt idx="4">
                  <c:v>0.513195766095563</c:v>
                </c:pt>
                <c:pt idx="5">
                  <c:v>0.541196609836067</c:v>
                </c:pt>
                <c:pt idx="6">
                  <c:v>0.596755817560538</c:v>
                </c:pt>
                <c:pt idx="7">
                  <c:v>0.650203647209707</c:v>
                </c:pt>
                <c:pt idx="8">
                  <c:v>0.676034527598313</c:v>
                </c:pt>
                <c:pt idx="9">
                  <c:v>0.68788173975458</c:v>
                </c:pt>
                <c:pt idx="10">
                  <c:v>0.685453586980176</c:v>
                </c:pt>
                <c:pt idx="11">
                  <c:v>0.682672487173741</c:v>
                </c:pt>
                <c:pt idx="12">
                  <c:v>0.671005164691823</c:v>
                </c:pt>
                <c:pt idx="13">
                  <c:v>0.662781406769979</c:v>
                </c:pt>
                <c:pt idx="14">
                  <c:v>0.652227523460019</c:v>
                </c:pt>
                <c:pt idx="15">
                  <c:v>0.637293699859399</c:v>
                </c:pt>
                <c:pt idx="16">
                  <c:v>0.61130724313999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USA!$AA$564</c:f>
              <c:strCache>
                <c:ptCount val="1"/>
                <c:pt idx="0">
                  <c:v>Food per person (0 - 4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USA!$AB$564:$AR$564</c:f>
              <c:numCache>
                <c:formatCode>0.000</c:formatCode>
                <c:ptCount val="17"/>
                <c:pt idx="0">
                  <c:v>0.516110540029558</c:v>
                </c:pt>
                <c:pt idx="1">
                  <c:v>0.632314758245867</c:v>
                </c:pt>
                <c:pt idx="2">
                  <c:v>0.653112502355981</c:v>
                </c:pt>
                <c:pt idx="3">
                  <c:v>0.784323575632124</c:v>
                </c:pt>
                <c:pt idx="4">
                  <c:v>0.671965149280465</c:v>
                </c:pt>
                <c:pt idx="5">
                  <c:v>0.609563207336368</c:v>
                </c:pt>
                <c:pt idx="6">
                  <c:v>0.711226411294657</c:v>
                </c:pt>
                <c:pt idx="7">
                  <c:v>0.714312924263375</c:v>
                </c:pt>
                <c:pt idx="8">
                  <c:v>0.769484401342605</c:v>
                </c:pt>
                <c:pt idx="9">
                  <c:v>0.784738900962476</c:v>
                </c:pt>
                <c:pt idx="10">
                  <c:v>0.819095525986982</c:v>
                </c:pt>
                <c:pt idx="11">
                  <c:v>0.848341682589791</c:v>
                </c:pt>
                <c:pt idx="12">
                  <c:v>0.872859222947897</c:v>
                </c:pt>
                <c:pt idx="13">
                  <c:v>0.89040279302391</c:v>
                </c:pt>
                <c:pt idx="14">
                  <c:v>0.895230456003755</c:v>
                </c:pt>
                <c:pt idx="15">
                  <c:v>0.867254978372636</c:v>
                </c:pt>
                <c:pt idx="16">
                  <c:v>0.836225355766997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USA!$AA$565</c:f>
              <c:strCache>
                <c:ptCount val="1"/>
                <c:pt idx="0">
                  <c:v>Energy use per person (0 - 9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USA!$AB$565:$AR$565</c:f>
              <c:numCache>
                <c:formatCode>0.000</c:formatCode>
                <c:ptCount val="17"/>
                <c:pt idx="0">
                  <c:v>0.852001942518166</c:v>
                </c:pt>
                <c:pt idx="1">
                  <c:v>0.858691786601789</c:v>
                </c:pt>
                <c:pt idx="2">
                  <c:v>0.863333768307964</c:v>
                </c:pt>
                <c:pt idx="3">
                  <c:v>0.796709929314547</c:v>
                </c:pt>
                <c:pt idx="4">
                  <c:v>0.851108789008024</c:v>
                </c:pt>
                <c:pt idx="5">
                  <c:v>0.872781983302294</c:v>
                </c:pt>
                <c:pt idx="6">
                  <c:v>0.89872185689203</c:v>
                </c:pt>
                <c:pt idx="7">
                  <c:v>0.871509325136943</c:v>
                </c:pt>
                <c:pt idx="8">
                  <c:v>0.817135378574278</c:v>
                </c:pt>
                <c:pt idx="9">
                  <c:v>0.831759518820942</c:v>
                </c:pt>
                <c:pt idx="10">
                  <c:v>0.820146160450234</c:v>
                </c:pt>
                <c:pt idx="11">
                  <c:v>0.801107070056535</c:v>
                </c:pt>
                <c:pt idx="12">
                  <c:v>0.770318412882128</c:v>
                </c:pt>
                <c:pt idx="13">
                  <c:v>0.7429650996577</c:v>
                </c:pt>
                <c:pt idx="14">
                  <c:v>0.712961495907857</c:v>
                </c:pt>
                <c:pt idx="15">
                  <c:v>0.684740251681344</c:v>
                </c:pt>
                <c:pt idx="16">
                  <c:v>0.648544449625343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USA!$AA$538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USA!$AB$538:$AR$538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USA!$AA$567</c:f>
              <c:strCache>
                <c:ptCount val="1"/>
                <c:pt idx="0">
                  <c:v>GDP per person (0 - 50 000$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USA!$AB$567:$AR$567</c:f>
              <c:numCache>
                <c:formatCode>0.000</c:formatCode>
                <c:ptCount val="17"/>
                <c:pt idx="9">
                  <c:v>0.845516559769995</c:v>
                </c:pt>
                <c:pt idx="10">
                  <c:v>0.858703626057411</c:v>
                </c:pt>
                <c:pt idx="11">
                  <c:v>0.881738798483271</c:v>
                </c:pt>
                <c:pt idx="12">
                  <c:v>0.891522067291289</c:v>
                </c:pt>
                <c:pt idx="13">
                  <c:v>0.904383425460405</c:v>
                </c:pt>
                <c:pt idx="14">
                  <c:v>0.913022697446886</c:v>
                </c:pt>
                <c:pt idx="15">
                  <c:v>0.922757932156323</c:v>
                </c:pt>
                <c:pt idx="16">
                  <c:v>0.919968589303216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USA!$AA$568</c:f>
              <c:strCache>
                <c:ptCount val="1"/>
                <c:pt idx="0">
                  <c:v>Consumption per person (0 - 50 000$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USA!$AB$568:$AR$568</c:f>
              <c:numCache>
                <c:formatCode>0.000</c:formatCode>
                <c:ptCount val="17"/>
                <c:pt idx="9">
                  <c:v>0.68782102706824</c:v>
                </c:pt>
                <c:pt idx="10">
                  <c:v>0.671003088439697</c:v>
                </c:pt>
                <c:pt idx="11">
                  <c:v>0.667648691347782</c:v>
                </c:pt>
                <c:pt idx="12">
                  <c:v>0.655805112484322</c:v>
                </c:pt>
                <c:pt idx="13">
                  <c:v>0.647517048893508</c:v>
                </c:pt>
                <c:pt idx="14">
                  <c:v>0.637132057577513</c:v>
                </c:pt>
                <c:pt idx="15">
                  <c:v>0.622774299997114</c:v>
                </c:pt>
                <c:pt idx="16">
                  <c:v>0.597863704547888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USA!$AA$569</c:f>
              <c:strCache>
                <c:ptCount val="1"/>
                <c:pt idx="0">
                  <c:v>Food per person (0 - 4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USA!$AB$569:$AR$569</c:f>
              <c:numCache>
                <c:formatCode>0.000</c:formatCode>
                <c:ptCount val="17"/>
                <c:pt idx="9">
                  <c:v>0.784714791071568</c:v>
                </c:pt>
                <c:pt idx="10">
                  <c:v>0.786972869782883</c:v>
                </c:pt>
                <c:pt idx="11">
                  <c:v>0.815364690141297</c:v>
                </c:pt>
                <c:pt idx="12">
                  <c:v>0.839156375012913</c:v>
                </c:pt>
                <c:pt idx="13">
                  <c:v>0.856164393199876</c:v>
                </c:pt>
                <c:pt idx="14">
                  <c:v>0.860852183259827</c:v>
                </c:pt>
                <c:pt idx="15">
                  <c:v>0.833908923821434</c:v>
                </c:pt>
                <c:pt idx="16">
                  <c:v>0.803962257578672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USA!$AA$570</c:f>
              <c:strCache>
                <c:ptCount val="1"/>
                <c:pt idx="0">
                  <c:v>Energy use per person (0 - 9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USA!$AB$570:$AR$570</c:f>
              <c:numCache>
                <c:formatCode>0.000</c:formatCode>
                <c:ptCount val="17"/>
                <c:pt idx="9">
                  <c:v>0.831686107430788</c:v>
                </c:pt>
                <c:pt idx="10">
                  <c:v>0.803269251691203</c:v>
                </c:pt>
                <c:pt idx="11">
                  <c:v>0.784401317087638</c:v>
                </c:pt>
                <c:pt idx="12">
                  <c:v>0.754242460277306</c:v>
                </c:pt>
                <c:pt idx="13">
                  <c:v>0.727632336921743</c:v>
                </c:pt>
                <c:pt idx="14">
                  <c:v>0.69858858987044</c:v>
                </c:pt>
                <c:pt idx="15">
                  <c:v>0.671441558203197</c:v>
                </c:pt>
                <c:pt idx="16">
                  <c:v>0.636610719471273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588084"/>
        <c:axId val="89627443"/>
      </c:lineChart>
      <c:catAx>
        <c:axId val="6658808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627443"/>
        <c:crosses val="autoZero"/>
        <c:auto val="1"/>
        <c:lblAlgn val="ctr"/>
        <c:lblOffset val="100"/>
        <c:noMultiLvlLbl val="0"/>
      </c:catAx>
      <c:valAx>
        <c:axId val="8962744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8808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0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USA!$AA$536</c:f>
              <c:strCache>
                <c:ptCount val="1"/>
                <c:pt idx="0">
                  <c:v>Food production (0 - 1.3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USA!$AB$536:$AR$536</c:f>
              <c:numCache>
                <c:formatCode>#,##0.000</c:formatCode>
                <c:ptCount val="17"/>
                <c:pt idx="0">
                  <c:v>0.337049521538462</c:v>
                </c:pt>
                <c:pt idx="1">
                  <c:v>0.432178496923077</c:v>
                </c:pt>
                <c:pt idx="2">
                  <c:v>0.468471444615385</c:v>
                </c:pt>
                <c:pt idx="3">
                  <c:v>0.590303210769231</c:v>
                </c:pt>
                <c:pt idx="4">
                  <c:v>0.531309745384615</c:v>
                </c:pt>
                <c:pt idx="5">
                  <c:v>0.506654595384615</c:v>
                </c:pt>
                <c:pt idx="6">
                  <c:v>0.626796557692308</c:v>
                </c:pt>
                <c:pt idx="7">
                  <c:v>0.660929890769231</c:v>
                </c:pt>
                <c:pt idx="8">
                  <c:v>0.744013314615385</c:v>
                </c:pt>
                <c:pt idx="9">
                  <c:v>0.778846153846154</c:v>
                </c:pt>
                <c:pt idx="10">
                  <c:v>0.830769230769231</c:v>
                </c:pt>
                <c:pt idx="11">
                  <c:v>0.876153846153846</c:v>
                </c:pt>
                <c:pt idx="12">
                  <c:v>0.913846153846154</c:v>
                </c:pt>
                <c:pt idx="13">
                  <c:v>0.94</c:v>
                </c:pt>
                <c:pt idx="14">
                  <c:v>0.947615384615385</c:v>
                </c:pt>
                <c:pt idx="15">
                  <c:v>0.915692307692308</c:v>
                </c:pt>
                <c:pt idx="16">
                  <c:v>0.876923076923077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USA!$AA$535</c:f>
              <c:strCache>
                <c:ptCount val="1"/>
                <c:pt idx="0">
                  <c:v>Energy use (0 - 3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USA!$AB$535:$AR$535</c:f>
              <c:numCache>
                <c:formatCode>#,##0.000</c:formatCode>
                <c:ptCount val="17"/>
                <c:pt idx="0">
                  <c:v>0.542495558960418</c:v>
                </c:pt>
                <c:pt idx="1">
                  <c:v>0.572231499888092</c:v>
                </c:pt>
                <c:pt idx="2">
                  <c:v>0.603779648623125</c:v>
                </c:pt>
                <c:pt idx="3">
                  <c:v>0.584634878816934</c:v>
                </c:pt>
                <c:pt idx="4">
                  <c:v>0.656131251159394</c:v>
                </c:pt>
                <c:pt idx="5">
                  <c:v>0.707299952416366</c:v>
                </c:pt>
                <c:pt idx="6">
                  <c:v>0.772233515720284</c:v>
                </c:pt>
                <c:pt idx="7">
                  <c:v>0.78621900838431</c:v>
                </c:pt>
                <c:pt idx="8">
                  <c:v>0.770334798770095</c:v>
                </c:pt>
                <c:pt idx="9">
                  <c:v>0.804875843200814</c:v>
                </c:pt>
                <c:pt idx="10">
                  <c:v>0.811038967847138</c:v>
                </c:pt>
                <c:pt idx="11">
                  <c:v>0.80668641968251</c:v>
                </c:pt>
                <c:pt idx="12">
                  <c:v>0.786328067382919</c:v>
                </c:pt>
                <c:pt idx="13">
                  <c:v>0.764740990449698</c:v>
                </c:pt>
                <c:pt idx="14">
                  <c:v>0.735813829488285</c:v>
                </c:pt>
                <c:pt idx="15">
                  <c:v>0.704909296511907</c:v>
                </c:pt>
                <c:pt idx="16">
                  <c:v>0.663105346669462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USA!$AA$534</c:f>
              <c:strCache>
                <c:ptCount val="1"/>
                <c:pt idx="0">
                  <c:v>Investment share of GDP (0 - 40 %)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USA!$AB$534:$AR$534</c:f>
              <c:numCache>
                <c:formatCode>#,##0.000</c:formatCode>
                <c:ptCount val="17"/>
                <c:pt idx="0">
                  <c:v>0.406611155462172</c:v>
                </c:pt>
                <c:pt idx="1">
                  <c:v>0.379204949067682</c:v>
                </c:pt>
                <c:pt idx="2">
                  <c:v>0.433869738036727</c:v>
                </c:pt>
                <c:pt idx="3">
                  <c:v>0.47245544078294</c:v>
                </c:pt>
                <c:pt idx="4">
                  <c:v>0.436463359559552</c:v>
                </c:pt>
                <c:pt idx="5">
                  <c:v>0.479885682981617</c:v>
                </c:pt>
                <c:pt idx="6">
                  <c:v>0.58336742442245</c:v>
                </c:pt>
                <c:pt idx="7">
                  <c:v>0.572832910234156</c:v>
                </c:pt>
                <c:pt idx="8">
                  <c:v>0.413359724713348</c:v>
                </c:pt>
                <c:pt idx="9">
                  <c:v>0.466269793535011</c:v>
                </c:pt>
                <c:pt idx="10">
                  <c:v>0.547514845151258</c:v>
                </c:pt>
                <c:pt idx="11">
                  <c:v>0.608761133863444</c:v>
                </c:pt>
                <c:pt idx="12">
                  <c:v>0.663445850397583</c:v>
                </c:pt>
                <c:pt idx="13">
                  <c:v>0.713209387798187</c:v>
                </c:pt>
                <c:pt idx="14">
                  <c:v>0.75928204084864</c:v>
                </c:pt>
                <c:pt idx="15">
                  <c:v>0.81758653063648</c:v>
                </c:pt>
                <c:pt idx="16">
                  <c:v>0.88131489797736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USA!$AA$533</c:f>
              <c:strCache>
                <c:ptCount val="1"/>
                <c:pt idx="0">
                  <c:v>Unused bio-capacity (0 - 50 %)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USA!$AB$533:$AR$533</c:f>
              <c:numCache>
                <c:formatCode>#,##0.000</c:formatCode>
                <c:ptCount val="17"/>
                <c:pt idx="0">
                  <c:v>0.745335149829275</c:v>
                </c:pt>
                <c:pt idx="1">
                  <c:v>0.827852865730433</c:v>
                </c:pt>
                <c:pt idx="2">
                  <c:v>0.894810445667667</c:v>
                </c:pt>
                <c:pt idx="3">
                  <c:v>0.707339027904021</c:v>
                </c:pt>
                <c:pt idx="4">
                  <c:v>0.766235225553238</c:v>
                </c:pt>
                <c:pt idx="5">
                  <c:v>0.834649573633016</c:v>
                </c:pt>
                <c:pt idx="6">
                  <c:v>0.721036052850549</c:v>
                </c:pt>
                <c:pt idx="7">
                  <c:v>0.630877039370017</c:v>
                </c:pt>
                <c:pt idx="8">
                  <c:v>0.745335399733534</c:v>
                </c:pt>
                <c:pt idx="9">
                  <c:v>0.717992453428972</c:v>
                </c:pt>
                <c:pt idx="10">
                  <c:v>0.7226363621192</c:v>
                </c:pt>
                <c:pt idx="11">
                  <c:v>0.699296630620157</c:v>
                </c:pt>
                <c:pt idx="12">
                  <c:v>0.714410849646277</c:v>
                </c:pt>
                <c:pt idx="13">
                  <c:v>0.703672735100524</c:v>
                </c:pt>
                <c:pt idx="14">
                  <c:v>0.678187640228733</c:v>
                </c:pt>
                <c:pt idx="15">
                  <c:v>0.635251974996399</c:v>
                </c:pt>
                <c:pt idx="16">
                  <c:v>0.595246756984992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USA!$AA$537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USA!$AB$537:$AR$537</c:f>
              <c:numCache>
                <c:formatCode>0.000</c:formatCode>
                <c:ptCount val="17"/>
                <c:pt idx="0">
                  <c:v>0.0881096294520453</c:v>
                </c:pt>
                <c:pt idx="1">
                  <c:v>0.10090445880759</c:v>
                </c:pt>
                <c:pt idx="2">
                  <c:v>0.0880702424253366</c:v>
                </c:pt>
                <c:pt idx="3">
                  <c:v>0.0926252065527161</c:v>
                </c:pt>
                <c:pt idx="4">
                  <c:v>0.103337530378301</c:v>
                </c:pt>
                <c:pt idx="5">
                  <c:v>0.102830184459654</c:v>
                </c:pt>
                <c:pt idx="6">
                  <c:v>0.0902794257016216</c:v>
                </c:pt>
                <c:pt idx="7">
                  <c:v>0.0952733267782849</c:v>
                </c:pt>
                <c:pt idx="8">
                  <c:v>0.133306188710747</c:v>
                </c:pt>
                <c:pt idx="9">
                  <c:v>0.175</c:v>
                </c:pt>
                <c:pt idx="10">
                  <c:v>0.225</c:v>
                </c:pt>
                <c:pt idx="11">
                  <c:v>0.3</c:v>
                </c:pt>
                <c:pt idx="12">
                  <c:v>0.375</c:v>
                </c:pt>
                <c:pt idx="13">
                  <c:v>0.475</c:v>
                </c:pt>
                <c:pt idx="14">
                  <c:v>0.575</c:v>
                </c:pt>
                <c:pt idx="15">
                  <c:v>0.725</c:v>
                </c:pt>
                <c:pt idx="16">
                  <c:v>0.925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USA!$AA$543</c:f>
              <c:strCache>
                <c:ptCount val="1"/>
                <c:pt idx="0">
                  <c:v>Food production (0 - 1.3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USA!$AB$543:$AR$543</c:f>
              <c:numCache>
                <c:formatCode>#,##0.000</c:formatCode>
                <c:ptCount val="17"/>
                <c:pt idx="9">
                  <c:v>0.778846153846154</c:v>
                </c:pt>
                <c:pt idx="10">
                  <c:v>0.797870769230769</c:v>
                </c:pt>
                <c:pt idx="11">
                  <c:v>0.841458153846154</c:v>
                </c:pt>
                <c:pt idx="12">
                  <c:v>0.877657846153846</c:v>
                </c:pt>
                <c:pt idx="13">
                  <c:v>0.902776</c:v>
                </c:pt>
                <c:pt idx="14">
                  <c:v>0.910089815384615</c:v>
                </c:pt>
                <c:pt idx="15">
                  <c:v>0.879430892307692</c:v>
                </c:pt>
                <c:pt idx="16">
                  <c:v>0.842196923076923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USA!$AA$542</c:f>
              <c:strCache>
                <c:ptCount val="1"/>
                <c:pt idx="0">
                  <c:v>Energy use (0 - 3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USA!$AB$542:$AR$542</c:f>
              <c:numCache>
                <c:formatCode>#,##0.000</c:formatCode>
                <c:ptCount val="17"/>
                <c:pt idx="9">
                  <c:v>0.804829531717919</c:v>
                </c:pt>
                <c:pt idx="10">
                  <c:v>0.794033000813644</c:v>
                </c:pt>
                <c:pt idx="11">
                  <c:v>0.789266287623711</c:v>
                </c:pt>
                <c:pt idx="12">
                  <c:v>0.769126782628217</c:v>
                </c:pt>
                <c:pt idx="13">
                  <c:v>0.748065196846398</c:v>
                </c:pt>
                <c:pt idx="14">
                  <c:v>0.720081697903142</c:v>
                </c:pt>
                <c:pt idx="15">
                  <c:v>0.690392285057028</c:v>
                </c:pt>
                <c:pt idx="16">
                  <c:v>0.650214353323578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USA!$AA$541</c:f>
              <c:strCache>
                <c:ptCount val="1"/>
                <c:pt idx="0">
                  <c:v>Investment share of GDP (0 - 40 %),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USA!$AB$541:$AR$541</c:f>
              <c:numCache>
                <c:formatCode>#,##0.000</c:formatCode>
                <c:ptCount val="17"/>
                <c:pt idx="9">
                  <c:v>0.466269793535011</c:v>
                </c:pt>
                <c:pt idx="10">
                  <c:v>0.546464845151258</c:v>
                </c:pt>
                <c:pt idx="11">
                  <c:v>0.607011133863444</c:v>
                </c:pt>
                <c:pt idx="12">
                  <c:v>0.660995850397583</c:v>
                </c:pt>
                <c:pt idx="13">
                  <c:v>0.710059387798187</c:v>
                </c:pt>
                <c:pt idx="14">
                  <c:v>0.75543204084864</c:v>
                </c:pt>
                <c:pt idx="15">
                  <c:v>0.81273653063648</c:v>
                </c:pt>
                <c:pt idx="16">
                  <c:v>0.87531489797736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USA!$AA$540</c:f>
              <c:strCache>
                <c:ptCount val="1"/>
                <c:pt idx="0">
                  <c:v>Unused bio-capacity (0 - 50 %),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USA!$AB$540:$AR$540</c:f>
              <c:numCache>
                <c:formatCode>#,##0.000</c:formatCode>
                <c:ptCount val="17"/>
                <c:pt idx="9">
                  <c:v>0.717953064516667</c:v>
                </c:pt>
                <c:pt idx="10">
                  <c:v>0.696418837780705</c:v>
                </c:pt>
                <c:pt idx="11">
                  <c:v>0.673076440406213</c:v>
                </c:pt>
                <c:pt idx="12">
                  <c:v>0.688178038377364</c:v>
                </c:pt>
                <c:pt idx="13">
                  <c:v>0.677439954134829</c:v>
                </c:pt>
                <c:pt idx="14">
                  <c:v>0.651510827842209</c:v>
                </c:pt>
                <c:pt idx="15">
                  <c:v>0.607638370828019</c:v>
                </c:pt>
                <c:pt idx="16">
                  <c:v>0.566627374588427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USA!$AA$544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USA!$AB$544:$AR$544</c:f>
              <c:numCache>
                <c:formatCode>0.000</c:formatCode>
                <c:ptCount val="17"/>
                <c:pt idx="9">
                  <c:v>0.175</c:v>
                </c:pt>
                <c:pt idx="10">
                  <c:v>0.2205</c:v>
                </c:pt>
                <c:pt idx="11">
                  <c:v>0.294</c:v>
                </c:pt>
                <c:pt idx="12">
                  <c:v>0.3675</c:v>
                </c:pt>
                <c:pt idx="13">
                  <c:v>0.4655</c:v>
                </c:pt>
                <c:pt idx="14">
                  <c:v>0.5635</c:v>
                </c:pt>
                <c:pt idx="15">
                  <c:v>0.7105</c:v>
                </c:pt>
                <c:pt idx="16">
                  <c:v>0.9065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909211"/>
        <c:axId val="39649249"/>
      </c:lineChart>
      <c:catAx>
        <c:axId val="7390921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49249"/>
        <c:crosses val="autoZero"/>
        <c:auto val="1"/>
        <c:lblAlgn val="ctr"/>
        <c:lblOffset val="100"/>
        <c:noMultiLvlLbl val="0"/>
      </c:catAx>
      <c:valAx>
        <c:axId val="3964924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092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20057542129"/>
          <c:w val="0.711051832092179"/>
          <c:h val="0.806309083436087"/>
        </c:manualLayout>
      </c:layout>
      <c:lineChart>
        <c:grouping val="standard"/>
        <c:varyColors val="0"/>
        <c:ser>
          <c:idx val="0"/>
          <c:order val="0"/>
          <c:tx>
            <c:strRef>
              <c:f>USA!$AA$71</c:f>
              <c:strCache>
                <c:ptCount val="1"/>
                <c:pt idx="0">
                  <c:v>People USA Age15-64 (0 - 0.25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USA!$AB$71:$AR$71</c:f>
              <c:numCache>
                <c:formatCode>#,##0.000</c:formatCode>
                <c:ptCount val="17"/>
                <c:pt idx="0">
                  <c:v>0.524283592</c:v>
                </c:pt>
                <c:pt idx="1">
                  <c:v>0.571357192</c:v>
                </c:pt>
                <c:pt idx="2">
                  <c:v>0.6158706</c:v>
                </c:pt>
                <c:pt idx="3">
                  <c:v>0.648325304</c:v>
                </c:pt>
                <c:pt idx="4">
                  <c:v>0.676014944</c:v>
                </c:pt>
                <c:pt idx="5">
                  <c:v>0.707545644</c:v>
                </c:pt>
                <c:pt idx="6">
                  <c:v>0.758786212</c:v>
                </c:pt>
                <c:pt idx="7">
                  <c:v>0.807476332</c:v>
                </c:pt>
                <c:pt idx="8">
                  <c:v>0.840338576</c:v>
                </c:pt>
                <c:pt idx="9">
                  <c:v>0.857649348</c:v>
                </c:pt>
                <c:pt idx="10">
                  <c:v>0.872615496</c:v>
                </c:pt>
                <c:pt idx="11">
                  <c:v>0.882718016</c:v>
                </c:pt>
                <c:pt idx="12">
                  <c:v>0.88148634</c:v>
                </c:pt>
                <c:pt idx="13">
                  <c:v>0.884712984</c:v>
                </c:pt>
                <c:pt idx="14">
                  <c:v>0.884987916</c:v>
                </c:pt>
                <c:pt idx="15">
                  <c:v>0.888</c:v>
                </c:pt>
                <c:pt idx="16">
                  <c:v>0.881506964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USA!$AA$72</c:f>
              <c:strCache>
                <c:ptCount val="1"/>
                <c:pt idx="0">
                  <c:v>Support burden (pop/age15-64) (0 - 2.4)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USA!$AB$72:$AR$72</c:f>
              <c:numCache>
                <c:formatCode>#,##0.000</c:formatCode>
                <c:ptCount val="17"/>
                <c:pt idx="0">
                  <c:v>0.674709509123833</c:v>
                </c:pt>
                <c:pt idx="1">
                  <c:v>0.647969029153308</c:v>
                </c:pt>
                <c:pt idx="2">
                  <c:v>0.630866933194516</c:v>
                </c:pt>
                <c:pt idx="3">
                  <c:v>0.62880938393853</c:v>
                </c:pt>
                <c:pt idx="4">
                  <c:v>0.633544093664296</c:v>
                </c:pt>
                <c:pt idx="5">
                  <c:v>0.636313137040998</c:v>
                </c:pt>
                <c:pt idx="6">
                  <c:v>0.62911697979035</c:v>
                </c:pt>
                <c:pt idx="7">
                  <c:v>0.620682062294799</c:v>
                </c:pt>
                <c:pt idx="8">
                  <c:v>0.623244848316155</c:v>
                </c:pt>
                <c:pt idx="9">
                  <c:v>0.626828661871339</c:v>
                </c:pt>
                <c:pt idx="10">
                  <c:v>0.629585966543846</c:v>
                </c:pt>
                <c:pt idx="11">
                  <c:v>0.63375250015389</c:v>
                </c:pt>
                <c:pt idx="12">
                  <c:v>0.643347188120821</c:v>
                </c:pt>
                <c:pt idx="13">
                  <c:v>0.646354906004616</c:v>
                </c:pt>
                <c:pt idx="14">
                  <c:v>0.647876196963188</c:v>
                </c:pt>
                <c:pt idx="15">
                  <c:v>0.644053447357164</c:v>
                </c:pt>
                <c:pt idx="16">
                  <c:v>0.644383676037751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USA!$AA$75</c:f>
              <c:strCache>
                <c:ptCount val="1"/>
                <c:pt idx="0">
                  <c:v>People USA Age15-64 (0 - 0.25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USA!$AB$75:$AR$75</c:f>
              <c:numCache>
                <c:formatCode>#,##0.000</c:formatCode>
                <c:ptCount val="17"/>
                <c:pt idx="9">
                  <c:v>0.8576</c:v>
                </c:pt>
                <c:pt idx="10">
                  <c:v>0.85516318608</c:v>
                </c:pt>
                <c:pt idx="11">
                  <c:v>0.86506365568</c:v>
                </c:pt>
                <c:pt idx="12">
                  <c:v>0.8638566132</c:v>
                </c:pt>
                <c:pt idx="13">
                  <c:v>0.86701872432</c:v>
                </c:pt>
                <c:pt idx="14">
                  <c:v>0.86728815768</c:v>
                </c:pt>
                <c:pt idx="15">
                  <c:v>0.87024</c:v>
                </c:pt>
                <c:pt idx="16">
                  <c:v>0.86387682472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USA!$AA$76</c:f>
              <c:strCache>
                <c:ptCount val="1"/>
                <c:pt idx="0">
                  <c:v>Support burden (pop/age15-64) (0 - 2.4)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USA!$AB$76:$AR$76</c:f>
              <c:numCache>
                <c:formatCode>#,##0.000</c:formatCode>
                <c:ptCount val="17"/>
                <c:pt idx="9">
                  <c:v>0.626883990874728</c:v>
                </c:pt>
                <c:pt idx="10">
                  <c:v>0.642178716518242</c:v>
                </c:pt>
                <c:pt idx="11">
                  <c:v>0.646196598221847</c:v>
                </c:pt>
                <c:pt idx="12">
                  <c:v>0.655802079995172</c:v>
                </c:pt>
                <c:pt idx="13">
                  <c:v>0.658758871309102</c:v>
                </c:pt>
                <c:pt idx="14">
                  <c:v>0.660274254081725</c:v>
                </c:pt>
                <c:pt idx="15">
                  <c:v>0.656411475822748</c:v>
                </c:pt>
                <c:pt idx="16">
                  <c:v>0.656838009983991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443867"/>
        <c:axId val="21588390"/>
      </c:lineChart>
      <c:catAx>
        <c:axId val="27443867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588390"/>
        <c:crosses val="autoZero"/>
        <c:auto val="1"/>
        <c:lblAlgn val="ctr"/>
        <c:lblOffset val="100"/>
        <c:noMultiLvlLbl val="0"/>
      </c:catAx>
      <c:valAx>
        <c:axId val="2158839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44386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USA!$AA$109</c:f>
              <c:strCache>
                <c:ptCount val="1"/>
                <c:pt idx="0">
                  <c:v>Labor productivity (0 - 90000 $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USA!$AB$109:$AR$109</c:f>
              <c:numCache>
                <c:formatCode>#,##0.000</c:formatCode>
                <c:ptCount val="17"/>
                <c:pt idx="0">
                  <c:v>0.358889446178998</c:v>
                </c:pt>
                <c:pt idx="1">
                  <c:v>0.376436498651146</c:v>
                </c:pt>
                <c:pt idx="2">
                  <c:v>0.41567974166422</c:v>
                </c:pt>
                <c:pt idx="3">
                  <c:v>0.467971081414651</c:v>
                </c:pt>
                <c:pt idx="4">
                  <c:v>0.525202121657781</c:v>
                </c:pt>
                <c:pt idx="5">
                  <c:v>0.568236014598453</c:v>
                </c:pt>
                <c:pt idx="6">
                  <c:v>0.652931991938824</c:v>
                </c:pt>
                <c:pt idx="7">
                  <c:v>0.698036239834218</c:v>
                </c:pt>
                <c:pt idx="8">
                  <c:v>0.673067676621314</c:v>
                </c:pt>
                <c:pt idx="9">
                  <c:v>0.70672106045238</c:v>
                </c:pt>
                <c:pt idx="10">
                  <c:v>0.736756705521606</c:v>
                </c:pt>
                <c:pt idx="11">
                  <c:v>0.762543190214862</c:v>
                </c:pt>
                <c:pt idx="12">
                  <c:v>0.783513127945771</c:v>
                </c:pt>
                <c:pt idx="13">
                  <c:v>0.799183390504686</c:v>
                </c:pt>
                <c:pt idx="14">
                  <c:v>0.809173182885995</c:v>
                </c:pt>
                <c:pt idx="15">
                  <c:v>0.813219048800425</c:v>
                </c:pt>
                <c:pt idx="16">
                  <c:v>0.811186001178424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USA!$AA$111</c:f>
              <c:strCache>
                <c:ptCount val="1"/>
                <c:pt idx="0">
                  <c:v>Growth in productivity (0 - 3 %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USA!$B$95:$R$95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USA!$AB$111:$AR$111</c:f>
              <c:numCache>
                <c:formatCode>#,##0.000</c:formatCode>
                <c:ptCount val="17"/>
                <c:pt idx="0">
                  <c:v>0.627614413266766</c:v>
                </c:pt>
                <c:pt idx="1">
                  <c:v>0.325950932967756</c:v>
                </c:pt>
                <c:pt idx="2">
                  <c:v>0.694995360504633</c:v>
                </c:pt>
                <c:pt idx="3">
                  <c:v>0.838647874139474</c:v>
                </c:pt>
                <c:pt idx="4">
                  <c:v>0.815307362869847</c:v>
                </c:pt>
                <c:pt idx="5">
                  <c:v>0.546251829103276</c:v>
                </c:pt>
                <c:pt idx="6">
                  <c:v>0.993671352096211</c:v>
                </c:pt>
                <c:pt idx="7">
                  <c:v>0.460530330389239</c:v>
                </c:pt>
                <c:pt idx="8">
                  <c:v>-0.238464822579354</c:v>
                </c:pt>
                <c:pt idx="9">
                  <c:v>0.333333333333333</c:v>
                </c:pt>
                <c:pt idx="10">
                  <c:v>0.283333333333333</c:v>
                </c:pt>
                <c:pt idx="11">
                  <c:v>0.233333333333333</c:v>
                </c:pt>
                <c:pt idx="12">
                  <c:v>0.183333333333333</c:v>
                </c:pt>
                <c:pt idx="13">
                  <c:v>0.133333333333333</c:v>
                </c:pt>
                <c:pt idx="14">
                  <c:v>0.0833333333333333</c:v>
                </c:pt>
                <c:pt idx="15">
                  <c:v>0.0333333333333333</c:v>
                </c:pt>
                <c:pt idx="16">
                  <c:v>-0.0166666666666667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USA!$AA$112</c:f>
              <c:strCache>
                <c:ptCount val="1"/>
                <c:pt idx="0">
                  <c:v>Labor productivity (0 - 90000 $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USA!$AB$112:$AR$112</c:f>
              <c:numCache>
                <c:formatCode>#,##0.000</c:formatCode>
                <c:ptCount val="17"/>
                <c:pt idx="9">
                  <c:v>0.70672106045238</c:v>
                </c:pt>
                <c:pt idx="10">
                  <c:v>0.735254923268145</c:v>
                </c:pt>
                <c:pt idx="11">
                  <c:v>0.75970214946681</c:v>
                </c:pt>
                <c:pt idx="12">
                  <c:v>0.779549368121631</c:v>
                </c:pt>
                <c:pt idx="13">
                  <c:v>0.794360806115942</c:v>
                </c:pt>
                <c:pt idx="14">
                  <c:v>0.803793840688568</c:v>
                </c:pt>
                <c:pt idx="15">
                  <c:v>0.807611861431839</c:v>
                </c:pt>
                <c:pt idx="16">
                  <c:v>0.805693783260939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USA!$AA$113</c:f>
              <c:strCache>
                <c:ptCount val="1"/>
                <c:pt idx="0">
                  <c:v>Growth in productivity (0 - 3 %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USA!$AB$113:$AR$113</c:f>
              <c:numCache>
                <c:formatCode>#,##0.000</c:formatCode>
                <c:ptCount val="17"/>
                <c:pt idx="9">
                  <c:v>0.333333333333333</c:v>
                </c:pt>
                <c:pt idx="10">
                  <c:v>0.269166666666667</c:v>
                </c:pt>
                <c:pt idx="11">
                  <c:v>0.221666666666667</c:v>
                </c:pt>
                <c:pt idx="12">
                  <c:v>0.174166666666667</c:v>
                </c:pt>
                <c:pt idx="13">
                  <c:v>0.126666666666667</c:v>
                </c:pt>
                <c:pt idx="14">
                  <c:v>0.0791666666666667</c:v>
                </c:pt>
                <c:pt idx="15">
                  <c:v>0.0316666666666667</c:v>
                </c:pt>
                <c:pt idx="16">
                  <c:v>-0.0158333333333333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654210"/>
        <c:axId val="14907512"/>
      </c:lineChart>
      <c:catAx>
        <c:axId val="9665421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907512"/>
        <c:crosses val="autoZero"/>
        <c:auto val="1"/>
        <c:lblAlgn val="ctr"/>
        <c:lblOffset val="100"/>
        <c:noMultiLvlLbl val="0"/>
      </c:catAx>
      <c:valAx>
        <c:axId val="1490751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5421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4"/>
          <c:y val="0.11170855551453"/>
          <c:w val="0.227466586185564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52268111036"/>
          <c:w val="0.7110662506882"/>
          <c:h val="0.806364251861882"/>
        </c:manualLayout>
      </c:layout>
      <c:lineChart>
        <c:grouping val="standard"/>
        <c:varyColors val="0"/>
        <c:ser>
          <c:idx val="0"/>
          <c:order val="0"/>
          <c:tx>
            <c:strRef>
              <c:f>USA!$AA$135</c:f>
              <c:strCache>
                <c:ptCount val="1"/>
                <c:pt idx="0">
                  <c:v>GDP USA (0 - 17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USA!$AB$135:$AR$135</c:f>
              <c:numCache>
                <c:formatCode>#,##0.000</c:formatCode>
                <c:ptCount val="17"/>
                <c:pt idx="0">
                  <c:v>0.249035092906256</c:v>
                </c:pt>
                <c:pt idx="1">
                  <c:v>0.284664309929511</c:v>
                </c:pt>
                <c:pt idx="2">
                  <c:v>0.33883005693519</c:v>
                </c:pt>
                <c:pt idx="3">
                  <c:v>0.401555506263568</c:v>
                </c:pt>
                <c:pt idx="4">
                  <c:v>0.469911815551543</c:v>
                </c:pt>
                <c:pt idx="5">
                  <c:v>0.532128860593751</c:v>
                </c:pt>
                <c:pt idx="6">
                  <c:v>0.655723843487041</c:v>
                </c:pt>
                <c:pt idx="7">
                  <c:v>0.746004365132303</c:v>
                </c:pt>
                <c:pt idx="8">
                  <c:v>0.748594499457684</c:v>
                </c:pt>
                <c:pt idx="9">
                  <c:v>0.802216133887304</c:v>
                </c:pt>
                <c:pt idx="10">
                  <c:v>0.850904097379494</c:v>
                </c:pt>
                <c:pt idx="11">
                  <c:v>0.890881692327494</c:v>
                </c:pt>
                <c:pt idx="12">
                  <c:v>0.914103687566739</c:v>
                </c:pt>
                <c:pt idx="13">
                  <c:v>0.935798720527903</c:v>
                </c:pt>
                <c:pt idx="14">
                  <c:v>0.947790646948275</c:v>
                </c:pt>
                <c:pt idx="15">
                  <c:v>0.955771564413675</c:v>
                </c:pt>
                <c:pt idx="16">
                  <c:v>0.946411026800417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USA!$AA$137</c:f>
              <c:strCache>
                <c:ptCount val="1"/>
                <c:pt idx="0">
                  <c:v>Consumption (0 - 17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USA!$AB$137:$AR$137</c:f>
              <c:numCache>
                <c:formatCode>#,##0.000</c:formatCode>
                <c:ptCount val="17"/>
                <c:pt idx="0">
                  <c:v>0.208530914155359</c:v>
                </c:pt>
                <c:pt idx="1">
                  <c:v>0.241485863870228</c:v>
                </c:pt>
                <c:pt idx="2">
                  <c:v>0.280026813718614</c:v>
                </c:pt>
                <c:pt idx="3">
                  <c:v>0.32566867277934</c:v>
                </c:pt>
                <c:pt idx="4">
                  <c:v>0.387872099666601</c:v>
                </c:pt>
                <c:pt idx="5">
                  <c:v>0.429984451913646</c:v>
                </c:pt>
                <c:pt idx="6">
                  <c:v>0.502712671604071</c:v>
                </c:pt>
                <c:pt idx="7">
                  <c:v>0.575070024521855</c:v>
                </c:pt>
                <c:pt idx="8">
                  <c:v>0.624818972970582</c:v>
                </c:pt>
                <c:pt idx="9">
                  <c:v>0.652596473440069</c:v>
                </c:pt>
                <c:pt idx="10">
                  <c:v>0.664551047333372</c:v>
                </c:pt>
                <c:pt idx="11">
                  <c:v>0.673948032663707</c:v>
                </c:pt>
                <c:pt idx="12">
                  <c:v>0.671520368227026</c:v>
                </c:pt>
                <c:pt idx="13">
                  <c:v>0.66883054749989</c:v>
                </c:pt>
                <c:pt idx="14">
                  <c:v>0.659934480263419</c:v>
                </c:pt>
                <c:pt idx="15">
                  <c:v>0.643201181441684</c:v>
                </c:pt>
                <c:pt idx="16">
                  <c:v>0.612776571788714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USA!$AA$136</c:f>
              <c:strCache>
                <c:ptCount val="1"/>
                <c:pt idx="0">
                  <c:v>% Investment share (0 - 37%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USA!$AB$136:$AR$136</c:f>
              <c:numCache>
                <c:formatCode>#,##0.000</c:formatCode>
                <c:ptCount val="17"/>
                <c:pt idx="0">
                  <c:v>0.439579627526672</c:v>
                </c:pt>
                <c:pt idx="1">
                  <c:v>0.409951296289386</c:v>
                </c:pt>
                <c:pt idx="2">
                  <c:v>0.469048365445111</c:v>
                </c:pt>
                <c:pt idx="3">
                  <c:v>0.51076263868426</c:v>
                </c:pt>
                <c:pt idx="4">
                  <c:v>0.471852280604921</c:v>
                </c:pt>
                <c:pt idx="5">
                  <c:v>0.518795332953099</c:v>
                </c:pt>
                <c:pt idx="6">
                  <c:v>0.630667485862108</c:v>
                </c:pt>
                <c:pt idx="7">
                  <c:v>0.619278821874763</c:v>
                </c:pt>
                <c:pt idx="8">
                  <c:v>0.446875378068484</c:v>
                </c:pt>
                <c:pt idx="9">
                  <c:v>0.504075452470282</c:v>
                </c:pt>
                <c:pt idx="10">
                  <c:v>0.591907940704063</c:v>
                </c:pt>
                <c:pt idx="11">
                  <c:v>0.658120144717236</c:v>
                </c:pt>
                <c:pt idx="12">
                  <c:v>0.717238757186576</c:v>
                </c:pt>
                <c:pt idx="13">
                  <c:v>0.77103717599804</c:v>
                </c:pt>
                <c:pt idx="14">
                  <c:v>0.820845449566098</c:v>
                </c:pt>
                <c:pt idx="15">
                  <c:v>0.883877330417817</c:v>
                </c:pt>
                <c:pt idx="16">
                  <c:v>0.952772862678227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USA!$U$158</c:f>
              <c:strCache>
                <c:ptCount val="1"/>
                <c:pt idx="0">
                  <c:v>GDP USA (0 - 17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USA!$AB$148:$AR$148</c:f>
              <c:numCache>
                <c:formatCode>#,##0.000</c:formatCode>
                <c:ptCount val="17"/>
                <c:pt idx="9">
                  <c:v>0.802169975440536</c:v>
                </c:pt>
                <c:pt idx="10">
                  <c:v>0.832186247774549</c:v>
                </c:pt>
                <c:pt idx="11">
                  <c:v>0.869811245266384</c:v>
                </c:pt>
                <c:pt idx="12">
                  <c:v>0.891289690104378</c:v>
                </c:pt>
                <c:pt idx="13">
                  <c:v>0.911548711017067</c:v>
                </c:pt>
                <c:pt idx="14">
                  <c:v>0.922659987236453</c:v>
                </c:pt>
                <c:pt idx="15">
                  <c:v>0.930197840681175</c:v>
                </c:pt>
                <c:pt idx="16">
                  <c:v>0.921203188914843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USA!$U$160</c:f>
              <c:strCache>
                <c:ptCount val="1"/>
                <c:pt idx="0">
                  <c:v>Consumption (0 - 17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USA!$AB$150:$AR$150</c:f>
              <c:numCache>
                <c:formatCode>#,##0.000</c:formatCode>
                <c:ptCount val="17"/>
                <c:pt idx="9">
                  <c:v>0.652558923909079</c:v>
                </c:pt>
                <c:pt idx="10">
                  <c:v>0.650282036163699</c:v>
                </c:pt>
                <c:pt idx="11">
                  <c:v>0.658617201171856</c:v>
                </c:pt>
                <c:pt idx="12">
                  <c:v>0.655634175439921</c:v>
                </c:pt>
                <c:pt idx="13">
                  <c:v>0.652647223139865</c:v>
                </c:pt>
                <c:pt idx="14">
                  <c:v>0.643857220369487</c:v>
                </c:pt>
                <c:pt idx="15">
                  <c:v>0.62779553434487</c:v>
                </c:pt>
                <c:pt idx="16">
                  <c:v>0.598666038786277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USA!$U$159</c:f>
              <c:strCache>
                <c:ptCount val="1"/>
                <c:pt idx="0">
                  <c:v>% Investment share (0 - 37%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USA!$AB$149:$AR$149</c:f>
              <c:numCache>
                <c:formatCode>#,##0.000</c:formatCode>
                <c:ptCount val="17"/>
                <c:pt idx="9">
                  <c:v>0.504075452470282</c:v>
                </c:pt>
                <c:pt idx="10">
                  <c:v>0.590772805568928</c:v>
                </c:pt>
                <c:pt idx="11">
                  <c:v>0.656228252825344</c:v>
                </c:pt>
                <c:pt idx="12">
                  <c:v>0.714590108537927</c:v>
                </c:pt>
                <c:pt idx="13">
                  <c:v>0.767631770592635</c:v>
                </c:pt>
                <c:pt idx="14">
                  <c:v>0.816683287403935</c:v>
                </c:pt>
                <c:pt idx="15">
                  <c:v>0.878634087174573</c:v>
                </c:pt>
                <c:pt idx="16">
                  <c:v>0.946286376191741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584253"/>
        <c:axId val="4645813"/>
      </c:lineChart>
      <c:catAx>
        <c:axId val="2658425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45813"/>
        <c:crosses val="autoZero"/>
        <c:auto val="1"/>
        <c:lblAlgn val="ctr"/>
        <c:lblOffset val="100"/>
        <c:noMultiLvlLbl val="0"/>
      </c:catAx>
      <c:valAx>
        <c:axId val="464581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8425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USA!$AA$136</c:f>
              <c:strCache>
                <c:ptCount val="1"/>
                <c:pt idx="0">
                  <c:v>% Investment share (0 - 37%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USA!$AB$136:$AR$136</c:f>
              <c:numCache>
                <c:formatCode>#,##0.000</c:formatCode>
                <c:ptCount val="17"/>
                <c:pt idx="0">
                  <c:v>0.439579627526672</c:v>
                </c:pt>
                <c:pt idx="1">
                  <c:v>0.409951296289386</c:v>
                </c:pt>
                <c:pt idx="2">
                  <c:v>0.469048365445111</c:v>
                </c:pt>
                <c:pt idx="3">
                  <c:v>0.51076263868426</c:v>
                </c:pt>
                <c:pt idx="4">
                  <c:v>0.471852280604921</c:v>
                </c:pt>
                <c:pt idx="5">
                  <c:v>0.518795332953099</c:v>
                </c:pt>
                <c:pt idx="6">
                  <c:v>0.630667485862108</c:v>
                </c:pt>
                <c:pt idx="7">
                  <c:v>0.619278821874763</c:v>
                </c:pt>
                <c:pt idx="8">
                  <c:v>0.446875378068484</c:v>
                </c:pt>
                <c:pt idx="9">
                  <c:v>0.504075452470282</c:v>
                </c:pt>
                <c:pt idx="10">
                  <c:v>0.591907940704063</c:v>
                </c:pt>
                <c:pt idx="11">
                  <c:v>0.658120144717236</c:v>
                </c:pt>
                <c:pt idx="12">
                  <c:v>0.717238757186576</c:v>
                </c:pt>
                <c:pt idx="13">
                  <c:v>0.77103717599804</c:v>
                </c:pt>
                <c:pt idx="14">
                  <c:v>0.820845449566098</c:v>
                </c:pt>
                <c:pt idx="15">
                  <c:v>0.883877330417817</c:v>
                </c:pt>
                <c:pt idx="16">
                  <c:v>0.952772862678227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USA!$AA$138</c:f>
              <c:strCache>
                <c:ptCount val="1"/>
                <c:pt idx="0">
                  <c:v>normal + norm change inv. (0 - 37%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USA!$AB$138:$AR$138</c:f>
              <c:numCache>
                <c:formatCode>0.00</c:formatCode>
                <c:ptCount val="17"/>
                <c:pt idx="9">
                  <c:v>0.497318695713525</c:v>
                </c:pt>
                <c:pt idx="10">
                  <c:v>0.535151183947306</c:v>
                </c:pt>
                <c:pt idx="11">
                  <c:v>0.563525550122642</c:v>
                </c:pt>
                <c:pt idx="12">
                  <c:v>0.584806324754143</c:v>
                </c:pt>
                <c:pt idx="13">
                  <c:v>0.60076690572777</c:v>
                </c:pt>
                <c:pt idx="14">
                  <c:v>0.612737341457989</c:v>
                </c:pt>
                <c:pt idx="15">
                  <c:v>0.621715168255654</c:v>
                </c:pt>
                <c:pt idx="16">
                  <c:v>0.628448538353903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USA!$AA$139</c:f>
              <c:strCache>
                <c:ptCount val="1"/>
                <c:pt idx="0">
                  <c:v>normal + voluntary inv. (0 - 37%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USA!$AB$139:$AR$139</c:f>
              <c:numCache>
                <c:formatCode>0.00</c:formatCode>
                <c:ptCount val="17"/>
                <c:pt idx="9">
                  <c:v>0.500021398416228</c:v>
                </c:pt>
                <c:pt idx="10">
                  <c:v>0.570286319082441</c:v>
                </c:pt>
                <c:pt idx="11">
                  <c:v>0.617579604176696</c:v>
                </c:pt>
                <c:pt idx="12">
                  <c:v>0.657779297727116</c:v>
                </c:pt>
                <c:pt idx="13">
                  <c:v>0.692658797619662</c:v>
                </c:pt>
                <c:pt idx="14">
                  <c:v>0.7235481522688</c:v>
                </c:pt>
                <c:pt idx="15">
                  <c:v>0.756850303390789</c:v>
                </c:pt>
                <c:pt idx="16">
                  <c:v>0.790610700516065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USA!$AA$140</c:f>
              <c:strCache>
                <c:ptCount val="1"/>
                <c:pt idx="0">
                  <c:v>normal + voluntary + forced inv. (0 - 37%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USA!$AB$140:$AR$140</c:f>
              <c:numCache>
                <c:formatCode>0.00</c:formatCode>
                <c:ptCount val="17"/>
                <c:pt idx="9">
                  <c:v>0.504075452470282</c:v>
                </c:pt>
                <c:pt idx="10">
                  <c:v>0.591907940704063</c:v>
                </c:pt>
                <c:pt idx="11">
                  <c:v>0.658120144717236</c:v>
                </c:pt>
                <c:pt idx="12">
                  <c:v>0.717238757186576</c:v>
                </c:pt>
                <c:pt idx="13">
                  <c:v>0.77103717599804</c:v>
                </c:pt>
                <c:pt idx="14">
                  <c:v>0.820845449566098</c:v>
                </c:pt>
                <c:pt idx="15">
                  <c:v>0.883877330417817</c:v>
                </c:pt>
                <c:pt idx="16">
                  <c:v>0.952772862678227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USA!$AA$151</c:f>
              <c:strCache>
                <c:ptCount val="1"/>
                <c:pt idx="0">
                  <c:v>normal + norm change inv. (0 - 37%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USA!$AB$151:$AR$151</c:f>
              <c:numCache>
                <c:formatCode>0.00</c:formatCode>
                <c:ptCount val="17"/>
                <c:pt idx="9">
                  <c:v>0.497318695713525</c:v>
                </c:pt>
                <c:pt idx="10">
                  <c:v>0.535151183947306</c:v>
                </c:pt>
                <c:pt idx="11">
                  <c:v>0.563525550122642</c:v>
                </c:pt>
                <c:pt idx="12">
                  <c:v>0.584806324754143</c:v>
                </c:pt>
                <c:pt idx="13">
                  <c:v>0.60076690572777</c:v>
                </c:pt>
                <c:pt idx="14">
                  <c:v>0.612737341457989</c:v>
                </c:pt>
                <c:pt idx="15">
                  <c:v>0.621715168255654</c:v>
                </c:pt>
                <c:pt idx="16">
                  <c:v>0.628448538353903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USA!$AA$152</c:f>
              <c:strCache>
                <c:ptCount val="1"/>
                <c:pt idx="0">
                  <c:v>normal + voluntary inv. (0 - 37%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USA!$AB$152:$AR$152</c:f>
              <c:numCache>
                <c:formatCode>0.00</c:formatCode>
                <c:ptCount val="17"/>
                <c:pt idx="9">
                  <c:v>0.500021398416228</c:v>
                </c:pt>
                <c:pt idx="10">
                  <c:v>0.569583616379738</c:v>
                </c:pt>
                <c:pt idx="11">
                  <c:v>0.616498523095615</c:v>
                </c:pt>
                <c:pt idx="12">
                  <c:v>0.656319838267657</c:v>
                </c:pt>
                <c:pt idx="13">
                  <c:v>0.690820959781824</c:v>
                </c:pt>
                <c:pt idx="14">
                  <c:v>0.721331936052584</c:v>
                </c:pt>
                <c:pt idx="15">
                  <c:v>0.754147600688087</c:v>
                </c:pt>
                <c:pt idx="16">
                  <c:v>0.787367457272822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USA!$AA$153</c:f>
              <c:strCache>
                <c:ptCount val="1"/>
                <c:pt idx="0">
                  <c:v>normal + voluntary + forced inv. (0 - 37%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USA!$AB$153:$AR$153</c:f>
              <c:numCache>
                <c:formatCode>0.00</c:formatCode>
                <c:ptCount val="17"/>
                <c:pt idx="9">
                  <c:v>0.504075452470282</c:v>
                </c:pt>
                <c:pt idx="10">
                  <c:v>0.590772805568928</c:v>
                </c:pt>
                <c:pt idx="11">
                  <c:v>0.656228252825344</c:v>
                </c:pt>
                <c:pt idx="12">
                  <c:v>0.714590108537927</c:v>
                </c:pt>
                <c:pt idx="13">
                  <c:v>0.767631770592635</c:v>
                </c:pt>
                <c:pt idx="14">
                  <c:v>0.816683287403935</c:v>
                </c:pt>
                <c:pt idx="15">
                  <c:v>0.878634087174573</c:v>
                </c:pt>
                <c:pt idx="16">
                  <c:v>0.946286376191741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7601"/>
        <c:axId val="99378496"/>
      </c:lineChart>
      <c:catAx>
        <c:axId val="814760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78496"/>
        <c:crosses val="autoZero"/>
        <c:auto val="1"/>
        <c:lblAlgn val="ctr"/>
        <c:lblOffset val="100"/>
        <c:noMultiLvlLbl val="0"/>
      </c:catAx>
      <c:valAx>
        <c:axId val="9937849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4760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5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41005802708"/>
          <c:w val="0.711068448645057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USA!$AA$209</c:f>
              <c:strCache>
                <c:ptCount val="1"/>
                <c:pt idx="0">
                  <c:v>Consumption (0 - 18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USA!$AB$209:$AR$209</c:f>
              <c:numCache>
                <c:formatCode>#,##0.000</c:formatCode>
                <c:ptCount val="17"/>
                <c:pt idx="0">
                  <c:v>0.19694586336895</c:v>
                </c:pt>
                <c:pt idx="1">
                  <c:v>0.228069982544105</c:v>
                </c:pt>
                <c:pt idx="2">
                  <c:v>0.264469768512024</c:v>
                </c:pt>
                <c:pt idx="3">
                  <c:v>0.307575968736043</c:v>
                </c:pt>
                <c:pt idx="4">
                  <c:v>0.366323649685123</c:v>
                </c:pt>
                <c:pt idx="5">
                  <c:v>0.406096426807332</c:v>
                </c:pt>
                <c:pt idx="6">
                  <c:v>0.474784189848289</c:v>
                </c:pt>
                <c:pt idx="7">
                  <c:v>0.543121689826196</c:v>
                </c:pt>
                <c:pt idx="8">
                  <c:v>0.59010680780555</c:v>
                </c:pt>
                <c:pt idx="9">
                  <c:v>0.61634111380451</c:v>
                </c:pt>
                <c:pt idx="10">
                  <c:v>0.62763154470374</c:v>
                </c:pt>
                <c:pt idx="11">
                  <c:v>0.636506475293501</c:v>
                </c:pt>
                <c:pt idx="12">
                  <c:v>0.634213681103303</c:v>
                </c:pt>
                <c:pt idx="13">
                  <c:v>0.631673294861007</c:v>
                </c:pt>
                <c:pt idx="14">
                  <c:v>0.623271453582118</c:v>
                </c:pt>
                <c:pt idx="15">
                  <c:v>0.607467782472702</c:v>
                </c:pt>
                <c:pt idx="16">
                  <c:v>0.578733428911563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USA!$AA$210</c:f>
              <c:strCache>
                <c:ptCount val="1"/>
                <c:pt idx="0">
                  <c:v>Consumption per person (0 - 36000 $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USA!$AB$210:$AR$210</c:f>
              <c:numCache>
                <c:formatCode>#,##0.000</c:formatCode>
                <c:ptCount val="17"/>
                <c:pt idx="0">
                  <c:v>0.463962115605557</c:v>
                </c:pt>
                <c:pt idx="1">
                  <c:v>0.513363439847341</c:v>
                </c:pt>
                <c:pt idx="2">
                  <c:v>0.567240919034869</c:v>
                </c:pt>
                <c:pt idx="3">
                  <c:v>0.628722739241353</c:v>
                </c:pt>
                <c:pt idx="4">
                  <c:v>0.712771897354949</c:v>
                </c:pt>
                <c:pt idx="5">
                  <c:v>0.751661958105648</c:v>
                </c:pt>
                <c:pt idx="6">
                  <c:v>0.828827524389636</c:v>
                </c:pt>
                <c:pt idx="7">
                  <c:v>0.903060621124592</c:v>
                </c:pt>
                <c:pt idx="8">
                  <c:v>0.938936843886546</c:v>
                </c:pt>
                <c:pt idx="9">
                  <c:v>0.955391305214695</c:v>
                </c:pt>
                <c:pt idx="10">
                  <c:v>0.9520188708058</c:v>
                </c:pt>
                <c:pt idx="11">
                  <c:v>0.948156232185751</c:v>
                </c:pt>
                <c:pt idx="12">
                  <c:v>0.931951617627532</c:v>
                </c:pt>
                <c:pt idx="13">
                  <c:v>0.920529731624971</c:v>
                </c:pt>
                <c:pt idx="14">
                  <c:v>0.905871560361138</c:v>
                </c:pt>
                <c:pt idx="15">
                  <c:v>0.885130138693609</c:v>
                </c:pt>
                <c:pt idx="16">
                  <c:v>0.84903783769443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USA!$U$215</c:f>
              <c:strCache>
                <c:ptCount val="1"/>
                <c:pt idx="0">
                  <c:v>Consumption from Your forecast (0 - 18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USA!$AB$215:$AR$215</c:f>
              <c:numCache>
                <c:formatCode>#,##0.000</c:formatCode>
                <c:ptCount val="17"/>
                <c:pt idx="9">
                  <c:v>0.616305650358575</c:v>
                </c:pt>
                <c:pt idx="10">
                  <c:v>0.614155256376826</c:v>
                </c:pt>
                <c:pt idx="11">
                  <c:v>0.622027356662308</c:v>
                </c:pt>
                <c:pt idx="12">
                  <c:v>0.619210054582148</c:v>
                </c:pt>
                <c:pt idx="13">
                  <c:v>0.616389044076539</c:v>
                </c:pt>
                <c:pt idx="14">
                  <c:v>0.608087374793405</c:v>
                </c:pt>
                <c:pt idx="15">
                  <c:v>0.592918004659044</c:v>
                </c:pt>
                <c:pt idx="16">
                  <c:v>0.565406814409262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USA!$U$216</c:f>
              <c:strCache>
                <c:ptCount val="1"/>
                <c:pt idx="0">
                  <c:v>Consumption per person from Your forecast (0 - 36000 $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USA!$AB$216:$AR$216</c:f>
              <c:numCache>
                <c:formatCode>#,##0.000</c:formatCode>
                <c:ptCount val="17"/>
                <c:pt idx="9">
                  <c:v>0.955306982039222</c:v>
                </c:pt>
                <c:pt idx="10">
                  <c:v>0.931948733944023</c:v>
                </c:pt>
                <c:pt idx="11">
                  <c:v>0.927289849094142</c:v>
                </c:pt>
                <c:pt idx="12">
                  <c:v>0.910840434006003</c:v>
                </c:pt>
                <c:pt idx="13">
                  <c:v>0.899329234574317</c:v>
                </c:pt>
                <c:pt idx="14">
                  <c:v>0.884905635524323</c:v>
                </c:pt>
                <c:pt idx="15">
                  <c:v>0.864964305551547</c:v>
                </c:pt>
                <c:pt idx="16">
                  <c:v>0.830366256316511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394294"/>
        <c:axId val="79361398"/>
      </c:lineChart>
      <c:catAx>
        <c:axId val="3039429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361398"/>
        <c:crosses val="autoZero"/>
        <c:auto val="1"/>
        <c:lblAlgn val="ctr"/>
        <c:lblOffset val="100"/>
        <c:noMultiLvlLbl val="0"/>
      </c:catAx>
      <c:valAx>
        <c:axId val="7936139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39429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3"/>
          <c:y val="0.0858401568983478"/>
          <c:w val="0.219816062124666"/>
          <c:h val="0.54448847995995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noFill/>
    </a:ln>
  </c:sp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392037336889"/>
          <c:w val="0.71107355426556"/>
          <c:h val="0.806362510715306"/>
        </c:manualLayout>
      </c:layout>
      <c:lineChart>
        <c:grouping val="standard"/>
        <c:varyColors val="0"/>
        <c:ser>
          <c:idx val="0"/>
          <c:order val="0"/>
          <c:tx>
            <c:strRef>
              <c:f>USA!$AA$264</c:f>
              <c:strCache>
                <c:ptCount val="1"/>
                <c:pt idx="0">
                  <c:v>Energy use (0 - 3000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USA!$AB$264:$AR$264</c:f>
              <c:numCache>
                <c:formatCode>0.000</c:formatCode>
                <c:ptCount val="17"/>
                <c:pt idx="0">
                  <c:v>0.542495558960418</c:v>
                </c:pt>
                <c:pt idx="1">
                  <c:v>0.572231499888092</c:v>
                </c:pt>
                <c:pt idx="2">
                  <c:v>0.603779648623125</c:v>
                </c:pt>
                <c:pt idx="3">
                  <c:v>0.584634878816934</c:v>
                </c:pt>
                <c:pt idx="4">
                  <c:v>0.656131251159394</c:v>
                </c:pt>
                <c:pt idx="5">
                  <c:v>0.707299952416366</c:v>
                </c:pt>
                <c:pt idx="6">
                  <c:v>0.772233515720284</c:v>
                </c:pt>
                <c:pt idx="7">
                  <c:v>0.78621900838431</c:v>
                </c:pt>
                <c:pt idx="8">
                  <c:v>0.770334798770095</c:v>
                </c:pt>
                <c:pt idx="9">
                  <c:v>0.804875843200814</c:v>
                </c:pt>
                <c:pt idx="10">
                  <c:v>0.811038967847138</c:v>
                </c:pt>
                <c:pt idx="11">
                  <c:v>0.80668641968251</c:v>
                </c:pt>
                <c:pt idx="12">
                  <c:v>0.786328067382919</c:v>
                </c:pt>
                <c:pt idx="13">
                  <c:v>0.764740990449698</c:v>
                </c:pt>
                <c:pt idx="14">
                  <c:v>0.735813829488285</c:v>
                </c:pt>
                <c:pt idx="15">
                  <c:v>0.704909296511907</c:v>
                </c:pt>
                <c:pt idx="16">
                  <c:v>0.663105346669462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USA!$AA$265</c:f>
              <c:strCache>
                <c:ptCount val="1"/>
                <c:pt idx="0">
                  <c:v>GDP USA (0 - 18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USA!$AB$265:$AR$265</c:f>
              <c:numCache>
                <c:formatCode>0.000</c:formatCode>
                <c:ptCount val="17"/>
                <c:pt idx="0">
                  <c:v>0.235199809967019</c:v>
                </c:pt>
                <c:pt idx="1">
                  <c:v>0.268849626044538</c:v>
                </c:pt>
                <c:pt idx="2">
                  <c:v>0.320006164883235</c:v>
                </c:pt>
                <c:pt idx="3">
                  <c:v>0.379246867026703</c:v>
                </c:pt>
                <c:pt idx="4">
                  <c:v>0.443805603576457</c:v>
                </c:pt>
                <c:pt idx="5">
                  <c:v>0.50256614611632</c:v>
                </c:pt>
                <c:pt idx="6">
                  <c:v>0.619294741071094</c:v>
                </c:pt>
                <c:pt idx="7">
                  <c:v>0.704559678180508</c:v>
                </c:pt>
                <c:pt idx="8">
                  <c:v>0.707005916154479</c:v>
                </c:pt>
                <c:pt idx="9">
                  <c:v>0.757648570893565</c:v>
                </c:pt>
                <c:pt idx="10">
                  <c:v>0.803631647525078</c:v>
                </c:pt>
                <c:pt idx="11">
                  <c:v>0.841388264975967</c:v>
                </c:pt>
                <c:pt idx="12">
                  <c:v>0.863320149368586</c:v>
                </c:pt>
                <c:pt idx="13">
                  <c:v>0.883809902720798</c:v>
                </c:pt>
                <c:pt idx="14">
                  <c:v>0.895135611006704</c:v>
                </c:pt>
                <c:pt idx="15">
                  <c:v>0.902673144168471</c:v>
                </c:pt>
                <c:pt idx="16">
                  <c:v>0.893832636422616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USA!$AA$266</c:f>
              <c:strCache>
                <c:ptCount val="1"/>
                <c:pt idx="0">
                  <c:v>Energy intensity (0 - 400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USA!$AB$266:$AR$266</c:f>
              <c:numCache>
                <c:formatCode>0.000</c:formatCode>
                <c:ptCount val="17"/>
                <c:pt idx="0">
                  <c:v>0.961054416945335</c:v>
                </c:pt>
                <c:pt idx="1">
                  <c:v>0.886851862611627</c:v>
                </c:pt>
                <c:pt idx="2">
                  <c:v>0.786156271972961</c:v>
                </c:pt>
                <c:pt idx="3">
                  <c:v>0.642320048899892</c:v>
                </c:pt>
                <c:pt idx="4">
                  <c:v>0.616008493613614</c:v>
                </c:pt>
                <c:pt idx="5">
                  <c:v>0.586407014846178</c:v>
                </c:pt>
                <c:pt idx="6">
                  <c:v>0.51956514974913</c:v>
                </c:pt>
                <c:pt idx="7">
                  <c:v>0.464958843996652</c:v>
                </c:pt>
                <c:pt idx="8">
                  <c:v>0.453988892436285</c:v>
                </c:pt>
                <c:pt idx="9">
                  <c:v>0.442639170125377</c:v>
                </c:pt>
                <c:pt idx="10">
                  <c:v>0.420507211619109</c:v>
                </c:pt>
                <c:pt idx="11">
                  <c:v>0.399481851038153</c:v>
                </c:pt>
                <c:pt idx="12">
                  <c:v>0.379507758486245</c:v>
                </c:pt>
                <c:pt idx="13">
                  <c:v>0.360532370561933</c:v>
                </c:pt>
                <c:pt idx="14">
                  <c:v>0.342505752033837</c:v>
                </c:pt>
                <c:pt idx="15">
                  <c:v>0.325380464432145</c:v>
                </c:pt>
                <c:pt idx="16">
                  <c:v>0.309111441210537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USA!$AA$271</c:f>
              <c:strCache>
                <c:ptCount val="1"/>
                <c:pt idx="0">
                  <c:v>Energy use (0 - 3000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USA!$AB$271:$AR$271</c:f>
              <c:numCache>
                <c:formatCode>0.000</c:formatCode>
                <c:ptCount val="17"/>
                <c:pt idx="9">
                  <c:v>0.804829531717919</c:v>
                </c:pt>
                <c:pt idx="10">
                  <c:v>0.794033000813644</c:v>
                </c:pt>
                <c:pt idx="11">
                  <c:v>0.789266287623711</c:v>
                </c:pt>
                <c:pt idx="12">
                  <c:v>0.769126782628217</c:v>
                </c:pt>
                <c:pt idx="13">
                  <c:v>0.748065196846398</c:v>
                </c:pt>
                <c:pt idx="14">
                  <c:v>0.720081697903142</c:v>
                </c:pt>
                <c:pt idx="15">
                  <c:v>0.690392285057028</c:v>
                </c:pt>
                <c:pt idx="16">
                  <c:v>0.650214353323578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USA!$AA$270</c:f>
              <c:strCache>
                <c:ptCount val="1"/>
                <c:pt idx="0">
                  <c:v>GDP USA calculated from Your forecast (0 - 18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USA!$AB$270:$AR$270</c:f>
              <c:numCache>
                <c:formatCode>0.000</c:formatCode>
                <c:ptCount val="17"/>
                <c:pt idx="9">
                  <c:v>0.757604976804951</c:v>
                </c:pt>
                <c:pt idx="10">
                  <c:v>0.78595367845374</c:v>
                </c:pt>
                <c:pt idx="11">
                  <c:v>0.821488398307141</c:v>
                </c:pt>
                <c:pt idx="12">
                  <c:v>0.84177359620969</c:v>
                </c:pt>
                <c:pt idx="13">
                  <c:v>0.860907115960563</c:v>
                </c:pt>
                <c:pt idx="14">
                  <c:v>0.87140109905665</c:v>
                </c:pt>
                <c:pt idx="15">
                  <c:v>0.878520182865555</c:v>
                </c:pt>
                <c:pt idx="16">
                  <c:v>0.870025233975129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USA!$AA$272</c:f>
              <c:strCache>
                <c:ptCount val="1"/>
                <c:pt idx="0">
                  <c:v>Energy intensity (0 - 400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USA!$AB$272:$AR$272</c:f>
              <c:numCache>
                <c:formatCode>0.000</c:formatCode>
                <c:ptCount val="17"/>
                <c:pt idx="9">
                  <c:v>0.442639170125377</c:v>
                </c:pt>
                <c:pt idx="10">
                  <c:v>0.420949850789234</c:v>
                </c:pt>
                <c:pt idx="11">
                  <c:v>0.400323308100561</c:v>
                </c:pt>
                <c:pt idx="12">
                  <c:v>0.380707466003634</c:v>
                </c:pt>
                <c:pt idx="13">
                  <c:v>0.362052800169456</c:v>
                </c:pt>
                <c:pt idx="14">
                  <c:v>0.344312212961153</c:v>
                </c:pt>
                <c:pt idx="15">
                  <c:v>0.327440914526056</c:v>
                </c:pt>
                <c:pt idx="16">
                  <c:v>0.311396309714279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959270"/>
        <c:axId val="13699706"/>
      </c:lineChart>
      <c:catAx>
        <c:axId val="1495927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99706"/>
        <c:crosses val="autoZero"/>
        <c:auto val="1"/>
        <c:lblAlgn val="ctr"/>
        <c:lblOffset val="100"/>
        <c:noMultiLvlLbl val="0"/>
      </c:catAx>
      <c:valAx>
        <c:axId val="1369970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959270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4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USA!$A$253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USA!$B$253:$R$253</c:f>
              <c:numCache>
                <c:formatCode>0.0</c:formatCode>
                <c:ptCount val="17"/>
                <c:pt idx="0">
                  <c:v>43.4196331564383</c:v>
                </c:pt>
                <c:pt idx="1">
                  <c:v>45.7006006074041</c:v>
                </c:pt>
                <c:pt idx="2">
                  <c:v>43.5668758004301</c:v>
                </c:pt>
                <c:pt idx="3">
                  <c:v>40.5360666670246</c:v>
                </c:pt>
                <c:pt idx="4">
                  <c:v>39.2450401882726</c:v>
                </c:pt>
                <c:pt idx="5">
                  <c:v>37.5464167324108</c:v>
                </c:pt>
                <c:pt idx="6">
                  <c:v>38.1631620610107</c:v>
                </c:pt>
                <c:pt idx="7">
                  <c:v>39.8437962163304</c:v>
                </c:pt>
                <c:pt idx="8">
                  <c:v>36.7792332034695</c:v>
                </c:pt>
                <c:pt idx="9">
                  <c:v>36</c:v>
                </c:pt>
                <c:pt idx="10">
                  <c:v>33</c:v>
                </c:pt>
                <c:pt idx="11">
                  <c:v>31</c:v>
                </c:pt>
                <c:pt idx="12">
                  <c:v>29</c:v>
                </c:pt>
                <c:pt idx="13">
                  <c:v>26</c:v>
                </c:pt>
                <c:pt idx="14">
                  <c:v>23</c:v>
                </c:pt>
                <c:pt idx="15">
                  <c:v>20</c:v>
                </c:pt>
                <c:pt idx="16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USA!$A$254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USA!$B$254:$R$254</c:f>
              <c:numCache>
                <c:formatCode>0.0</c:formatCode>
                <c:ptCount val="17"/>
                <c:pt idx="0">
                  <c:v>33.7468053744145</c:v>
                </c:pt>
                <c:pt idx="1">
                  <c:v>29.2819219938509</c:v>
                </c:pt>
                <c:pt idx="2">
                  <c:v>28.1518260498176</c:v>
                </c:pt>
                <c:pt idx="3">
                  <c:v>25.4358323034845</c:v>
                </c:pt>
                <c:pt idx="4">
                  <c:v>25.0961741349761</c:v>
                </c:pt>
                <c:pt idx="5">
                  <c:v>26.9241296004013</c:v>
                </c:pt>
                <c:pt idx="6">
                  <c:v>25.9141885046884</c:v>
                </c:pt>
                <c:pt idx="7">
                  <c:v>24.10387057465</c:v>
                </c:pt>
                <c:pt idx="8">
                  <c:v>26.8722272737215</c:v>
                </c:pt>
                <c:pt idx="9">
                  <c:v>30.5</c:v>
                </c:pt>
                <c:pt idx="10">
                  <c:v>33.5</c:v>
                </c:pt>
                <c:pt idx="11">
                  <c:v>34</c:v>
                </c:pt>
                <c:pt idx="12">
                  <c:v>35</c:v>
                </c:pt>
                <c:pt idx="13">
                  <c:v>35.5</c:v>
                </c:pt>
                <c:pt idx="14">
                  <c:v>35</c:v>
                </c:pt>
                <c:pt idx="15">
                  <c:v>33.5</c:v>
                </c:pt>
                <c:pt idx="16">
                  <c:v>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USA!$A$257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USA!$B$257:$R$257</c:f>
              <c:numCache>
                <c:formatCode>0.0</c:formatCode>
                <c:ptCount val="17"/>
                <c:pt idx="0">
                  <c:v>18.9900726095218</c:v>
                </c:pt>
                <c:pt idx="1">
                  <c:v>18.5878633982704</c:v>
                </c:pt>
                <c:pt idx="2">
                  <c:v>21.4564072935459</c:v>
                </c:pt>
                <c:pt idx="3">
                  <c:v>25.1124809564621</c:v>
                </c:pt>
                <c:pt idx="4">
                  <c:v>24.5450013642613</c:v>
                </c:pt>
                <c:pt idx="5">
                  <c:v>23.8572766374661</c:v>
                </c:pt>
                <c:pt idx="6">
                  <c:v>24.5605588567391</c:v>
                </c:pt>
                <c:pt idx="7">
                  <c:v>24.3446705403072</c:v>
                </c:pt>
                <c:pt idx="8">
                  <c:v>22.6992520458945</c:v>
                </c:pt>
                <c:pt idx="9">
                  <c:v>18.5</c:v>
                </c:pt>
                <c:pt idx="10">
                  <c:v>17</c:v>
                </c:pt>
                <c:pt idx="11">
                  <c:v>16</c:v>
                </c:pt>
                <c:pt idx="12">
                  <c:v>14.5</c:v>
                </c:pt>
                <c:pt idx="13">
                  <c:v>14</c:v>
                </c:pt>
                <c:pt idx="14">
                  <c:v>14</c:v>
                </c:pt>
                <c:pt idx="15">
                  <c:v>13.5</c:v>
                </c:pt>
                <c:pt idx="16">
                  <c:v>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USA!$A$256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USA!$B$256:$R$256</c:f>
              <c:numCache>
                <c:formatCode>0.0</c:formatCode>
                <c:ptCount val="17"/>
                <c:pt idx="0">
                  <c:v>0.31910368154355</c:v>
                </c:pt>
                <c:pt idx="1">
                  <c:v>2.39343564817106</c:v>
                </c:pt>
                <c:pt idx="2">
                  <c:v>3.30208115919288</c:v>
                </c:pt>
                <c:pt idx="3">
                  <c:v>5.21061181092013</c:v>
                </c:pt>
                <c:pt idx="4">
                  <c:v>6.98028309735804</c:v>
                </c:pt>
                <c:pt idx="5">
                  <c:v>7.55896965133552</c:v>
                </c:pt>
                <c:pt idx="6">
                  <c:v>7.75091354949706</c:v>
                </c:pt>
                <c:pt idx="7">
                  <c:v>7.89672959758104</c:v>
                </c:pt>
                <c:pt idx="8">
                  <c:v>8.31703992848465</c:v>
                </c:pt>
                <c:pt idx="9">
                  <c:v>8</c:v>
                </c:pt>
                <c:pt idx="10">
                  <c:v>7.5</c:v>
                </c:pt>
                <c:pt idx="11">
                  <c:v>7</c:v>
                </c:pt>
                <c:pt idx="12">
                  <c:v>6.5</c:v>
                </c:pt>
                <c:pt idx="13">
                  <c:v>5.5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USA!$A$255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USA!$B$255:$R$255</c:f>
              <c:numCache>
                <c:formatCode>0.0</c:formatCode>
                <c:ptCount val="17"/>
                <c:pt idx="0">
                  <c:v>3.52438517808181</c:v>
                </c:pt>
                <c:pt idx="1">
                  <c:v>4.03617835230359</c:v>
                </c:pt>
                <c:pt idx="2">
                  <c:v>3.52280969701346</c:v>
                </c:pt>
                <c:pt idx="3">
                  <c:v>3.70500826210865</c:v>
                </c:pt>
                <c:pt idx="4">
                  <c:v>4.13350121513203</c:v>
                </c:pt>
                <c:pt idx="5">
                  <c:v>4.11320737838617</c:v>
                </c:pt>
                <c:pt idx="6">
                  <c:v>3.61117702806486</c:v>
                </c:pt>
                <c:pt idx="7">
                  <c:v>3.8109330711314</c:v>
                </c:pt>
                <c:pt idx="8">
                  <c:v>5.3322475484299</c:v>
                </c:pt>
                <c:pt idx="9">
                  <c:v>7</c:v>
                </c:pt>
                <c:pt idx="10">
                  <c:v>9</c:v>
                </c:pt>
                <c:pt idx="11">
                  <c:v>12</c:v>
                </c:pt>
                <c:pt idx="12">
                  <c:v>15</c:v>
                </c:pt>
                <c:pt idx="13">
                  <c:v>19</c:v>
                </c:pt>
                <c:pt idx="14">
                  <c:v>23</c:v>
                </c:pt>
                <c:pt idx="15">
                  <c:v>29</c:v>
                </c:pt>
                <c:pt idx="16">
                  <c:v>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USA!$U$269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USA!$B$269:$R$269</c:f>
              <c:numCache>
                <c:formatCode>#,##0.00</c:formatCode>
                <c:ptCount val="17"/>
                <c:pt idx="9">
                  <c:v>36</c:v>
                </c:pt>
                <c:pt idx="10">
                  <c:v>32.34</c:v>
                </c:pt>
                <c:pt idx="11">
                  <c:v>30.38</c:v>
                </c:pt>
                <c:pt idx="12">
                  <c:v>28.42</c:v>
                </c:pt>
                <c:pt idx="13">
                  <c:v>25.48</c:v>
                </c:pt>
                <c:pt idx="14">
                  <c:v>22.54</c:v>
                </c:pt>
                <c:pt idx="15">
                  <c:v>19.6</c:v>
                </c:pt>
                <c:pt idx="16">
                  <c:v>16.66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USA!$U$270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USA!$B$270:$R$270</c:f>
              <c:numCache>
                <c:formatCode>#,##0.00</c:formatCode>
                <c:ptCount val="17"/>
                <c:pt idx="9">
                  <c:v>30.5</c:v>
                </c:pt>
                <c:pt idx="10">
                  <c:v>32.83</c:v>
                </c:pt>
                <c:pt idx="11">
                  <c:v>33.32</c:v>
                </c:pt>
                <c:pt idx="12">
                  <c:v>34.3</c:v>
                </c:pt>
                <c:pt idx="13">
                  <c:v>34.79</c:v>
                </c:pt>
                <c:pt idx="14">
                  <c:v>34.3</c:v>
                </c:pt>
                <c:pt idx="15">
                  <c:v>32.83</c:v>
                </c:pt>
                <c:pt idx="16">
                  <c:v>30.38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USA!$U$271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USA!$B$271:$R$271</c:f>
              <c:numCache>
                <c:formatCode>#,##0.00</c:formatCode>
                <c:ptCount val="17"/>
                <c:pt idx="9">
                  <c:v>7</c:v>
                </c:pt>
                <c:pt idx="10">
                  <c:v>8.82</c:v>
                </c:pt>
                <c:pt idx="11">
                  <c:v>11.76</c:v>
                </c:pt>
                <c:pt idx="12">
                  <c:v>14.7</c:v>
                </c:pt>
                <c:pt idx="13">
                  <c:v>18.62</c:v>
                </c:pt>
                <c:pt idx="14">
                  <c:v>22.54</c:v>
                </c:pt>
                <c:pt idx="15">
                  <c:v>28.42</c:v>
                </c:pt>
                <c:pt idx="16">
                  <c:v>36.26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USA!$U$272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USA!$B$272:$R$272</c:f>
              <c:numCache>
                <c:formatCode>#,##0.00</c:formatCode>
                <c:ptCount val="17"/>
                <c:pt idx="9">
                  <c:v>8</c:v>
                </c:pt>
                <c:pt idx="10">
                  <c:v>7.35</c:v>
                </c:pt>
                <c:pt idx="11">
                  <c:v>6.86</c:v>
                </c:pt>
                <c:pt idx="12">
                  <c:v>6.37</c:v>
                </c:pt>
                <c:pt idx="13">
                  <c:v>5.39</c:v>
                </c:pt>
                <c:pt idx="14">
                  <c:v>4.9</c:v>
                </c:pt>
                <c:pt idx="15">
                  <c:v>3.92</c:v>
                </c:pt>
                <c:pt idx="16">
                  <c:v>2.94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USA!$U$273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USA!$B$273:$R$273</c:f>
              <c:numCache>
                <c:formatCode>#,##0.00</c:formatCode>
                <c:ptCount val="17"/>
                <c:pt idx="9">
                  <c:v>18.5</c:v>
                </c:pt>
                <c:pt idx="10">
                  <c:v>18.66</c:v>
                </c:pt>
                <c:pt idx="11">
                  <c:v>17.68</c:v>
                </c:pt>
                <c:pt idx="12">
                  <c:v>16.21</c:v>
                </c:pt>
                <c:pt idx="13">
                  <c:v>15.72</c:v>
                </c:pt>
                <c:pt idx="14">
                  <c:v>15.72</c:v>
                </c:pt>
                <c:pt idx="15">
                  <c:v>15.23</c:v>
                </c:pt>
                <c:pt idx="16">
                  <c:v>13.76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61158"/>
        <c:axId val="41186625"/>
      </c:lineChart>
      <c:catAx>
        <c:axId val="776115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86625"/>
        <c:crosses val="autoZero"/>
        <c:auto val="1"/>
        <c:lblAlgn val="ctr"/>
        <c:lblOffset val="100"/>
        <c:noMultiLvlLbl val="0"/>
      </c:catAx>
      <c:valAx>
        <c:axId val="41186625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1158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USA!$AA$381</c:f>
              <c:strCache>
                <c:ptCount val="1"/>
                <c:pt idx="0">
                  <c:v>CO2 Emissions (0 - 12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USA!$AB$381:$AR$381</c:f>
              <c:numCache>
                <c:formatCode>#,##0.000</c:formatCode>
                <c:ptCount val="17"/>
                <c:pt idx="0">
                  <c:v>0.36070925</c:v>
                </c:pt>
                <c:pt idx="1">
                  <c:v>0.36716075</c:v>
                </c:pt>
                <c:pt idx="2">
                  <c:v>0.393395138888889</c:v>
                </c:pt>
                <c:pt idx="3">
                  <c:v>0.37383775</c:v>
                </c:pt>
                <c:pt idx="4">
                  <c:v>0.406577722222222</c:v>
                </c:pt>
                <c:pt idx="5">
                  <c:v>0.436457694444444</c:v>
                </c:pt>
                <c:pt idx="6">
                  <c:v>0.476077555555556</c:v>
                </c:pt>
                <c:pt idx="7">
                  <c:v>0.485488666666667</c:v>
                </c:pt>
                <c:pt idx="8">
                  <c:v>0.472664805555556</c:v>
                </c:pt>
                <c:pt idx="9">
                  <c:v>0.485138553997673</c:v>
                </c:pt>
                <c:pt idx="10">
                  <c:v>0.472109180451863</c:v>
                </c:pt>
                <c:pt idx="11">
                  <c:v>0.452101405217223</c:v>
                </c:pt>
                <c:pt idx="12">
                  <c:v>0.421908483128936</c:v>
                </c:pt>
                <c:pt idx="13">
                  <c:v>0.391901596929675</c:v>
                </c:pt>
                <c:pt idx="14">
                  <c:v>0.359050682168894</c:v>
                </c:pt>
                <c:pt idx="15">
                  <c:v>0.319564416371703</c:v>
                </c:pt>
                <c:pt idx="16">
                  <c:v>0.267719704376038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USA!$AA$382</c:f>
              <c:strCache>
                <c:ptCount val="1"/>
                <c:pt idx="0">
                  <c:v>Energy use (0 - 3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USA!$AB$382:$AR$382</c:f>
              <c:numCache>
                <c:formatCode>#,##0.000</c:formatCode>
                <c:ptCount val="17"/>
                <c:pt idx="0">
                  <c:v>0.542495558960418</c:v>
                </c:pt>
                <c:pt idx="1">
                  <c:v>0.572231499888092</c:v>
                </c:pt>
                <c:pt idx="2">
                  <c:v>0.603779648623125</c:v>
                </c:pt>
                <c:pt idx="3">
                  <c:v>0.584634878816934</c:v>
                </c:pt>
                <c:pt idx="4">
                  <c:v>0.656131251159394</c:v>
                </c:pt>
                <c:pt idx="5">
                  <c:v>0.707299952416366</c:v>
                </c:pt>
                <c:pt idx="6">
                  <c:v>0.772233515720284</c:v>
                </c:pt>
                <c:pt idx="7">
                  <c:v>0.78621900838431</c:v>
                </c:pt>
                <c:pt idx="8">
                  <c:v>0.770334798770095</c:v>
                </c:pt>
                <c:pt idx="9">
                  <c:v>0.804875843200814</c:v>
                </c:pt>
                <c:pt idx="10">
                  <c:v>0.811038967847138</c:v>
                </c:pt>
                <c:pt idx="11">
                  <c:v>0.80668641968251</c:v>
                </c:pt>
                <c:pt idx="12">
                  <c:v>0.786328067382919</c:v>
                </c:pt>
                <c:pt idx="13">
                  <c:v>0.764740990449698</c:v>
                </c:pt>
                <c:pt idx="14">
                  <c:v>0.735813829488285</c:v>
                </c:pt>
                <c:pt idx="15">
                  <c:v>0.704909296511907</c:v>
                </c:pt>
                <c:pt idx="16">
                  <c:v>0.663105346669462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USA!$AA$383</c:f>
              <c:strCache>
                <c:ptCount val="1"/>
                <c:pt idx="0">
                  <c:v>Climate intensity (0 - 6 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USA!$AB$383:$AR$383</c:f>
              <c:numCache>
                <c:formatCode>#,##0.000</c:formatCode>
                <c:ptCount val="17"/>
                <c:pt idx="0">
                  <c:v>0.443271524275979</c:v>
                </c:pt>
                <c:pt idx="1">
                  <c:v>0.427753161755692</c:v>
                </c:pt>
                <c:pt idx="2">
                  <c:v>0.434369436803639</c:v>
                </c:pt>
                <c:pt idx="3">
                  <c:v>0.426291991286935</c:v>
                </c:pt>
                <c:pt idx="4">
                  <c:v>0.413106088661167</c:v>
                </c:pt>
                <c:pt idx="5">
                  <c:v>0.411383876532498</c:v>
                </c:pt>
                <c:pt idx="6">
                  <c:v>0.41099619554974</c:v>
                </c:pt>
                <c:pt idx="7">
                  <c:v>0.411665334543659</c:v>
                </c:pt>
                <c:pt idx="8">
                  <c:v>0.409055738976702</c:v>
                </c:pt>
                <c:pt idx="9">
                  <c:v>0.401833034743498</c:v>
                </c:pt>
                <c:pt idx="10">
                  <c:v>0.388069459190149</c:v>
                </c:pt>
                <c:pt idx="11">
                  <c:v>0.373628375856513</c:v>
                </c:pt>
                <c:pt idx="12">
                  <c:v>0.357703525733345</c:v>
                </c:pt>
                <c:pt idx="13">
                  <c:v>0.341642117460991</c:v>
                </c:pt>
                <c:pt idx="14">
                  <c:v>0.325309353878813</c:v>
                </c:pt>
                <c:pt idx="15">
                  <c:v>0.302227457209033</c:v>
                </c:pt>
                <c:pt idx="16">
                  <c:v>0.269157538562761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USA!$AA$384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USA!$AB$384:$AR$384</c:f>
              <c:numCache>
                <c:formatCode>#,##0.000</c:formatCode>
                <c:ptCount val="17"/>
                <c:pt idx="0">
                  <c:v>0.0881096294520453</c:v>
                </c:pt>
                <c:pt idx="1">
                  <c:v>0.10090445880759</c:v>
                </c:pt>
                <c:pt idx="2">
                  <c:v>0.0880702424253366</c:v>
                </c:pt>
                <c:pt idx="3">
                  <c:v>0.0926252065527161</c:v>
                </c:pt>
                <c:pt idx="4">
                  <c:v>0.103337530378301</c:v>
                </c:pt>
                <c:pt idx="5">
                  <c:v>0.102830184459654</c:v>
                </c:pt>
                <c:pt idx="6">
                  <c:v>0.0902794257016216</c:v>
                </c:pt>
                <c:pt idx="7">
                  <c:v>0.0952733267782849</c:v>
                </c:pt>
                <c:pt idx="8">
                  <c:v>0.133306188710747</c:v>
                </c:pt>
                <c:pt idx="9">
                  <c:v>0.175</c:v>
                </c:pt>
                <c:pt idx="10">
                  <c:v>0.225</c:v>
                </c:pt>
                <c:pt idx="11">
                  <c:v>0.3</c:v>
                </c:pt>
                <c:pt idx="12">
                  <c:v>0.375</c:v>
                </c:pt>
                <c:pt idx="13">
                  <c:v>0.475</c:v>
                </c:pt>
                <c:pt idx="14">
                  <c:v>0.575</c:v>
                </c:pt>
                <c:pt idx="15">
                  <c:v>0.725</c:v>
                </c:pt>
                <c:pt idx="16">
                  <c:v>0.925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USA!$AA$386</c:f>
              <c:strCache>
                <c:ptCount val="1"/>
                <c:pt idx="0">
                  <c:v>CO2 Emissions (0 - 12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USA!$AB$386:$AR$386</c:f>
              <c:numCache>
                <c:formatCode>#,##0.000</c:formatCode>
                <c:ptCount val="17"/>
                <c:pt idx="9">
                  <c:v>0.4851106397721</c:v>
                </c:pt>
                <c:pt idx="10">
                  <c:v>0.468396445073655</c:v>
                </c:pt>
                <c:pt idx="11">
                  <c:v>0.44882972816598</c:v>
                </c:pt>
                <c:pt idx="12">
                  <c:v>0.419372159109033</c:v>
                </c:pt>
                <c:pt idx="13">
                  <c:v>0.390226149764112</c:v>
                </c:pt>
                <c:pt idx="14">
                  <c:v>0.358340076133284</c:v>
                </c:pt>
                <c:pt idx="15">
                  <c:v>0.320140215446868</c:v>
                </c:pt>
                <c:pt idx="16">
                  <c:v>0.26990067173802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USA!$AA$387</c:f>
              <c:strCache>
                <c:ptCount val="1"/>
                <c:pt idx="0">
                  <c:v>Energy use (0 - 3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USA!$AB$387:$AR$387</c:f>
              <c:numCache>
                <c:formatCode>#,##0.000</c:formatCode>
                <c:ptCount val="17"/>
                <c:pt idx="9">
                  <c:v>0.804829531717919</c:v>
                </c:pt>
                <c:pt idx="10">
                  <c:v>0.794033000813644</c:v>
                </c:pt>
                <c:pt idx="11">
                  <c:v>0.789266287623711</c:v>
                </c:pt>
                <c:pt idx="12">
                  <c:v>0.769126782628217</c:v>
                </c:pt>
                <c:pt idx="13">
                  <c:v>0.748065196846398</c:v>
                </c:pt>
                <c:pt idx="14">
                  <c:v>0.720081697903142</c:v>
                </c:pt>
                <c:pt idx="15">
                  <c:v>0.690392285057028</c:v>
                </c:pt>
                <c:pt idx="16">
                  <c:v>0.650214353323578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USA!$AA$388</c:f>
              <c:strCache>
                <c:ptCount val="1"/>
                <c:pt idx="0">
                  <c:v>Climate intensity (0 - 6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USA!$AB$388:$AR$388</c:f>
              <c:numCache>
                <c:formatCode>#,##0.000</c:formatCode>
                <c:ptCount val="17"/>
                <c:pt idx="9">
                  <c:v>0.401833034743498</c:v>
                </c:pt>
                <c:pt idx="10">
                  <c:v>0.393263625561902</c:v>
                </c:pt>
                <c:pt idx="11">
                  <c:v>0.379111363894939</c:v>
                </c:pt>
                <c:pt idx="12">
                  <c:v>0.363505010774234</c:v>
                </c:pt>
                <c:pt idx="13">
                  <c:v>0.347764830667327</c:v>
                </c:pt>
                <c:pt idx="14">
                  <c:v>0.331758722356792</c:v>
                </c:pt>
                <c:pt idx="15">
                  <c:v>0.309138463620408</c:v>
                </c:pt>
                <c:pt idx="16">
                  <c:v>0.276729943347062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USA!$AA$389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USA!$AB$389:$AR$389</c:f>
              <c:numCache>
                <c:formatCode>#,##0.000</c:formatCode>
                <c:ptCount val="17"/>
                <c:pt idx="9">
                  <c:v>0.175</c:v>
                </c:pt>
                <c:pt idx="10">
                  <c:v>0.2205</c:v>
                </c:pt>
                <c:pt idx="11">
                  <c:v>0.294</c:v>
                </c:pt>
                <c:pt idx="12">
                  <c:v>0.3675</c:v>
                </c:pt>
                <c:pt idx="13">
                  <c:v>0.4655</c:v>
                </c:pt>
                <c:pt idx="14">
                  <c:v>0.5635</c:v>
                </c:pt>
                <c:pt idx="15">
                  <c:v>0.7105</c:v>
                </c:pt>
                <c:pt idx="16">
                  <c:v>0.9065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26959"/>
        <c:axId val="55742663"/>
      </c:lineChart>
      <c:catAx>
        <c:axId val="8692695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742663"/>
        <c:crosses val="autoZero"/>
        <c:auto val="1"/>
        <c:lblAlgn val="ctr"/>
        <c:lblOffset val="100"/>
        <c:noMultiLvlLbl val="0"/>
      </c:catAx>
      <c:valAx>
        <c:axId val="5574266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2695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392037336889"/>
          <c:w val="0.71107355426556"/>
          <c:h val="0.806362510715306"/>
        </c:manualLayout>
      </c:layout>
      <c:lineChart>
        <c:grouping val="standard"/>
        <c:varyColors val="0"/>
        <c:ser>
          <c:idx val="0"/>
          <c:order val="0"/>
          <c:tx>
            <c:strRef>
              <c:f>USA!$AA$422</c:f>
              <c:strCache>
                <c:ptCount val="1"/>
                <c:pt idx="0">
                  <c:v>Food production (0 - 1300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USA!$AB$422:$AR$422</c:f>
              <c:numCache>
                <c:formatCode>#,##0.000</c:formatCode>
                <c:ptCount val="17"/>
                <c:pt idx="0">
                  <c:v>0.337049521538462</c:v>
                </c:pt>
                <c:pt idx="1">
                  <c:v>0.432178496923077</c:v>
                </c:pt>
                <c:pt idx="2">
                  <c:v>0.468471444615385</c:v>
                </c:pt>
                <c:pt idx="3">
                  <c:v>0.590303210769231</c:v>
                </c:pt>
                <c:pt idx="4">
                  <c:v>0.531309745384615</c:v>
                </c:pt>
                <c:pt idx="5">
                  <c:v>0.506654595384615</c:v>
                </c:pt>
                <c:pt idx="6">
                  <c:v>0.626796557692308</c:v>
                </c:pt>
                <c:pt idx="7">
                  <c:v>0.660929890769231</c:v>
                </c:pt>
                <c:pt idx="8">
                  <c:v>0.744013314615385</c:v>
                </c:pt>
                <c:pt idx="9">
                  <c:v>0.778846153846154</c:v>
                </c:pt>
                <c:pt idx="10">
                  <c:v>0.830769230769231</c:v>
                </c:pt>
                <c:pt idx="11">
                  <c:v>0.876153846153846</c:v>
                </c:pt>
                <c:pt idx="12">
                  <c:v>0.913846153846154</c:v>
                </c:pt>
                <c:pt idx="13">
                  <c:v>0.94</c:v>
                </c:pt>
                <c:pt idx="14">
                  <c:v>0.947615384615385</c:v>
                </c:pt>
                <c:pt idx="15">
                  <c:v>0.915692307692308</c:v>
                </c:pt>
                <c:pt idx="16">
                  <c:v>0.876923076923077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USA!$AA$423</c:f>
              <c:strCache>
                <c:ptCount val="1"/>
                <c:pt idx="0">
                  <c:v>Cultivated land (0 - 150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USA!$AB$423:$AR$423</c:f>
              <c:numCache>
                <c:formatCode>#,##0.000</c:formatCode>
                <c:ptCount val="17"/>
                <c:pt idx="0">
                  <c:v>0.819849593333333</c:v>
                </c:pt>
                <c:pt idx="1">
                  <c:v>0.947346413333333</c:v>
                </c:pt>
                <c:pt idx="2">
                  <c:v>0.976179986666667</c:v>
                </c:pt>
                <c:pt idx="3">
                  <c:v>0.9932925</c:v>
                </c:pt>
                <c:pt idx="4">
                  <c:v>0.870822373333333</c:v>
                </c:pt>
                <c:pt idx="5">
                  <c:v>0.830972913333333</c:v>
                </c:pt>
                <c:pt idx="6">
                  <c:v>0.86637118</c:v>
                </c:pt>
                <c:pt idx="7">
                  <c:v>0.847489593333333</c:v>
                </c:pt>
                <c:pt idx="8">
                  <c:v>0.872415246666667</c:v>
                </c:pt>
                <c:pt idx="9">
                  <c:v>0.9</c:v>
                </c:pt>
                <c:pt idx="10">
                  <c:v>0.9</c:v>
                </c:pt>
                <c:pt idx="11">
                  <c:v>0.893333333333333</c:v>
                </c:pt>
                <c:pt idx="12">
                  <c:v>0.88</c:v>
                </c:pt>
                <c:pt idx="13">
                  <c:v>0.866666666666667</c:v>
                </c:pt>
                <c:pt idx="14">
                  <c:v>0.846666666666667</c:v>
                </c:pt>
                <c:pt idx="15">
                  <c:v>0.826666666666667</c:v>
                </c:pt>
                <c:pt idx="16">
                  <c:v>0.8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USA!$AA$424</c:f>
              <c:strCache>
                <c:ptCount val="1"/>
                <c:pt idx="0">
                  <c:v>Gross yield (0 - 10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USA!$AB$424:$AR$424</c:f>
              <c:numCache>
                <c:formatCode>#,##0.000</c:formatCode>
                <c:ptCount val="17"/>
                <c:pt idx="0">
                  <c:v>0.356296554524932</c:v>
                </c:pt>
                <c:pt idx="1">
                  <c:v>0.395372476278688</c:v>
                </c:pt>
                <c:pt idx="2">
                  <c:v>0.41591570292249</c:v>
                </c:pt>
                <c:pt idx="3">
                  <c:v>0.51505081937093</c:v>
                </c:pt>
                <c:pt idx="4">
                  <c:v>0.528774248458293</c:v>
                </c:pt>
                <c:pt idx="5">
                  <c:v>0.528417523950259</c:v>
                </c:pt>
                <c:pt idx="6">
                  <c:v>0.627010334454262</c:v>
                </c:pt>
                <c:pt idx="7">
                  <c:v>0.675885473803143</c:v>
                </c:pt>
                <c:pt idx="8">
                  <c:v>0.739110809671239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0.94</c:v>
                </c:pt>
                <c:pt idx="14">
                  <c:v>0.97</c:v>
                </c:pt>
                <c:pt idx="15">
                  <c:v>0.96</c:v>
                </c:pt>
                <c:pt idx="16">
                  <c:v>0.95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USA!$AA$425</c:f>
              <c:strCache>
                <c:ptCount val="1"/>
                <c:pt idx="0">
                  <c:v>Food per person (0 - 4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USA!$AB$425:$AR$425</c:f>
              <c:numCache>
                <c:formatCode>#,##0.000</c:formatCode>
                <c:ptCount val="17"/>
                <c:pt idx="0">
                  <c:v>0.516110540029558</c:v>
                </c:pt>
                <c:pt idx="1">
                  <c:v>0.632314758245867</c:v>
                </c:pt>
                <c:pt idx="2">
                  <c:v>0.653112502355981</c:v>
                </c:pt>
                <c:pt idx="3">
                  <c:v>0.784323575632124</c:v>
                </c:pt>
                <c:pt idx="4">
                  <c:v>0.671965149280465</c:v>
                </c:pt>
                <c:pt idx="5">
                  <c:v>0.609563207336368</c:v>
                </c:pt>
                <c:pt idx="6">
                  <c:v>0.711226411294657</c:v>
                </c:pt>
                <c:pt idx="7">
                  <c:v>0.714312924263375</c:v>
                </c:pt>
                <c:pt idx="8">
                  <c:v>0.769484401342605</c:v>
                </c:pt>
                <c:pt idx="9">
                  <c:v>0.784738900962476</c:v>
                </c:pt>
                <c:pt idx="10">
                  <c:v>0.819095525986982</c:v>
                </c:pt>
                <c:pt idx="11">
                  <c:v>0.848341682589791</c:v>
                </c:pt>
                <c:pt idx="12">
                  <c:v>0.872859222947897</c:v>
                </c:pt>
                <c:pt idx="13">
                  <c:v>0.89040279302391</c:v>
                </c:pt>
                <c:pt idx="14">
                  <c:v>0.895230456003755</c:v>
                </c:pt>
                <c:pt idx="15">
                  <c:v>0.867254978372636</c:v>
                </c:pt>
                <c:pt idx="16">
                  <c:v>0.836225355766997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USA!$AA$429</c:f>
              <c:strCache>
                <c:ptCount val="1"/>
                <c:pt idx="0">
                  <c:v>Food production (0 - 1300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USA!$AB$429:$AR$429</c:f>
              <c:numCache>
                <c:formatCode>#,##0.000</c:formatCode>
                <c:ptCount val="17"/>
                <c:pt idx="9">
                  <c:v>0.778846153846154</c:v>
                </c:pt>
                <c:pt idx="10">
                  <c:v>0.797870769230769</c:v>
                </c:pt>
                <c:pt idx="11">
                  <c:v>0.841458153846154</c:v>
                </c:pt>
                <c:pt idx="12">
                  <c:v>0.877657846153846</c:v>
                </c:pt>
                <c:pt idx="13">
                  <c:v>0.902776</c:v>
                </c:pt>
                <c:pt idx="14">
                  <c:v>0.910089815384615</c:v>
                </c:pt>
                <c:pt idx="15">
                  <c:v>0.879430892307692</c:v>
                </c:pt>
                <c:pt idx="16">
                  <c:v>0.842196923076923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USA!$AA$430</c:f>
              <c:strCache>
                <c:ptCount val="1"/>
                <c:pt idx="0">
                  <c:v>Cultivated land (0 - 150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USA!$AB$430:$AR$430</c:f>
              <c:numCache>
                <c:formatCode>#,##0.000</c:formatCode>
                <c:ptCount val="17"/>
                <c:pt idx="9">
                  <c:v>0.9</c:v>
                </c:pt>
                <c:pt idx="10">
                  <c:v>0.882</c:v>
                </c:pt>
                <c:pt idx="11">
                  <c:v>0.875466666666667</c:v>
                </c:pt>
                <c:pt idx="12">
                  <c:v>0.8624</c:v>
                </c:pt>
                <c:pt idx="13">
                  <c:v>0.849333333333333</c:v>
                </c:pt>
                <c:pt idx="14">
                  <c:v>0.829733333333333</c:v>
                </c:pt>
                <c:pt idx="15">
                  <c:v>0.810133333333333</c:v>
                </c:pt>
                <c:pt idx="16">
                  <c:v>0.784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USA!$AA$431</c:f>
              <c:strCache>
                <c:ptCount val="1"/>
                <c:pt idx="0">
                  <c:v>Gross yield (0 - 10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USA!$AB$431:$AR$431</c:f>
              <c:numCache>
                <c:formatCode>#,##0.000</c:formatCode>
                <c:ptCount val="17"/>
                <c:pt idx="9">
                  <c:v>0.75</c:v>
                </c:pt>
                <c:pt idx="10">
                  <c:v>0.784</c:v>
                </c:pt>
                <c:pt idx="11">
                  <c:v>0.833</c:v>
                </c:pt>
                <c:pt idx="12">
                  <c:v>0.882</c:v>
                </c:pt>
                <c:pt idx="13">
                  <c:v>0.9212</c:v>
                </c:pt>
                <c:pt idx="14">
                  <c:v>0.9506</c:v>
                </c:pt>
                <c:pt idx="15">
                  <c:v>0.9408</c:v>
                </c:pt>
                <c:pt idx="16">
                  <c:v>0.931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USA!$AA$432</c:f>
              <c:strCache>
                <c:ptCount val="1"/>
                <c:pt idx="0">
                  <c:v>Food per person (0 - 4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USA!$AB$432:$AR$432</c:f>
              <c:numCache>
                <c:formatCode>#,##0.000</c:formatCode>
                <c:ptCount val="17"/>
                <c:pt idx="9">
                  <c:v>0.784714791071568</c:v>
                </c:pt>
                <c:pt idx="10">
                  <c:v>0.786972869782883</c:v>
                </c:pt>
                <c:pt idx="11">
                  <c:v>0.815364690141297</c:v>
                </c:pt>
                <c:pt idx="12">
                  <c:v>0.839156375012913</c:v>
                </c:pt>
                <c:pt idx="13">
                  <c:v>0.856164393199876</c:v>
                </c:pt>
                <c:pt idx="14">
                  <c:v>0.860852183259827</c:v>
                </c:pt>
                <c:pt idx="15">
                  <c:v>0.833908923821434</c:v>
                </c:pt>
                <c:pt idx="16">
                  <c:v>0.803962257578672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01733"/>
        <c:axId val="34677907"/>
      </c:lineChart>
      <c:catAx>
        <c:axId val="620173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77907"/>
        <c:crosses val="autoZero"/>
        <c:auto val="1"/>
        <c:lblAlgn val="ctr"/>
        <c:lblOffset val="100"/>
        <c:noMultiLvlLbl val="0"/>
      </c:catAx>
      <c:valAx>
        <c:axId val="3467790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173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6"/>
          <c:y val="0.108093212860323"/>
          <c:w val="0.230526795809914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373605596521"/>
          <c:w val="0.711068448645057"/>
          <c:h val="0.806296086216676"/>
        </c:manualLayout>
      </c:layout>
      <c:lineChart>
        <c:grouping val="standard"/>
        <c:varyColors val="0"/>
        <c:ser>
          <c:idx val="0"/>
          <c:order val="0"/>
          <c:tx>
            <c:strRef>
              <c:f>USA!$AA$475</c:f>
              <c:strCache>
                <c:ptCount val="1"/>
                <c:pt idx="0">
                  <c:v>Total bio-capacity, USA (0 - 1300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USA!$AB$475:$AR$475</c:f>
              <c:numCache>
                <c:formatCode>#,##0.000</c:formatCode>
                <c:ptCount val="17"/>
                <c:pt idx="0">
                  <c:v>0.947798379530869</c:v>
                </c:pt>
                <c:pt idx="1">
                  <c:v>0.984324521245546</c:v>
                </c:pt>
                <c:pt idx="2">
                  <c:v>0.961217148807985</c:v>
                </c:pt>
                <c:pt idx="3">
                  <c:v>0.983959945768023</c:v>
                </c:pt>
                <c:pt idx="4">
                  <c:v>0.941600471910931</c:v>
                </c:pt>
                <c:pt idx="5">
                  <c:v>0.915715289523454</c:v>
                </c:pt>
                <c:pt idx="6">
                  <c:v>0.945673581822823</c:v>
                </c:pt>
                <c:pt idx="7">
                  <c:v>0.920133551575254</c:v>
                </c:pt>
                <c:pt idx="8">
                  <c:v>0.918872428095492</c:v>
                </c:pt>
                <c:pt idx="9">
                  <c:v>0.923076923076923</c:v>
                </c:pt>
                <c:pt idx="10">
                  <c:v>0.923076923076923</c:v>
                </c:pt>
                <c:pt idx="11">
                  <c:v>0.923076923076923</c:v>
                </c:pt>
                <c:pt idx="12">
                  <c:v>0.923076923076923</c:v>
                </c:pt>
                <c:pt idx="13">
                  <c:v>0.923076923076923</c:v>
                </c:pt>
                <c:pt idx="14">
                  <c:v>0.907692307692308</c:v>
                </c:pt>
                <c:pt idx="15">
                  <c:v>0.876923076923077</c:v>
                </c:pt>
                <c:pt idx="16">
                  <c:v>0.846153846153846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USA!$AA$477</c:f>
              <c:strCache>
                <c:ptCount val="1"/>
                <c:pt idx="0">
                  <c:v>Nonenergy footprint (0 - 1300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USA!$AB$477:$AR$477</c:f>
              <c:numCache>
                <c:formatCode>#,##0.000</c:formatCode>
                <c:ptCount val="17"/>
                <c:pt idx="0">
                  <c:v>0.594584655923077</c:v>
                </c:pt>
                <c:pt idx="1">
                  <c:v>0.576886583384615</c:v>
                </c:pt>
                <c:pt idx="2">
                  <c:v>0.531163576153846</c:v>
                </c:pt>
                <c:pt idx="3">
                  <c:v>0.63596331</c:v>
                </c:pt>
                <c:pt idx="4">
                  <c:v>0.580856746923077</c:v>
                </c:pt>
                <c:pt idx="5">
                  <c:v>0.533564601538462</c:v>
                </c:pt>
                <c:pt idx="6">
                  <c:v>0.604741208461538</c:v>
                </c:pt>
                <c:pt idx="7">
                  <c:v>0.629887986153846</c:v>
                </c:pt>
                <c:pt idx="8">
                  <c:v>0.576438353846154</c:v>
                </c:pt>
                <c:pt idx="9">
                  <c:v>0.59169579072509</c:v>
                </c:pt>
                <c:pt idx="10">
                  <c:v>0.589552448252677</c:v>
                </c:pt>
                <c:pt idx="11">
                  <c:v>0.600324632021466</c:v>
                </c:pt>
                <c:pt idx="12">
                  <c:v>0.593348838624795</c:v>
                </c:pt>
                <c:pt idx="13">
                  <c:v>0.598304891492066</c:v>
                </c:pt>
                <c:pt idx="14">
                  <c:v>0.599899455588498</c:v>
                </c:pt>
                <c:pt idx="15">
                  <c:v>0.598389518655425</c:v>
                </c:pt>
                <c:pt idx="16">
                  <c:v>0.594318679737119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USA!$AA$480</c:f>
              <c:strCache>
                <c:ptCount val="1"/>
                <c:pt idx="0">
                  <c:v>Unused bio-capacity (0 - 1300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USA!$AB$480:$AR$480</c:f>
              <c:numCache>
                <c:formatCode>#,##0.000</c:formatCode>
                <c:ptCount val="17"/>
                <c:pt idx="0">
                  <c:v>0.353213723607792</c:v>
                </c:pt>
                <c:pt idx="1">
                  <c:v>0.407437937860931</c:v>
                </c:pt>
                <c:pt idx="2">
                  <c:v>0.430053572654139</c:v>
                </c:pt>
                <c:pt idx="3">
                  <c:v>0.347996635768023</c:v>
                </c:pt>
                <c:pt idx="4">
                  <c:v>0.360743724987854</c:v>
                </c:pt>
                <c:pt idx="5">
                  <c:v>0.382150687984992</c:v>
                </c:pt>
                <c:pt idx="6">
                  <c:v>0.340932373361284</c:v>
                </c:pt>
                <c:pt idx="7">
                  <c:v>0.290245565421408</c:v>
                </c:pt>
                <c:pt idx="8">
                  <c:v>0.342434074249338</c:v>
                </c:pt>
                <c:pt idx="9">
                  <c:v>0.331381132351833</c:v>
                </c:pt>
                <c:pt idx="10">
                  <c:v>0.333524474824246</c:v>
                </c:pt>
                <c:pt idx="11">
                  <c:v>0.322752291055457</c:v>
                </c:pt>
                <c:pt idx="12">
                  <c:v>0.329728084452128</c:v>
                </c:pt>
                <c:pt idx="13">
                  <c:v>0.324772031584857</c:v>
                </c:pt>
                <c:pt idx="14">
                  <c:v>0.30779285210381</c:v>
                </c:pt>
                <c:pt idx="15">
                  <c:v>0.278533558267652</c:v>
                </c:pt>
                <c:pt idx="16">
                  <c:v>0.251835166416728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USA!$AA$481</c:f>
              <c:strCache>
                <c:ptCount val="1"/>
                <c:pt idx="0">
                  <c:v>Unused bio-capacity per person (0 - 2.5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USA!$AB$481:$AR$481</c:f>
              <c:numCache>
                <c:formatCode>#,##0.000</c:formatCode>
                <c:ptCount val="17"/>
                <c:pt idx="0">
                  <c:v>0.865379424625667</c:v>
                </c:pt>
                <c:pt idx="1">
                  <c:v>0.953787467032019</c:v>
                </c:pt>
                <c:pt idx="2">
                  <c:v>0.959284475369026</c:v>
                </c:pt>
                <c:pt idx="3">
                  <c:v>0.73980140563451</c:v>
                </c:pt>
                <c:pt idx="4">
                  <c:v>0.729991386363073</c:v>
                </c:pt>
                <c:pt idx="5">
                  <c:v>0.735633312875322</c:v>
                </c:pt>
                <c:pt idx="6">
                  <c:v>0.618969853421433</c:v>
                </c:pt>
                <c:pt idx="7">
                  <c:v>0.501901727214894</c:v>
                </c:pt>
                <c:pt idx="8">
                  <c:v>0.566651533668911</c:v>
                </c:pt>
                <c:pt idx="9">
                  <c:v>0.53422137723563</c:v>
                </c:pt>
                <c:pt idx="10">
                  <c:v>0.526140632113196</c:v>
                </c:pt>
                <c:pt idx="11">
                  <c:v>0.500011221281553</c:v>
                </c:pt>
                <c:pt idx="12">
                  <c:v>0.503903110373977</c:v>
                </c:pt>
                <c:pt idx="13">
                  <c:v>0.492217743011415</c:v>
                </c:pt>
                <c:pt idx="14">
                  <c:v>0.465244511335877</c:v>
                </c:pt>
                <c:pt idx="15">
                  <c:v>0.422079972536163</c:v>
                </c:pt>
                <c:pt idx="16">
                  <c:v>0.38423612227496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USA!$AA$483</c:f>
              <c:strCache>
                <c:ptCount val="1"/>
                <c:pt idx="0">
                  <c:v>Total bio-capacity, USA (0 - 1300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USA!$AB$483:$AR$483</c:f>
              <c:numCache>
                <c:formatCode>#,##0.000</c:formatCode>
                <c:ptCount val="17"/>
                <c:pt idx="9">
                  <c:v>0.923076923076923</c:v>
                </c:pt>
                <c:pt idx="10">
                  <c:v>0.904615384615385</c:v>
                </c:pt>
                <c:pt idx="11">
                  <c:v>0.904615384615385</c:v>
                </c:pt>
                <c:pt idx="12">
                  <c:v>0.904615384615385</c:v>
                </c:pt>
                <c:pt idx="13">
                  <c:v>0.904615384615385</c:v>
                </c:pt>
                <c:pt idx="14">
                  <c:v>0.889538461538462</c:v>
                </c:pt>
                <c:pt idx="15">
                  <c:v>0.859384615384615</c:v>
                </c:pt>
                <c:pt idx="16">
                  <c:v>0.829230769230769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USA!$AA$485</c:f>
              <c:strCache>
                <c:ptCount val="1"/>
                <c:pt idx="0">
                  <c:v>Nonenergy footprint (0 - 1300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USA!$AB$485:$AR$485</c:f>
              <c:numCache>
                <c:formatCode>#,##0.000</c:formatCode>
                <c:ptCount val="17"/>
                <c:pt idx="9">
                  <c:v>0.591713970223077</c:v>
                </c:pt>
                <c:pt idx="10">
                  <c:v>0.589619787219189</c:v>
                </c:pt>
                <c:pt idx="11">
                  <c:v>0.600177733108575</c:v>
                </c:pt>
                <c:pt idx="12">
                  <c:v>0.593347164180085</c:v>
                </c:pt>
                <c:pt idx="13">
                  <c:v>0.598204082283631</c:v>
                </c:pt>
                <c:pt idx="14">
                  <c:v>0.599766491801257</c:v>
                </c:pt>
                <c:pt idx="15">
                  <c:v>0.59828708158113</c:v>
                </c:pt>
                <c:pt idx="16">
                  <c:v>0.594298342382183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USA!$AA$488</c:f>
              <c:strCache>
                <c:ptCount val="1"/>
                <c:pt idx="0">
                  <c:v>Unused bio-capacity (0 - 1300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USA!$AB$488:$AR$488</c:f>
              <c:numCache>
                <c:formatCode>#,##0.000</c:formatCode>
                <c:ptCount val="17"/>
                <c:pt idx="9">
                  <c:v>0.331362952853846</c:v>
                </c:pt>
                <c:pt idx="10">
                  <c:v>0.314995597396196</c:v>
                </c:pt>
                <c:pt idx="11">
                  <c:v>0.30443765150681</c:v>
                </c:pt>
                <c:pt idx="12">
                  <c:v>0.3112682204353</c:v>
                </c:pt>
                <c:pt idx="13">
                  <c:v>0.306411302331753</c:v>
                </c:pt>
                <c:pt idx="14">
                  <c:v>0.289771969737204</c:v>
                </c:pt>
                <c:pt idx="15">
                  <c:v>0.261097533803486</c:v>
                </c:pt>
                <c:pt idx="16">
                  <c:v>0.234932426848586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USA!$AA$489</c:f>
              <c:strCache>
                <c:ptCount val="1"/>
                <c:pt idx="0">
                  <c:v>Unused bio-capacity per person (0 - 2.5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USA!$AB$489:$AR$489</c:f>
              <c:numCache>
                <c:formatCode>#,##0.000</c:formatCode>
                <c:ptCount val="17"/>
                <c:pt idx="9">
                  <c:v>0.534175657738798</c:v>
                </c:pt>
                <c:pt idx="10">
                  <c:v>0.497109053368836</c:v>
                </c:pt>
                <c:pt idx="11">
                  <c:v>0.471995352835723</c:v>
                </c:pt>
                <c:pt idx="12">
                  <c:v>0.476181396040607</c:v>
                </c:pt>
                <c:pt idx="13">
                  <c:v>0.464945362713141</c:v>
                </c:pt>
                <c:pt idx="14">
                  <c:v>0.438551586586608</c:v>
                </c:pt>
                <c:pt idx="15">
                  <c:v>0.396131753534655</c:v>
                </c:pt>
                <c:pt idx="16">
                  <c:v>0.358826871183664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548227"/>
        <c:axId val="4171967"/>
      </c:lineChart>
      <c:catAx>
        <c:axId val="32548227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1967"/>
        <c:crosses val="autoZero"/>
        <c:auto val="1"/>
        <c:lblAlgn val="ctr"/>
        <c:lblOffset val="100"/>
        <c:noMultiLvlLbl val="0"/>
      </c:catAx>
      <c:valAx>
        <c:axId val="417196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4822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6"/>
          <c:y val="0.0654039109572357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USA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399959229436"/>
          <c:w val="0.694223070990488"/>
          <c:h val="0.806339822648048"/>
        </c:manualLayout>
      </c:layout>
      <c:lineChart>
        <c:grouping val="standard"/>
        <c:varyColors val="0"/>
        <c:ser>
          <c:idx val="0"/>
          <c:order val="0"/>
          <c:tx>
            <c:strRef>
              <c:f>USA!$A$242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USA!$B$242:$R$242</c:f>
              <c:numCache>
                <c:formatCode>#,##0</c:formatCode>
                <c:ptCount val="17"/>
                <c:pt idx="0">
                  <c:v>706.648744771748</c:v>
                </c:pt>
                <c:pt idx="1">
                  <c:v>784.539696940845</c:v>
                </c:pt>
                <c:pt idx="2">
                  <c:v>789.143788871731</c:v>
                </c:pt>
                <c:pt idx="3">
                  <c:v>710.963952707732</c:v>
                </c:pt>
                <c:pt idx="4">
                  <c:v>772.496919615959</c:v>
                </c:pt>
                <c:pt idx="5">
                  <c:v>796.697363047178</c:v>
                </c:pt>
                <c:pt idx="6">
                  <c:v>884.126184281317</c:v>
                </c:pt>
                <c:pt idx="7">
                  <c:v>939.778498544093</c:v>
                </c:pt>
                <c:pt idx="8">
                  <c:v>849.969696261391</c:v>
                </c:pt>
                <c:pt idx="9">
                  <c:v>869.265910656879</c:v>
                </c:pt>
                <c:pt idx="10">
                  <c:v>802.928578168666</c:v>
                </c:pt>
                <c:pt idx="11">
                  <c:v>750.218370304735</c:v>
                </c:pt>
                <c:pt idx="12">
                  <c:v>684.105418623139</c:v>
                </c:pt>
                <c:pt idx="13">
                  <c:v>596.497972550764</c:v>
                </c:pt>
                <c:pt idx="14">
                  <c:v>507.711542346917</c:v>
                </c:pt>
                <c:pt idx="15">
                  <c:v>422.945577907144</c:v>
                </c:pt>
                <c:pt idx="16">
                  <c:v>338.183726801425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USA!$A$243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USA!$B$243:$R$243</c:f>
              <c:numCache>
                <c:formatCode>#,##0</c:formatCode>
                <c:ptCount val="17"/>
                <c:pt idx="0">
                  <c:v>549.224761341643</c:v>
                </c:pt>
                <c:pt idx="1">
                  <c:v>502.681144264422</c:v>
                </c:pt>
                <c:pt idx="2">
                  <c:v>509.924989213746</c:v>
                </c:pt>
                <c:pt idx="3">
                  <c:v>446.120242090666</c:v>
                </c:pt>
                <c:pt idx="4">
                  <c:v>493.991524034876</c:v>
                </c:pt>
                <c:pt idx="5">
                  <c:v>571.303067556478</c:v>
                </c:pt>
                <c:pt idx="6">
                  <c:v>600.35414688041</c:v>
                </c:pt>
                <c:pt idx="7">
                  <c:v>568.527636642753</c:v>
                </c:pt>
                <c:pt idx="8">
                  <c:v>621.018353682195</c:v>
                </c:pt>
                <c:pt idx="9">
                  <c:v>736.461396528745</c:v>
                </c:pt>
                <c:pt idx="10">
                  <c:v>815.094162686373</c:v>
                </c:pt>
                <c:pt idx="11">
                  <c:v>822.82014807616</c:v>
                </c:pt>
                <c:pt idx="12">
                  <c:v>825.644470752065</c:v>
                </c:pt>
                <c:pt idx="13">
                  <c:v>814.449154828928</c:v>
                </c:pt>
                <c:pt idx="14">
                  <c:v>772.6045209627</c:v>
                </c:pt>
                <c:pt idx="15">
                  <c:v>708.433842994467</c:v>
                </c:pt>
                <c:pt idx="16">
                  <c:v>616.687972402599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USA!$A$244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USA!$B$244:$R$244</c:f>
              <c:numCache>
                <c:formatCode>#,##0</c:formatCode>
                <c:ptCount val="17"/>
                <c:pt idx="0">
                  <c:v>309.060901650044</c:v>
                </c:pt>
                <c:pt idx="1">
                  <c:v>319.096828563216</c:v>
                </c:pt>
                <c:pt idx="2">
                  <c:v>388.648261692354</c:v>
                </c:pt>
                <c:pt idx="3">
                  <c:v>440.448967823214</c:v>
                </c:pt>
                <c:pt idx="4">
                  <c:v>483.142273645254</c:v>
                </c:pt>
                <c:pt idx="5">
                  <c:v>506.227518913917</c:v>
                </c:pt>
                <c:pt idx="6">
                  <c:v>568.994601419837</c:v>
                </c:pt>
                <c:pt idx="7">
                  <c:v>574.207281949291</c:v>
                </c:pt>
                <c:pt idx="8">
                  <c:v>524.580712710173</c:v>
                </c:pt>
                <c:pt idx="9">
                  <c:v>446.706092976452</c:v>
                </c:pt>
                <c:pt idx="10">
                  <c:v>413.62987360204</c:v>
                </c:pt>
                <c:pt idx="11">
                  <c:v>387.209481447605</c:v>
                </c:pt>
                <c:pt idx="12">
                  <c:v>342.05270931157</c:v>
                </c:pt>
                <c:pt idx="13">
                  <c:v>321.191215988873</c:v>
                </c:pt>
                <c:pt idx="14">
                  <c:v>309.04180838508</c:v>
                </c:pt>
                <c:pt idx="15">
                  <c:v>285.488265087323</c:v>
                </c:pt>
                <c:pt idx="16">
                  <c:v>238.717924801006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USA!$A$245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USA!$B$245:$R$245</c:f>
              <c:numCache>
                <c:formatCode>#,##0</c:formatCode>
                <c:ptCount val="17"/>
                <c:pt idx="0">
                  <c:v>5.19336990255885</c:v>
                </c:pt>
                <c:pt idx="1">
                  <c:v>41.0879781251566</c:v>
                </c:pt>
                <c:pt idx="2">
                  <c:v>59.8118820606755</c:v>
                </c:pt>
                <c:pt idx="3">
                  <c:v>91.3891621391813</c:v>
                </c:pt>
                <c:pt idx="4">
                  <c:v>137.399456463489</c:v>
                </c:pt>
                <c:pt idx="5">
                  <c:v>160.393766241191</c:v>
                </c:pt>
                <c:pt idx="6">
                  <c:v>179.565456611163</c:v>
                </c:pt>
                <c:pt idx="7">
                  <c:v>186.256767410676</c:v>
                </c:pt>
                <c:pt idx="8">
                  <c:v>192.207158390162</c:v>
                </c:pt>
                <c:pt idx="9">
                  <c:v>193.170202368195</c:v>
                </c:pt>
                <c:pt idx="10">
                  <c:v>182.483767765606</c:v>
                </c:pt>
                <c:pt idx="11">
                  <c:v>169.404148133327</c:v>
                </c:pt>
                <c:pt idx="12">
                  <c:v>153.333973139669</c:v>
                </c:pt>
                <c:pt idx="13">
                  <c:v>126.1822634242</c:v>
                </c:pt>
                <c:pt idx="14">
                  <c:v>110.372074423243</c:v>
                </c:pt>
                <c:pt idx="15">
                  <c:v>84.5891155814289</c:v>
                </c:pt>
                <c:pt idx="16">
                  <c:v>59.6794812002515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USA!$A$249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USA!$B$249:$R$249</c:f>
              <c:numCache>
                <c:formatCode>#,##0</c:formatCode>
                <c:ptCount val="17"/>
                <c:pt idx="0">
                  <c:v>57.3588992152591</c:v>
                </c:pt>
                <c:pt idx="1">
                  <c:v>69.2888517706358</c:v>
                </c:pt>
                <c:pt idx="2">
                  <c:v>63.8100240308677</c:v>
                </c:pt>
                <c:pt idx="3">
                  <c:v>64.9823116900088</c:v>
                </c:pt>
                <c:pt idx="4">
                  <c:v>81.3635797186036</c:v>
                </c:pt>
                <c:pt idx="5">
                  <c:v>87.2781414903356</c:v>
                </c:pt>
                <c:pt idx="6">
                  <c:v>83.6601579681257</c:v>
                </c:pt>
                <c:pt idx="7">
                  <c:v>89.886840606117</c:v>
                </c:pt>
                <c:pt idx="8">
                  <c:v>123.228475266362</c:v>
                </c:pt>
                <c:pt idx="9">
                  <c:v>169.023927072171</c:v>
                </c:pt>
                <c:pt idx="10">
                  <c:v>218.980521318727</c:v>
                </c:pt>
                <c:pt idx="11">
                  <c:v>290.407111085704</c:v>
                </c:pt>
                <c:pt idx="12">
                  <c:v>353.847630322314</c:v>
                </c:pt>
                <c:pt idx="13">
                  <c:v>435.902364556328</c:v>
                </c:pt>
                <c:pt idx="14">
                  <c:v>507.711542346917</c:v>
                </c:pt>
                <c:pt idx="15">
                  <c:v>613.271087965359</c:v>
                </c:pt>
                <c:pt idx="16">
                  <c:v>736.046934803102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USA!$U$261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USA!$B$261:$R$261</c:f>
              <c:numCache>
                <c:formatCode>#,##0</c:formatCode>
                <c:ptCount val="17"/>
                <c:pt idx="9">
                  <c:v>869.215894255352</c:v>
                </c:pt>
                <c:pt idx="10">
                  <c:v>770.370817389397</c:v>
                </c:pt>
                <c:pt idx="11">
                  <c:v>719.33729454025</c:v>
                </c:pt>
                <c:pt idx="12">
                  <c:v>655.757494868818</c:v>
                </c:pt>
                <c:pt idx="13">
                  <c:v>571.821036469386</c:v>
                </c:pt>
                <c:pt idx="14">
                  <c:v>486.919244122104</c:v>
                </c:pt>
                <c:pt idx="15">
                  <c:v>405.950663613533</c:v>
                </c:pt>
                <c:pt idx="16">
                  <c:v>324.977133791124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USA!$U$262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USA!$B$262:$R$262</c:f>
              <c:numCache>
                <c:formatCode>#,##0</c:formatCode>
                <c:ptCount val="17"/>
                <c:pt idx="9">
                  <c:v>736.419021521895</c:v>
                </c:pt>
                <c:pt idx="10">
                  <c:v>782.043102501358</c:v>
                </c:pt>
                <c:pt idx="11">
                  <c:v>788.950581108662</c:v>
                </c:pt>
                <c:pt idx="12">
                  <c:v>791.431459324435</c:v>
                </c:pt>
                <c:pt idx="13">
                  <c:v>780.755645948585</c:v>
                </c:pt>
                <c:pt idx="14">
                  <c:v>740.964067142333</c:v>
                </c:pt>
                <c:pt idx="15">
                  <c:v>679.967361552667</c:v>
                </c:pt>
                <c:pt idx="16">
                  <c:v>592.605361619109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USA!$U$265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USA!$B$265:$R$265</c:f>
              <c:numCache>
                <c:formatCode>#,##0</c:formatCode>
                <c:ptCount val="17"/>
                <c:pt idx="9">
                  <c:v>169.014201660763</c:v>
                </c:pt>
                <c:pt idx="10">
                  <c:v>210.10113201529</c:v>
                </c:pt>
                <c:pt idx="11">
                  <c:v>278.453146273645</c:v>
                </c:pt>
                <c:pt idx="12">
                  <c:v>339.184911139044</c:v>
                </c:pt>
                <c:pt idx="13">
                  <c:v>417.869218958398</c:v>
                </c:pt>
                <c:pt idx="14">
                  <c:v>486.919244122104</c:v>
                </c:pt>
                <c:pt idx="15">
                  <c:v>588.628462239622</c:v>
                </c:pt>
                <c:pt idx="16">
                  <c:v>707.303173545389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USA!$U$264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USA!$B$264:$R$264</c:f>
              <c:numCache>
                <c:formatCode>#,##0</c:formatCode>
                <c:ptCount val="17"/>
                <c:pt idx="9">
                  <c:v>193.1590876123</c:v>
                </c:pt>
                <c:pt idx="10">
                  <c:v>175.084276679408</c:v>
                </c:pt>
                <c:pt idx="11">
                  <c:v>162.43100199296</c:v>
                </c:pt>
                <c:pt idx="12">
                  <c:v>146.980128160252</c:v>
                </c:pt>
                <c:pt idx="13">
                  <c:v>120.962142330062</c:v>
                </c:pt>
                <c:pt idx="14">
                  <c:v>105.852009591762</c:v>
                </c:pt>
                <c:pt idx="15">
                  <c:v>81.1901327227065</c:v>
                </c:pt>
                <c:pt idx="16">
                  <c:v>57.3489059631396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USA!$U$263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USA!$B$240:$R$240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USA!$B$263:$R$263</c:f>
              <c:numCache>
                <c:formatCode>#,##0</c:formatCode>
                <c:ptCount val="17"/>
                <c:pt idx="9">
                  <c:v>446.680390103445</c:v>
                </c:pt>
                <c:pt idx="10">
                  <c:v>444.499673855478</c:v>
                </c:pt>
                <c:pt idx="11">
                  <c:v>418.626838955617</c:v>
                </c:pt>
                <c:pt idx="12">
                  <c:v>374.026354392102</c:v>
                </c:pt>
                <c:pt idx="13">
                  <c:v>352.787546832761</c:v>
                </c:pt>
                <c:pt idx="14">
                  <c:v>339.590528731122</c:v>
                </c:pt>
                <c:pt idx="15">
                  <c:v>315.440235042556</c:v>
                </c:pt>
                <c:pt idx="16">
                  <c:v>268.408485051973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943946"/>
        <c:axId val="24297021"/>
      </c:lineChart>
      <c:catAx>
        <c:axId val="8294394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297021"/>
        <c:crosses val="autoZero"/>
        <c:auto val="1"/>
        <c:lblAlgn val="ctr"/>
        <c:lblOffset val="100"/>
        <c:noMultiLvlLbl val="0"/>
      </c:catAx>
      <c:valAx>
        <c:axId val="24297021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43946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7"/>
          <c:y val="0.111708569323571"/>
          <c:w val="0.247357948743893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49679685886"/>
          <c:w val="0.693587842846553"/>
          <c:h val="0.806364951436247"/>
        </c:manualLayout>
      </c:layout>
      <c:lineChart>
        <c:grouping val="standard"/>
        <c:varyColors val="0"/>
        <c:ser>
          <c:idx val="0"/>
          <c:order val="0"/>
          <c:tx>
            <c:strRef>
              <c:f>China!$AA$28</c:f>
              <c:strCache>
                <c:ptCount val="1"/>
                <c:pt idx="0">
                  <c:v>Population, China (0 - 1.4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China!$AB$28:$AR$28</c:f>
              <c:numCache>
                <c:formatCode>#,##0.000</c:formatCode>
                <c:ptCount val="17"/>
                <c:pt idx="0">
                  <c:v>0.584879948571429</c:v>
                </c:pt>
                <c:pt idx="1">
                  <c:v>0.656888837857143</c:v>
                </c:pt>
                <c:pt idx="2">
                  <c:v>0.706050301428572</c:v>
                </c:pt>
                <c:pt idx="3">
                  <c:v>0.758778613571429</c:v>
                </c:pt>
                <c:pt idx="4">
                  <c:v>0.822391996428572</c:v>
                </c:pt>
                <c:pt idx="5">
                  <c:v>0.87180668</c:v>
                </c:pt>
                <c:pt idx="6">
                  <c:v>0.911665657857143</c:v>
                </c:pt>
                <c:pt idx="7">
                  <c:v>0.939203384285715</c:v>
                </c:pt>
                <c:pt idx="8">
                  <c:v>0.963522855</c:v>
                </c:pt>
                <c:pt idx="9">
                  <c:v>0.975510001321429</c:v>
                </c:pt>
                <c:pt idx="10">
                  <c:v>0.978180732048326</c:v>
                </c:pt>
                <c:pt idx="11">
                  <c:v>0.972360167977883</c:v>
                </c:pt>
                <c:pt idx="12">
                  <c:v>0.959266590477893</c:v>
                </c:pt>
                <c:pt idx="13">
                  <c:v>0.938070916868215</c:v>
                </c:pt>
                <c:pt idx="14">
                  <c:v>0.909351951451485</c:v>
                </c:pt>
                <c:pt idx="15">
                  <c:v>0.873924609947455</c:v>
                </c:pt>
                <c:pt idx="16">
                  <c:v>0.832568101096973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China!$AA$31</c:f>
              <c:strCache>
                <c:ptCount val="1"/>
                <c:pt idx="0">
                  <c:v>Crude birth rate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China!$AB$31:$AR$31</c:f>
              <c:numCache>
                <c:formatCode>#,##0.000</c:formatCode>
                <c:ptCount val="17"/>
                <c:pt idx="0">
                  <c:v>0.832588955910865</c:v>
                </c:pt>
                <c:pt idx="1">
                  <c:v>0.558772602852646</c:v>
                </c:pt>
                <c:pt idx="2">
                  <c:v>0.555851462796729</c:v>
                </c:pt>
                <c:pt idx="3">
                  <c:v>0.602912038547091</c:v>
                </c:pt>
                <c:pt idx="4">
                  <c:v>0.481647457667248</c:v>
                </c:pt>
                <c:pt idx="5">
                  <c:v>0.406969725214769</c:v>
                </c:pt>
                <c:pt idx="6">
                  <c:v>0.34104081221988</c:v>
                </c:pt>
                <c:pt idx="7">
                  <c:v>0.318950789282034</c:v>
                </c:pt>
                <c:pt idx="8">
                  <c:v>0.25</c:v>
                </c:pt>
                <c:pt idx="9">
                  <c:v>0.2125</c:v>
                </c:pt>
                <c:pt idx="10">
                  <c:v>0.1875</c:v>
                </c:pt>
                <c:pt idx="11">
                  <c:v>0.175</c:v>
                </c:pt>
                <c:pt idx="12">
                  <c:v>0.1625</c:v>
                </c:pt>
                <c:pt idx="13">
                  <c:v>0.155</c:v>
                </c:pt>
                <c:pt idx="14">
                  <c:v>0.15</c:v>
                </c:pt>
                <c:pt idx="15">
                  <c:v>0.145</c:v>
                </c:pt>
                <c:pt idx="16">
                  <c:v>0.14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China!$AB$32:$AR$32</c:f>
              <c:numCache>
                <c:formatCode>#,##0.000</c:formatCode>
                <c:ptCount val="17"/>
                <c:pt idx="0">
                  <c:v>0.421132833501334</c:v>
                </c:pt>
                <c:pt idx="1">
                  <c:v>0.368791045710014</c:v>
                </c:pt>
                <c:pt idx="2">
                  <c:v>0.363446292376769</c:v>
                </c:pt>
                <c:pt idx="3">
                  <c:v>0.367089286674761</c:v>
                </c:pt>
                <c:pt idx="4">
                  <c:v>0.356787614477852</c:v>
                </c:pt>
                <c:pt idx="5">
                  <c:v>0.355864075934161</c:v>
                </c:pt>
                <c:pt idx="6">
                  <c:v>0.362261777201136</c:v>
                </c:pt>
                <c:pt idx="7">
                  <c:v>0.366359823091961</c:v>
                </c:pt>
                <c:pt idx="8">
                  <c:v>0.375590430894049</c:v>
                </c:pt>
                <c:pt idx="9">
                  <c:v>0.397622210707425</c:v>
                </c:pt>
                <c:pt idx="10">
                  <c:v>0.434503973854142</c:v>
                </c:pt>
                <c:pt idx="11">
                  <c:v>0.484657690958479</c:v>
                </c:pt>
                <c:pt idx="12">
                  <c:v>0.545957070954788</c:v>
                </c:pt>
                <c:pt idx="13">
                  <c:v>0.616149192990753</c:v>
                </c:pt>
                <c:pt idx="14">
                  <c:v>0.68958888742122</c:v>
                </c:pt>
                <c:pt idx="15">
                  <c:v>0.763227420074244</c:v>
                </c:pt>
                <c:pt idx="16">
                  <c:v>0.832105631915395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China!$AA$38</c:f>
              <c:strCache>
                <c:ptCount val="1"/>
                <c:pt idx="0">
                  <c:v>Population, China Your forecast (0 - 1.4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China!$AB$38:$AR$38</c:f>
              <c:numCache>
                <c:formatCode>#,##0.000</c:formatCode>
                <c:ptCount val="17"/>
                <c:pt idx="9">
                  <c:v>0.975510001321429</c:v>
                </c:pt>
                <c:pt idx="10">
                  <c:v>0.978127317433788</c:v>
                </c:pt>
                <c:pt idx="11">
                  <c:v>0.972423476126173</c:v>
                </c:pt>
                <c:pt idx="12">
                  <c:v>0.959590934733134</c:v>
                </c:pt>
                <c:pt idx="13">
                  <c:v>0.938812151312301</c:v>
                </c:pt>
                <c:pt idx="14">
                  <c:v>0.910645326227872</c:v>
                </c:pt>
                <c:pt idx="15">
                  <c:v>0.875877150878788</c:v>
                </c:pt>
                <c:pt idx="16">
                  <c:v>0.835257220606378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China!$AA$41</c:f>
              <c:strCache>
                <c:ptCount val="1"/>
                <c:pt idx="0">
                  <c:v>Crude birth rate Your forecast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China!$AB$41:$AR$41</c:f>
              <c:numCache>
                <c:formatCode>#,##0.000</c:formatCode>
                <c:ptCount val="17"/>
                <c:pt idx="8">
                  <c:v>0.25</c:v>
                </c:pt>
                <c:pt idx="9">
                  <c:v>0.20825</c:v>
                </c:pt>
                <c:pt idx="10">
                  <c:v>0.18375</c:v>
                </c:pt>
                <c:pt idx="11">
                  <c:v>0.1715</c:v>
                </c:pt>
                <c:pt idx="12">
                  <c:v>0.15925</c:v>
                </c:pt>
                <c:pt idx="13">
                  <c:v>0.1519</c:v>
                </c:pt>
                <c:pt idx="14">
                  <c:v>0.147</c:v>
                </c:pt>
                <c:pt idx="15">
                  <c:v>0.1421</c:v>
                </c:pt>
                <c:pt idx="16">
                  <c:v>0.1372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China!$AB$42:$AR$42</c:f>
              <c:numCache>
                <c:formatCode>#,##0.000</c:formatCode>
                <c:ptCount val="17"/>
                <c:pt idx="8">
                  <c:v>0.375590430894049</c:v>
                </c:pt>
                <c:pt idx="9">
                  <c:v>0.389669766493277</c:v>
                </c:pt>
                <c:pt idx="10">
                  <c:v>0.425813894377059</c:v>
                </c:pt>
                <c:pt idx="11">
                  <c:v>0.47496453713931</c:v>
                </c:pt>
                <c:pt idx="12">
                  <c:v>0.535037929535692</c:v>
                </c:pt>
                <c:pt idx="13">
                  <c:v>0.603826209130938</c:v>
                </c:pt>
                <c:pt idx="14">
                  <c:v>0.675797109672795</c:v>
                </c:pt>
                <c:pt idx="15">
                  <c:v>0.747962871672759</c:v>
                </c:pt>
                <c:pt idx="16">
                  <c:v>0.815463519277087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China!$AA$36</c:f>
              <c:strCache>
                <c:ptCount val="1"/>
                <c:pt idx="0">
                  <c:v>UN Low Birthrate (0 - 4 %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China!$AB$36:$AR$36</c:f>
              <c:numCache>
                <c:formatCode>#,##0.000</c:formatCode>
                <c:ptCount val="17"/>
                <c:pt idx="8">
                  <c:v>0.252621544865023</c:v>
                </c:pt>
                <c:pt idx="9">
                  <c:v>0.201240091816591</c:v>
                </c:pt>
                <c:pt idx="10">
                  <c:v>0.17047663133093</c:v>
                </c:pt>
                <c:pt idx="11">
                  <c:v>0.165369563728476</c:v>
                </c:pt>
                <c:pt idx="12">
                  <c:v>0.15982293159919</c:v>
                </c:pt>
                <c:pt idx="13">
                  <c:v>0.150188556040066</c:v>
                </c:pt>
                <c:pt idx="14">
                  <c:v>0.139541224395478</c:v>
                </c:pt>
                <c:pt idx="15">
                  <c:v>0.13155060803623</c:v>
                </c:pt>
                <c:pt idx="16">
                  <c:v>0.12761936599815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China!$AB$37:$AR$37</c:f>
              <c:numCache>
                <c:formatCode>#,##0.000</c:formatCode>
                <c:ptCount val="17"/>
                <c:pt idx="8">
                  <c:v>0.375590430894049</c:v>
                </c:pt>
                <c:pt idx="9">
                  <c:v>0.397622210707425</c:v>
                </c:pt>
                <c:pt idx="10">
                  <c:v>0.434503973854142</c:v>
                </c:pt>
                <c:pt idx="11">
                  <c:v>0.484657690958479</c:v>
                </c:pt>
                <c:pt idx="12">
                  <c:v>0.545957070954788</c:v>
                </c:pt>
                <c:pt idx="13">
                  <c:v>0.616149192990753</c:v>
                </c:pt>
                <c:pt idx="14">
                  <c:v>0.68958888742122</c:v>
                </c:pt>
                <c:pt idx="15">
                  <c:v>0.763227420074244</c:v>
                </c:pt>
                <c:pt idx="16">
                  <c:v>0.832105631915395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319824"/>
        <c:axId val="36749835"/>
      </c:lineChart>
      <c:catAx>
        <c:axId val="2531982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749835"/>
        <c:crosses val="autoZero"/>
        <c:auto val="1"/>
        <c:lblAlgn val="ctr"/>
        <c:lblOffset val="100"/>
        <c:noMultiLvlLbl val="0"/>
      </c:catAx>
      <c:valAx>
        <c:axId val="3674983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31982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2601435477"/>
          <c:y val="0.115955647434693"/>
          <c:w val="0.691775303940237"/>
          <c:h val="0.807085134373238"/>
        </c:manualLayout>
      </c:layout>
      <c:lineChart>
        <c:grouping val="standard"/>
        <c:varyColors val="0"/>
        <c:ser>
          <c:idx val="0"/>
          <c:order val="0"/>
          <c:tx>
            <c:strRef>
              <c:f>China!$AA$506</c:f>
              <c:strCache>
                <c:ptCount val="1"/>
                <c:pt idx="0">
                  <c:v>GDP (0 - 40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China!$AB$506:$AR$506</c:f>
              <c:numCache>
                <c:formatCode>#,##0.000</c:formatCode>
                <c:ptCount val="17"/>
                <c:pt idx="0">
                  <c:v>0.00875347272887452</c:v>
                </c:pt>
                <c:pt idx="1">
                  <c:v>0.0118168750380489</c:v>
                </c:pt>
                <c:pt idx="2">
                  <c:v>0.0176040976091402</c:v>
                </c:pt>
                <c:pt idx="3">
                  <c:v>0.0284639814856056</c:v>
                </c:pt>
                <c:pt idx="4">
                  <c:v>0.0396570439770241</c:v>
                </c:pt>
                <c:pt idx="5">
                  <c:v>0.0691318204413377</c:v>
                </c:pt>
                <c:pt idx="6">
                  <c:v>0.0962315390596555</c:v>
                </c:pt>
                <c:pt idx="7">
                  <c:v>0.159796160106436</c:v>
                </c:pt>
                <c:pt idx="8">
                  <c:v>0.239015878869695</c:v>
                </c:pt>
                <c:pt idx="9">
                  <c:v>0.349495776550019</c:v>
                </c:pt>
                <c:pt idx="10">
                  <c:v>0.47723774395536</c:v>
                </c:pt>
                <c:pt idx="11">
                  <c:v>0.627366316822245</c:v>
                </c:pt>
                <c:pt idx="12">
                  <c:v>0.772349277815601</c:v>
                </c:pt>
                <c:pt idx="13">
                  <c:v>0.877082587046564</c:v>
                </c:pt>
                <c:pt idx="14">
                  <c:v>0.945131771134898</c:v>
                </c:pt>
                <c:pt idx="15">
                  <c:v>0.997894155332218</c:v>
                </c:pt>
                <c:pt idx="16">
                  <c:v>0.989368152012976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China!$AA$505</c:f>
              <c:strCache>
                <c:ptCount val="1"/>
                <c:pt idx="0">
                  <c:v>Population (0 - 1.4G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China!$AB$505:$AR$505</c:f>
              <c:numCache>
                <c:formatCode>#,##0.000</c:formatCode>
                <c:ptCount val="17"/>
                <c:pt idx="0">
                  <c:v>0.584879948571429</c:v>
                </c:pt>
                <c:pt idx="1">
                  <c:v>0.656888837857143</c:v>
                </c:pt>
                <c:pt idx="2">
                  <c:v>0.706050301428572</c:v>
                </c:pt>
                <c:pt idx="3">
                  <c:v>0.758778613571429</c:v>
                </c:pt>
                <c:pt idx="4">
                  <c:v>0.822391996428572</c:v>
                </c:pt>
                <c:pt idx="5">
                  <c:v>0.87180668</c:v>
                </c:pt>
                <c:pt idx="6">
                  <c:v>0.911665657857143</c:v>
                </c:pt>
                <c:pt idx="7">
                  <c:v>0.939203384285715</c:v>
                </c:pt>
                <c:pt idx="8">
                  <c:v>0.963522855</c:v>
                </c:pt>
                <c:pt idx="9">
                  <c:v>0.975510001321429</c:v>
                </c:pt>
                <c:pt idx="10">
                  <c:v>0.978180732048326</c:v>
                </c:pt>
                <c:pt idx="11">
                  <c:v>0.972360167977883</c:v>
                </c:pt>
                <c:pt idx="12">
                  <c:v>0.959266590477893</c:v>
                </c:pt>
                <c:pt idx="13">
                  <c:v>0.938070916868215</c:v>
                </c:pt>
                <c:pt idx="14">
                  <c:v>0.909351951451485</c:v>
                </c:pt>
                <c:pt idx="15">
                  <c:v>0.873924609947455</c:v>
                </c:pt>
                <c:pt idx="16">
                  <c:v>0.832568101096973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China!$AA$509</c:f>
              <c:strCache>
                <c:ptCount val="1"/>
                <c:pt idx="0">
                  <c:v>Consumption (0 - 40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China!$AB$509:$AR$509</c:f>
              <c:numCache>
                <c:formatCode>#,##0.000</c:formatCode>
                <c:ptCount val="17"/>
                <c:pt idx="0">
                  <c:v>0.00579939246471348</c:v>
                </c:pt>
                <c:pt idx="1">
                  <c:v>0.00770349559193151</c:v>
                </c:pt>
                <c:pt idx="2">
                  <c:v>0.0115749399183757</c:v>
                </c:pt>
                <c:pt idx="3">
                  <c:v>0.0181426021323107</c:v>
                </c:pt>
                <c:pt idx="4">
                  <c:v>0.0259986499559622</c:v>
                </c:pt>
                <c:pt idx="5">
                  <c:v>0.0397018884080583</c:v>
                </c:pt>
                <c:pt idx="6">
                  <c:v>0.0592511383298188</c:v>
                </c:pt>
                <c:pt idx="7">
                  <c:v>0.0928847095809972</c:v>
                </c:pt>
                <c:pt idx="8">
                  <c:v>0.128723033290051</c:v>
                </c:pt>
                <c:pt idx="9">
                  <c:v>0.206697302411744</c:v>
                </c:pt>
                <c:pt idx="10">
                  <c:v>0.293232433696081</c:v>
                </c:pt>
                <c:pt idx="11">
                  <c:v>0.396230514139813</c:v>
                </c:pt>
                <c:pt idx="12">
                  <c:v>0.495024295477979</c:v>
                </c:pt>
                <c:pt idx="13">
                  <c:v>0.56523578664661</c:v>
                </c:pt>
                <c:pt idx="14">
                  <c:v>0.608274923785843</c:v>
                </c:pt>
                <c:pt idx="15">
                  <c:v>0.632106642030853</c:v>
                </c:pt>
                <c:pt idx="16">
                  <c:v>0.611261747924569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China!$AA$508</c:f>
              <c:strCache>
                <c:ptCount val="1"/>
                <c:pt idx="0">
                  <c:v>CO2 Emissions (0 - 16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China!$AB$508:$AR$508</c:f>
              <c:numCache>
                <c:formatCode>#,##0.000</c:formatCode>
                <c:ptCount val="17"/>
                <c:pt idx="0">
                  <c:v>0.0487595625</c:v>
                </c:pt>
                <c:pt idx="1">
                  <c:v>0.0723011666666667</c:v>
                </c:pt>
                <c:pt idx="2">
                  <c:v>0.0927655208333333</c:v>
                </c:pt>
                <c:pt idx="3">
                  <c:v>0.1243825</c:v>
                </c:pt>
                <c:pt idx="4">
                  <c:v>0.15557575</c:v>
                </c:pt>
                <c:pt idx="5">
                  <c:v>0.20955275</c:v>
                </c:pt>
                <c:pt idx="6">
                  <c:v>0.215442791666667</c:v>
                </c:pt>
                <c:pt idx="7">
                  <c:v>0.364492104166667</c:v>
                </c:pt>
                <c:pt idx="8">
                  <c:v>0.441948833333333</c:v>
                </c:pt>
                <c:pt idx="9">
                  <c:v>0.680571417010824</c:v>
                </c:pt>
                <c:pt idx="10">
                  <c:v>0.8411423826136</c:v>
                </c:pt>
                <c:pt idx="11">
                  <c:v>0.938652329724952</c:v>
                </c:pt>
                <c:pt idx="12">
                  <c:v>0.995031057700201</c:v>
                </c:pt>
                <c:pt idx="13">
                  <c:v>0.975414852533924</c:v>
                </c:pt>
                <c:pt idx="14">
                  <c:v>0.916416549191998</c:v>
                </c:pt>
                <c:pt idx="15">
                  <c:v>0.826035950469318</c:v>
                </c:pt>
                <c:pt idx="16">
                  <c:v>0.700156082964816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China!$AA$507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China!$AB$507:$AR$507</c:f>
              <c:numCache>
                <c:formatCode>#,##0.000</c:formatCode>
                <c:ptCount val="17"/>
                <c:pt idx="0">
                  <c:v>0.153451363139682</c:v>
                </c:pt>
                <c:pt idx="1">
                  <c:v>0.121451363139682</c:v>
                </c:pt>
                <c:pt idx="2">
                  <c:v>0.198118029806349</c:v>
                </c:pt>
                <c:pt idx="3">
                  <c:v>0.176784696473016</c:v>
                </c:pt>
                <c:pt idx="4">
                  <c:v>0.231784696473016</c:v>
                </c:pt>
                <c:pt idx="5">
                  <c:v>0.235784696473016</c:v>
                </c:pt>
                <c:pt idx="6">
                  <c:v>0.237157742182414</c:v>
                </c:pt>
                <c:pt idx="7">
                  <c:v>0.291885077953339</c:v>
                </c:pt>
                <c:pt idx="8">
                  <c:v>0.323311269283295</c:v>
                </c:pt>
                <c:pt idx="9">
                  <c:v>0.363716165224711</c:v>
                </c:pt>
                <c:pt idx="10">
                  <c:v>0.407845457394918</c:v>
                </c:pt>
                <c:pt idx="11">
                  <c:v>0.451553185780843</c:v>
                </c:pt>
                <c:pt idx="12">
                  <c:v>0.494161645571391</c:v>
                </c:pt>
                <c:pt idx="13">
                  <c:v>0.537767728169759</c:v>
                </c:pt>
                <c:pt idx="14">
                  <c:v>0.581482330958049</c:v>
                </c:pt>
                <c:pt idx="15">
                  <c:v>0.62560510635376</c:v>
                </c:pt>
                <c:pt idx="16">
                  <c:v>0.669907410939535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China!$AA$512</c:f>
              <c:strCache>
                <c:ptCount val="1"/>
                <c:pt idx="0">
                  <c:v>GDP (0 - 40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China!$AB$512:$AR$512</c:f>
              <c:numCache>
                <c:formatCode>#,##0.000</c:formatCode>
                <c:ptCount val="17"/>
                <c:pt idx="9">
                  <c:v>0.349495776550019</c:v>
                </c:pt>
                <c:pt idx="10">
                  <c:v>0.461315357407032</c:v>
                </c:pt>
                <c:pt idx="11">
                  <c:v>0.598997683616566</c:v>
                </c:pt>
                <c:pt idx="12">
                  <c:v>0.72947209705592</c:v>
                </c:pt>
                <c:pt idx="13">
                  <c:v>0.820783434625152</c:v>
                </c:pt>
                <c:pt idx="14">
                  <c:v>0.877878163488258</c:v>
                </c:pt>
                <c:pt idx="15">
                  <c:v>0.921736719210391</c:v>
                </c:pt>
                <c:pt idx="16">
                  <c:v>0.91067351607283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China!$AA$511</c:f>
              <c:strCache>
                <c:ptCount val="1"/>
                <c:pt idx="0">
                  <c:v>Population (0 - 1.4G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China!$AB$511:$AR$511</c:f>
              <c:numCache>
                <c:formatCode>#,##0.000</c:formatCode>
                <c:ptCount val="17"/>
                <c:pt idx="9">
                  <c:v>0.975510001321429</c:v>
                </c:pt>
                <c:pt idx="10">
                  <c:v>0.978127317433788</c:v>
                </c:pt>
                <c:pt idx="11">
                  <c:v>0.972423476126173</c:v>
                </c:pt>
                <c:pt idx="12">
                  <c:v>0.959590934733134</c:v>
                </c:pt>
                <c:pt idx="13">
                  <c:v>0.938812151312301</c:v>
                </c:pt>
                <c:pt idx="14">
                  <c:v>0.910645326227872</c:v>
                </c:pt>
                <c:pt idx="15">
                  <c:v>0.875877150878788</c:v>
                </c:pt>
                <c:pt idx="16">
                  <c:v>0.835257220606378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China!$AA$514</c:f>
              <c:strCache>
                <c:ptCount val="1"/>
                <c:pt idx="0">
                  <c:v>Consumption (0 - 40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China!$AB$514:$AR$514</c:f>
              <c:numCache>
                <c:formatCode>#,##0.000</c:formatCode>
                <c:ptCount val="17"/>
                <c:pt idx="9">
                  <c:v>0.206697302411744</c:v>
                </c:pt>
                <c:pt idx="10">
                  <c:v>0.283642885858332</c:v>
                </c:pt>
                <c:pt idx="11">
                  <c:v>0.37873281917789</c:v>
                </c:pt>
                <c:pt idx="12">
                  <c:v>0.468257769387981</c:v>
                </c:pt>
                <c:pt idx="13">
                  <c:v>0.529987990553467</c:v>
                </c:pt>
                <c:pt idx="14">
                  <c:v>0.566343279925212</c:v>
                </c:pt>
                <c:pt idx="15">
                  <c:v>0.585653601559246</c:v>
                </c:pt>
                <c:pt idx="16">
                  <c:v>0.564827423829187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China!$AA$513</c:f>
              <c:strCache>
                <c:ptCount val="1"/>
                <c:pt idx="0">
                  <c:v>CO2 Emissions (0 - 16000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China!$AB$513:$AR$513</c:f>
              <c:numCache>
                <c:formatCode>#,##0.000</c:formatCode>
                <c:ptCount val="17"/>
                <c:pt idx="9">
                  <c:v>0.680571417010824</c:v>
                </c:pt>
                <c:pt idx="10">
                  <c:v>0.818491640444515</c:v>
                </c:pt>
                <c:pt idx="11">
                  <c:v>0.90556478744609</c:v>
                </c:pt>
                <c:pt idx="12">
                  <c:v>0.952873378441067</c:v>
                </c:pt>
                <c:pt idx="13">
                  <c:v>0.928876862010686</c:v>
                </c:pt>
                <c:pt idx="14">
                  <c:v>0.869189829873897</c:v>
                </c:pt>
                <c:pt idx="15">
                  <c:v>0.782453666474946</c:v>
                </c:pt>
                <c:pt idx="16">
                  <c:v>0.663983904886676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470223"/>
        <c:axId val="34972453"/>
      </c:lineChart>
      <c:catAx>
        <c:axId val="3147022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72453"/>
        <c:crosses val="autoZero"/>
        <c:auto val="1"/>
        <c:lblAlgn val="ctr"/>
        <c:lblOffset val="100"/>
        <c:noMultiLvlLbl val="0"/>
      </c:catAx>
      <c:valAx>
        <c:axId val="3497245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47022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7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31863727455"/>
          <c:w val="0.699882249043274"/>
          <c:h val="0.807014028056112"/>
        </c:manualLayout>
      </c:layout>
      <c:lineChart>
        <c:grouping val="standard"/>
        <c:varyColors val="0"/>
        <c:ser>
          <c:idx val="0"/>
          <c:order val="0"/>
          <c:tx>
            <c:strRef>
              <c:f>China!$AA$562</c:f>
              <c:strCache>
                <c:ptCount val="1"/>
                <c:pt idx="0">
                  <c:v>GDP per person (0 - 35 000 $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China!$AB$562:$AR$562</c:f>
              <c:numCache>
                <c:formatCode>0.000</c:formatCode>
                <c:ptCount val="17"/>
                <c:pt idx="0">
                  <c:v>0.0122173653602323</c:v>
                </c:pt>
                <c:pt idx="1">
                  <c:v>0.0146850243854908</c:v>
                </c:pt>
                <c:pt idx="2">
                  <c:v>0.0203536375478519</c:v>
                </c:pt>
                <c:pt idx="3">
                  <c:v>0.0306227703811901</c:v>
                </c:pt>
                <c:pt idx="4">
                  <c:v>0.0393645576132659</c:v>
                </c:pt>
                <c:pt idx="5">
                  <c:v>0.0647324004626644</c:v>
                </c:pt>
                <c:pt idx="6">
                  <c:v>0.0861679473598807</c:v>
                </c:pt>
                <c:pt idx="7">
                  <c:v>0.138889879622882</c:v>
                </c:pt>
                <c:pt idx="8">
                  <c:v>0.202501686541659</c:v>
                </c:pt>
                <c:pt idx="9">
                  <c:v>0.292465145768098</c:v>
                </c:pt>
                <c:pt idx="10">
                  <c:v>0.398271831611837</c:v>
                </c:pt>
                <c:pt idx="11">
                  <c:v>0.526693488380464</c:v>
                </c:pt>
                <c:pt idx="12">
                  <c:v>0.657261717064473</c:v>
                </c:pt>
                <c:pt idx="13">
                  <c:v>0.763253366530624</c:v>
                </c:pt>
                <c:pt idx="14">
                  <c:v>0.84844612525486</c:v>
                </c:pt>
                <c:pt idx="15">
                  <c:v>0.932125568348011</c:v>
                </c:pt>
                <c:pt idx="16">
                  <c:v>0.970067757780851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China!$AA$563</c:f>
              <c:strCache>
                <c:ptCount val="1"/>
                <c:pt idx="0">
                  <c:v>Consumption per person (0 - 35 000 $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China!$AB$563:$AR$563</c:f>
              <c:numCache>
                <c:formatCode>0.000</c:formatCode>
                <c:ptCount val="17"/>
                <c:pt idx="0">
                  <c:v>0.00809430711711292</c:v>
                </c:pt>
                <c:pt idx="1">
                  <c:v>0.00957326029570285</c:v>
                </c:pt>
                <c:pt idx="2">
                  <c:v>0.0133828008096513</c:v>
                </c:pt>
                <c:pt idx="3">
                  <c:v>0.0195185884130791</c:v>
                </c:pt>
                <c:pt idx="4">
                  <c:v>0.0258068996431389</c:v>
                </c:pt>
                <c:pt idx="5">
                  <c:v>0.0371753343561266</c:v>
                </c:pt>
                <c:pt idx="6">
                  <c:v>0.0530548406323609</c:v>
                </c:pt>
                <c:pt idx="7">
                  <c:v>0.0807325165005102</c:v>
                </c:pt>
                <c:pt idx="8">
                  <c:v>0.10905815739633</c:v>
                </c:pt>
                <c:pt idx="9">
                  <c:v>0.172968489852614</c:v>
                </c:pt>
                <c:pt idx="10">
                  <c:v>0.244712870964914</c:v>
                </c:pt>
                <c:pt idx="11">
                  <c:v>0.332647810536205</c:v>
                </c:pt>
                <c:pt idx="12">
                  <c:v>0.42126085668739</c:v>
                </c:pt>
                <c:pt idx="13">
                  <c:v>0.491878556721029</c:v>
                </c:pt>
                <c:pt idx="14">
                  <c:v>0.546049257825799</c:v>
                </c:pt>
                <c:pt idx="15">
                  <c:v>0.590446150837917</c:v>
                </c:pt>
                <c:pt idx="16">
                  <c:v>0.599337377112794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China!$AA$564</c:f>
              <c:strCache>
                <c:ptCount val="1"/>
                <c:pt idx="0">
                  <c:v>Food per person (0 - 2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China!$AB$564:$AR$564</c:f>
              <c:numCache>
                <c:formatCode>0.000</c:formatCode>
                <c:ptCount val="17"/>
                <c:pt idx="0">
                  <c:v>0.288065221242814</c:v>
                </c:pt>
                <c:pt idx="1">
                  <c:v>0.296411181868885</c:v>
                </c:pt>
                <c:pt idx="2">
                  <c:v>0.307309456852923</c:v>
                </c:pt>
                <c:pt idx="3">
                  <c:v>0.336017317940467</c:v>
                </c:pt>
                <c:pt idx="4">
                  <c:v>0.374879176818003</c:v>
                </c:pt>
                <c:pt idx="5">
                  <c:v>0.421715984672198</c:v>
                </c:pt>
                <c:pt idx="6">
                  <c:v>0.47090544913199</c:v>
                </c:pt>
                <c:pt idx="7">
                  <c:v>0.521881048329576</c:v>
                </c:pt>
                <c:pt idx="8">
                  <c:v>0.569859613538399</c:v>
                </c:pt>
                <c:pt idx="9">
                  <c:v>0.62238506660149</c:v>
                </c:pt>
                <c:pt idx="10">
                  <c:v>0.657196693612018</c:v>
                </c:pt>
                <c:pt idx="11">
                  <c:v>0.697860166344106</c:v>
                </c:pt>
                <c:pt idx="12">
                  <c:v>0.729724152752229</c:v>
                </c:pt>
                <c:pt idx="13">
                  <c:v>0.761441061055793</c:v>
                </c:pt>
                <c:pt idx="14">
                  <c:v>0.785488735297251</c:v>
                </c:pt>
                <c:pt idx="15">
                  <c:v>0.80098442363591</c:v>
                </c:pt>
                <c:pt idx="16">
                  <c:v>0.815034142765449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China!$AA$565</c:f>
              <c:strCache>
                <c:ptCount val="1"/>
                <c:pt idx="0">
                  <c:v>Energy use per person (0 - 5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China!$AB$565:$AR$565</c:f>
              <c:numCache>
                <c:formatCode>0.000</c:formatCode>
                <c:ptCount val="17"/>
                <c:pt idx="0">
                  <c:v>0.0495845970481014</c:v>
                </c:pt>
                <c:pt idx="1">
                  <c:v>0.0687215536412574</c:v>
                </c:pt>
                <c:pt idx="2">
                  <c:v>0.0855366561489282</c:v>
                </c:pt>
                <c:pt idx="3">
                  <c:v>0.0999192997117184</c:v>
                </c:pt>
                <c:pt idx="4">
                  <c:v>0.120267910311691</c:v>
                </c:pt>
                <c:pt idx="5">
                  <c:v>0.152118502054353</c:v>
                </c:pt>
                <c:pt idx="6">
                  <c:v>0.165219762359538</c:v>
                </c:pt>
                <c:pt idx="7">
                  <c:v>0.260862331654715</c:v>
                </c:pt>
                <c:pt idx="8">
                  <c:v>0.36465683256817</c:v>
                </c:pt>
                <c:pt idx="9">
                  <c:v>0.500326415735408</c:v>
                </c:pt>
                <c:pt idx="10">
                  <c:v>0.647265579635572</c:v>
                </c:pt>
                <c:pt idx="11">
                  <c:v>0.770377127100488</c:v>
                </c:pt>
                <c:pt idx="12">
                  <c:v>0.86521945697865</c:v>
                </c:pt>
                <c:pt idx="13">
                  <c:v>0.929390869295565</c:v>
                </c:pt>
                <c:pt idx="14">
                  <c:v>0.955642985335228</c:v>
                </c:pt>
                <c:pt idx="15">
                  <c:v>0.971152783605002</c:v>
                </c:pt>
                <c:pt idx="16">
                  <c:v>0.947515853058538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China!$AA$538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China!$AB$538:$AR$538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China!$AA$567</c:f>
              <c:strCache>
                <c:ptCount val="1"/>
                <c:pt idx="0">
                  <c:v>GDP per person (0 - 35 000$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China!$AB$567:$AR$567</c:f>
              <c:numCache>
                <c:formatCode>0.000</c:formatCode>
                <c:ptCount val="17"/>
                <c:pt idx="9">
                  <c:v>0.292465145768098</c:v>
                </c:pt>
                <c:pt idx="10">
                  <c:v>0.385005058664791</c:v>
                </c:pt>
                <c:pt idx="11">
                  <c:v>0.502844401555807</c:v>
                </c:pt>
                <c:pt idx="12">
                  <c:v>0.620563830496904</c:v>
                </c:pt>
                <c:pt idx="13">
                  <c:v>0.713696869639968</c:v>
                </c:pt>
                <c:pt idx="14">
                  <c:v>0.786953180190477</c:v>
                </c:pt>
                <c:pt idx="15">
                  <c:v>0.859068120884296</c:v>
                </c:pt>
                <c:pt idx="16">
                  <c:v>0.890033553204714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China!$AA$568</c:f>
              <c:strCache>
                <c:ptCount val="1"/>
                <c:pt idx="0">
                  <c:v>Consumption per person (0 - 35 000$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China!$AB$568:$AR$568</c:f>
              <c:numCache>
                <c:formatCode>0.000</c:formatCode>
                <c:ptCount val="17"/>
                <c:pt idx="9">
                  <c:v>0.172968489852614</c:v>
                </c:pt>
                <c:pt idx="10">
                  <c:v>0.236722979533031</c:v>
                </c:pt>
                <c:pt idx="11">
                  <c:v>0.31793725254363</c:v>
                </c:pt>
                <c:pt idx="12">
                  <c:v>0.398348115307097</c:v>
                </c:pt>
                <c:pt idx="13">
                  <c:v>0.460841135247242</c:v>
                </c:pt>
                <c:pt idx="14">
                  <c:v>0.507685079494078</c:v>
                </c:pt>
                <c:pt idx="15">
                  <c:v>0.545835191866521</c:v>
                </c:pt>
                <c:pt idx="16">
                  <c:v>0.552025890844015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China!$AA$569</c:f>
              <c:strCache>
                <c:ptCount val="1"/>
                <c:pt idx="0">
                  <c:v>Food per person (0 - 2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China!$AB$569:$AR$569</c:f>
              <c:numCache>
                <c:formatCode>0.000</c:formatCode>
                <c:ptCount val="17"/>
                <c:pt idx="9">
                  <c:v>0.62238506660149</c:v>
                </c:pt>
                <c:pt idx="10">
                  <c:v>0.631206172239222</c:v>
                </c:pt>
                <c:pt idx="11">
                  <c:v>0.670181269786046</c:v>
                </c:pt>
                <c:pt idx="12">
                  <c:v>0.700590194911505</c:v>
                </c:pt>
                <c:pt idx="13">
                  <c:v>0.730710610254765</c:v>
                </c:pt>
                <c:pt idx="14">
                  <c:v>0.753311942907113</c:v>
                </c:pt>
                <c:pt idx="15">
                  <c:v>0.767550562685059</c:v>
                </c:pt>
                <c:pt idx="16">
                  <c:v>0.780238690456193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China!$AA$570</c:f>
              <c:strCache>
                <c:ptCount val="1"/>
                <c:pt idx="0">
                  <c:v>Energy use per person (0 - 5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China!$AB$570:$AR$570</c:f>
              <c:numCache>
                <c:formatCode>0.000</c:formatCode>
                <c:ptCount val="17"/>
                <c:pt idx="9">
                  <c:v>0.500326415735408</c:v>
                </c:pt>
                <c:pt idx="10">
                  <c:v>0.626363249916843</c:v>
                </c:pt>
                <c:pt idx="11">
                  <c:v>0.737904212732334</c:v>
                </c:pt>
                <c:pt idx="12">
                  <c:v>0.821408830177515</c:v>
                </c:pt>
                <c:pt idx="13">
                  <c:v>0.875250008390224</c:v>
                </c:pt>
                <c:pt idx="14">
                  <c:v>0.894154672046366</c:v>
                </c:pt>
                <c:pt idx="15">
                  <c:v>0.904350498134159</c:v>
                </c:pt>
                <c:pt idx="16">
                  <c:v>0.879560076479387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21618"/>
        <c:axId val="32817024"/>
      </c:lineChart>
      <c:catAx>
        <c:axId val="4552161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17024"/>
        <c:crosses val="autoZero"/>
        <c:auto val="1"/>
        <c:lblAlgn val="ctr"/>
        <c:lblOffset val="100"/>
        <c:noMultiLvlLbl val="0"/>
      </c:catAx>
      <c:valAx>
        <c:axId val="3281702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2161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0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China!$AA$536</c:f>
              <c:strCache>
                <c:ptCount val="1"/>
                <c:pt idx="0">
                  <c:v>Food production (0 - 2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China!$AB$536:$AR$536</c:f>
              <c:numCache>
                <c:formatCode>#,##0.000</c:formatCode>
                <c:ptCount val="17"/>
                <c:pt idx="0">
                  <c:v>0.2358770005</c:v>
                </c:pt>
                <c:pt idx="1">
                  <c:v>0.2725928755</c:v>
                </c:pt>
                <c:pt idx="2">
                  <c:v>0.3037663085</c:v>
                </c:pt>
                <c:pt idx="3">
                  <c:v>0.3569478565</c:v>
                </c:pt>
                <c:pt idx="4">
                  <c:v>0.4316166885</c:v>
                </c:pt>
                <c:pt idx="5">
                  <c:v>0.5147167375</c:v>
                </c:pt>
                <c:pt idx="6">
                  <c:v>0.6010316565</c:v>
                </c:pt>
                <c:pt idx="7">
                  <c:v>0.6862134255</c:v>
                </c:pt>
                <c:pt idx="8">
                  <c:v>0.7687018665</c:v>
                </c:pt>
                <c:pt idx="9">
                  <c:v>0.85</c:v>
                </c:pt>
                <c:pt idx="10">
                  <c:v>0.9</c:v>
                </c:pt>
                <c:pt idx="11">
                  <c:v>0.95</c:v>
                </c:pt>
                <c:pt idx="12">
                  <c:v>0.98</c:v>
                </c:pt>
                <c:pt idx="13">
                  <c:v>1</c:v>
                </c:pt>
                <c:pt idx="14">
                  <c:v>1</c:v>
                </c:pt>
                <c:pt idx="15">
                  <c:v>0.98</c:v>
                </c:pt>
                <c:pt idx="16">
                  <c:v>0.95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China!$AA$535</c:f>
              <c:strCache>
                <c:ptCount val="1"/>
                <c:pt idx="0">
                  <c:v>Energy use (0 - 6.2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China!$AB$535:$AR$535</c:f>
              <c:numCache>
                <c:formatCode>#,##0.000</c:formatCode>
                <c:ptCount val="17"/>
                <c:pt idx="0">
                  <c:v>0.0327431058064516</c:v>
                </c:pt>
                <c:pt idx="1">
                  <c:v>0.0509672500887097</c:v>
                </c:pt>
                <c:pt idx="2">
                  <c:v>0.068185850483871</c:v>
                </c:pt>
                <c:pt idx="3">
                  <c:v>0.0855994183758065</c:v>
                </c:pt>
                <c:pt idx="4">
                  <c:v>0.111669607753656</c:v>
                </c:pt>
                <c:pt idx="5">
                  <c:v>0.149729916725492</c:v>
                </c:pt>
                <c:pt idx="6">
                  <c:v>0.170060690870575</c:v>
                </c:pt>
                <c:pt idx="7">
                  <c:v>0.276616047267644</c:v>
                </c:pt>
                <c:pt idx="8">
                  <c:v>0.396691346270868</c:v>
                </c:pt>
                <c:pt idx="9">
                  <c:v>0.551050638278444</c:v>
                </c:pt>
                <c:pt idx="10">
                  <c:v>0.714838553165041</c:v>
                </c:pt>
                <c:pt idx="11">
                  <c:v>0.845740036934879</c:v>
                </c:pt>
                <c:pt idx="12">
                  <c:v>0.937069811222146</c:v>
                </c:pt>
                <c:pt idx="13">
                  <c:v>0.984329324874721</c:v>
                </c:pt>
                <c:pt idx="14">
                  <c:v>0.981146886328805</c:v>
                </c:pt>
                <c:pt idx="15">
                  <c:v>0.958225842464469</c:v>
                </c:pt>
                <c:pt idx="16">
                  <c:v>0.890661342222835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China!$AA$534</c:f>
              <c:strCache>
                <c:ptCount val="1"/>
                <c:pt idx="0">
                  <c:v>Investment share of GDP (0 - 50 %)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China!$AB$534:$AR$534</c:f>
              <c:numCache>
                <c:formatCode>#,##0.000</c:formatCode>
                <c:ptCount val="17"/>
                <c:pt idx="0">
                  <c:v>0.674950469524307</c:v>
                </c:pt>
                <c:pt idx="1">
                  <c:v>0.696187347817893</c:v>
                </c:pt>
                <c:pt idx="2">
                  <c:v>0.684972081458368</c:v>
                </c:pt>
                <c:pt idx="3">
                  <c:v>0.72522386641619</c:v>
                </c:pt>
                <c:pt idx="4">
                  <c:v>0.688825623461755</c:v>
                </c:pt>
                <c:pt idx="5">
                  <c:v>0.851414930068344</c:v>
                </c:pt>
                <c:pt idx="6">
                  <c:v>0.768571324769355</c:v>
                </c:pt>
                <c:pt idx="7">
                  <c:v>0.837460055121111</c:v>
                </c:pt>
                <c:pt idx="8">
                  <c:v>0.922891366893437</c:v>
                </c:pt>
                <c:pt idx="9">
                  <c:v>0.817168525170078</c:v>
                </c:pt>
                <c:pt idx="10">
                  <c:v>0.771126393877558</c:v>
                </c:pt>
                <c:pt idx="11">
                  <c:v>0.736844795408169</c:v>
                </c:pt>
                <c:pt idx="12">
                  <c:v>0.718133596556127</c:v>
                </c:pt>
                <c:pt idx="13">
                  <c:v>0.711100197417095</c:v>
                </c:pt>
                <c:pt idx="14">
                  <c:v>0.712825148062821</c:v>
                </c:pt>
                <c:pt idx="15">
                  <c:v>0.733118861047116</c:v>
                </c:pt>
                <c:pt idx="16">
                  <c:v>0.764339145785337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China!$AA$533</c:f>
              <c:strCache>
                <c:ptCount val="1"/>
                <c:pt idx="0">
                  <c:v>Unused bio-capacity (0 - 20 %)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China!$AB$533:$AR$533</c:f>
              <c:numCache>
                <c:formatCode>#,##0.000</c:formatCode>
                <c:ptCount val="17"/>
                <c:pt idx="0">
                  <c:v>0.981910823892439</c:v>
                </c:pt>
                <c:pt idx="1">
                  <c:v>0.789130564667265</c:v>
                </c:pt>
                <c:pt idx="2">
                  <c:v>0.632457204576967</c:v>
                </c:pt>
                <c:pt idx="3">
                  <c:v>0.672294611446017</c:v>
                </c:pt>
                <c:pt idx="4">
                  <c:v>0.370506141798568</c:v>
                </c:pt>
                <c:pt idx="5">
                  <c:v>-0.0267817292861001</c:v>
                </c:pt>
                <c:pt idx="6">
                  <c:v>-0.149352174467361</c:v>
                </c:pt>
                <c:pt idx="7">
                  <c:v>-0.311926849156987</c:v>
                </c:pt>
                <c:pt idx="8">
                  <c:v>-0.150976435771237</c:v>
                </c:pt>
                <c:pt idx="9">
                  <c:v>-0.244033343302601</c:v>
                </c:pt>
                <c:pt idx="10">
                  <c:v>-0.258390347294219</c:v>
                </c:pt>
                <c:pt idx="11">
                  <c:v>-0.267620996632752</c:v>
                </c:pt>
                <c:pt idx="12">
                  <c:v>-0.237287556956152</c:v>
                </c:pt>
                <c:pt idx="13">
                  <c:v>-0.161893276344292</c:v>
                </c:pt>
                <c:pt idx="14">
                  <c:v>-0.0839241275427103</c:v>
                </c:pt>
                <c:pt idx="15">
                  <c:v>0.074737809390741</c:v>
                </c:pt>
                <c:pt idx="16">
                  <c:v>0.151408545401061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China!$AA$537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China!$AB$537:$AR$537</c:f>
              <c:numCache>
                <c:formatCode>0.000</c:formatCode>
                <c:ptCount val="17"/>
                <c:pt idx="0">
                  <c:v>0.0669803644851</c:v>
                </c:pt>
                <c:pt idx="1">
                  <c:v>0.0780703736446231</c:v>
                </c:pt>
                <c:pt idx="2">
                  <c:v>0.0779061452852319</c:v>
                </c:pt>
                <c:pt idx="3">
                  <c:v>0.09847538270486</c:v>
                </c:pt>
                <c:pt idx="4">
                  <c:v>0.103559793771047</c:v>
                </c:pt>
                <c:pt idx="5">
                  <c:v>0.118298308040783</c:v>
                </c:pt>
                <c:pt idx="6">
                  <c:v>0.121095662485204</c:v>
                </c:pt>
                <c:pt idx="7">
                  <c:v>0.133318687574517</c:v>
                </c:pt>
                <c:pt idx="8">
                  <c:v>0.179568098583736</c:v>
                </c:pt>
                <c:pt idx="9">
                  <c:v>0.25</c:v>
                </c:pt>
                <c:pt idx="10">
                  <c:v>0.3</c:v>
                </c:pt>
                <c:pt idx="11">
                  <c:v>0.375</c:v>
                </c:pt>
                <c:pt idx="12">
                  <c:v>0.45</c:v>
                </c:pt>
                <c:pt idx="13">
                  <c:v>0.55</c:v>
                </c:pt>
                <c:pt idx="14">
                  <c:v>0.65</c:v>
                </c:pt>
                <c:pt idx="15">
                  <c:v>0.775</c:v>
                </c:pt>
                <c:pt idx="16">
                  <c:v>0.925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China!$AA$543</c:f>
              <c:strCache>
                <c:ptCount val="1"/>
                <c:pt idx="0">
                  <c:v>Food production (0 - 2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China!$AB$543:$AR$543</c:f>
              <c:numCache>
                <c:formatCode>#,##0.000</c:formatCode>
                <c:ptCount val="17"/>
                <c:pt idx="9">
                  <c:v>0.85</c:v>
                </c:pt>
                <c:pt idx="10">
                  <c:v>0.86436</c:v>
                </c:pt>
                <c:pt idx="11">
                  <c:v>0.91238</c:v>
                </c:pt>
                <c:pt idx="12">
                  <c:v>0.941192</c:v>
                </c:pt>
                <c:pt idx="13">
                  <c:v>0.9604</c:v>
                </c:pt>
                <c:pt idx="14">
                  <c:v>0.9604</c:v>
                </c:pt>
                <c:pt idx="15">
                  <c:v>0.941192</c:v>
                </c:pt>
                <c:pt idx="16">
                  <c:v>0.91238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China!$AA$542</c:f>
              <c:strCache>
                <c:ptCount val="1"/>
                <c:pt idx="0">
                  <c:v>Energy use (0 - 6.2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China!$AB$542:$AR$542</c:f>
              <c:numCache>
                <c:formatCode>#,##0.000</c:formatCode>
                <c:ptCount val="17"/>
                <c:pt idx="9">
                  <c:v>0.551050638278444</c:v>
                </c:pt>
                <c:pt idx="10">
                  <c:v>0.691716296397081</c:v>
                </c:pt>
                <c:pt idx="11">
                  <c:v>0.810143170508591</c:v>
                </c:pt>
                <c:pt idx="12">
                  <c:v>0.889921817747846</c:v>
                </c:pt>
                <c:pt idx="13">
                  <c:v>0.927720548901702</c:v>
                </c:pt>
                <c:pt idx="14">
                  <c:v>0.91932329212369</c:v>
                </c:pt>
                <c:pt idx="15">
                  <c:v>0.894306381275955</c:v>
                </c:pt>
                <c:pt idx="16">
                  <c:v>0.829453602234765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China!$AA$541</c:f>
              <c:strCache>
                <c:ptCount val="1"/>
                <c:pt idx="0">
                  <c:v>Investment share of GDP (0 - 50 %),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China!$AB$541:$AR$541</c:f>
              <c:numCache>
                <c:formatCode>#,##0.000</c:formatCode>
                <c:ptCount val="17"/>
                <c:pt idx="9">
                  <c:v>0.817168525170078</c:v>
                </c:pt>
                <c:pt idx="10">
                  <c:v>0.770286393877559</c:v>
                </c:pt>
                <c:pt idx="11">
                  <c:v>0.735444795408169</c:v>
                </c:pt>
                <c:pt idx="12">
                  <c:v>0.716173596556127</c:v>
                </c:pt>
                <c:pt idx="13">
                  <c:v>0.708580197417095</c:v>
                </c:pt>
                <c:pt idx="14">
                  <c:v>0.709745148062821</c:v>
                </c:pt>
                <c:pt idx="15">
                  <c:v>0.729238861047116</c:v>
                </c:pt>
                <c:pt idx="16">
                  <c:v>0.759539145785337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China!$AA$540</c:f>
              <c:strCache>
                <c:ptCount val="1"/>
                <c:pt idx="0">
                  <c:v>Unused bio-capacity (0 - 20 %),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China!$AB$540:$AR$540</c:f>
              <c:numCache>
                <c:formatCode>#,##0.000</c:formatCode>
                <c:ptCount val="17"/>
                <c:pt idx="9">
                  <c:v>-0.244033343302601</c:v>
                </c:pt>
                <c:pt idx="10">
                  <c:v>-0.365411435933047</c:v>
                </c:pt>
                <c:pt idx="11">
                  <c:v>-0.375473427956264</c:v>
                </c:pt>
                <c:pt idx="12">
                  <c:v>-0.34597793106185</c:v>
                </c:pt>
                <c:pt idx="13">
                  <c:v>-0.27140004465717</c:v>
                </c:pt>
                <c:pt idx="14">
                  <c:v>-0.195056135075032</c:v>
                </c:pt>
                <c:pt idx="15">
                  <c:v>-0.0370064449385841</c:v>
                </c:pt>
                <c:pt idx="16">
                  <c:v>0.0364775861624859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China!$AA$544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China!$AB$544:$AR$544</c:f>
              <c:numCache>
                <c:formatCode>0.000</c:formatCode>
                <c:ptCount val="17"/>
                <c:pt idx="9">
                  <c:v>0.25</c:v>
                </c:pt>
                <c:pt idx="10">
                  <c:v>0.294</c:v>
                </c:pt>
                <c:pt idx="11">
                  <c:v>0.3675</c:v>
                </c:pt>
                <c:pt idx="12">
                  <c:v>0.441</c:v>
                </c:pt>
                <c:pt idx="13">
                  <c:v>0.539</c:v>
                </c:pt>
                <c:pt idx="14">
                  <c:v>0.637</c:v>
                </c:pt>
                <c:pt idx="15">
                  <c:v>0.7595</c:v>
                </c:pt>
                <c:pt idx="16">
                  <c:v>0.9065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90102"/>
        <c:axId val="48382469"/>
      </c:lineChart>
      <c:catAx>
        <c:axId val="7579010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82469"/>
        <c:crosses val="autoZero"/>
        <c:auto val="1"/>
        <c:lblAlgn val="ctr"/>
        <c:lblOffset val="100"/>
        <c:noMultiLvlLbl val="0"/>
      </c:catAx>
      <c:valAx>
        <c:axId val="4838246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7901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32021374987"/>
          <c:w val="0.711051832092179"/>
          <c:h val="0.806289178912753"/>
        </c:manualLayout>
      </c:layout>
      <c:lineChart>
        <c:grouping val="standard"/>
        <c:varyColors val="0"/>
        <c:ser>
          <c:idx val="0"/>
          <c:order val="0"/>
          <c:tx>
            <c:strRef>
              <c:f>China!$AA$71</c:f>
              <c:strCache>
                <c:ptCount val="1"/>
                <c:pt idx="0">
                  <c:v>People China Age15-64 (0 - 1.1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China!$AB$71:$AR$71</c:f>
              <c:numCache>
                <c:formatCode>#,##0.000</c:formatCode>
                <c:ptCount val="17"/>
                <c:pt idx="0">
                  <c:v>0.419984754545455</c:v>
                </c:pt>
                <c:pt idx="1">
                  <c:v>0.472407027272727</c:v>
                </c:pt>
                <c:pt idx="2">
                  <c:v>0.533695013636364</c:v>
                </c:pt>
                <c:pt idx="3">
                  <c:v>0.615438961818182</c:v>
                </c:pt>
                <c:pt idx="4">
                  <c:v>0.691430323636364</c:v>
                </c:pt>
                <c:pt idx="5">
                  <c:v>0.736180498181818</c:v>
                </c:pt>
                <c:pt idx="6">
                  <c:v>0.783604735454546</c:v>
                </c:pt>
                <c:pt idx="7">
                  <c:v>0.843727675454545</c:v>
                </c:pt>
                <c:pt idx="8">
                  <c:v>0.887553871818182</c:v>
                </c:pt>
                <c:pt idx="9">
                  <c:v>0.910741310909091</c:v>
                </c:pt>
                <c:pt idx="10">
                  <c:v>0.904451306363636</c:v>
                </c:pt>
                <c:pt idx="11">
                  <c:v>0.897337310909091</c:v>
                </c:pt>
                <c:pt idx="12">
                  <c:v>0.866439190909091</c:v>
                </c:pt>
                <c:pt idx="13">
                  <c:v>0.803209328181818</c:v>
                </c:pt>
                <c:pt idx="14">
                  <c:v>0.736618718181818</c:v>
                </c:pt>
                <c:pt idx="15">
                  <c:v>0.691325130909091</c:v>
                </c:pt>
                <c:pt idx="16">
                  <c:v>0.63759856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China!$AA$72</c:f>
              <c:strCache>
                <c:ptCount val="1"/>
                <c:pt idx="0">
                  <c:v>Support burden (pop/age15-64) (0 - 2)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China!$AB$72:$AR$72</c:f>
              <c:numCache>
                <c:formatCode>#,##0.000</c:formatCode>
                <c:ptCount val="17"/>
                <c:pt idx="0">
                  <c:v>0.886213908673698</c:v>
                </c:pt>
                <c:pt idx="1">
                  <c:v>0.884872885906766</c:v>
                </c:pt>
                <c:pt idx="2">
                  <c:v>0.841875464062072</c:v>
                </c:pt>
                <c:pt idx="3">
                  <c:v>0.784576778013484</c:v>
                </c:pt>
                <c:pt idx="4">
                  <c:v>0.756895298735656</c:v>
                </c:pt>
                <c:pt idx="5">
                  <c:v>0.753600605369325</c:v>
                </c:pt>
                <c:pt idx="6">
                  <c:v>0.740361622298378</c:v>
                </c:pt>
                <c:pt idx="7">
                  <c:v>0.708374157084634</c:v>
                </c:pt>
                <c:pt idx="8">
                  <c:v>0.690832328263313</c:v>
                </c:pt>
                <c:pt idx="9">
                  <c:v>0.681619560147487</c:v>
                </c:pt>
                <c:pt idx="10">
                  <c:v>0.688238983444895</c:v>
                </c:pt>
                <c:pt idx="11">
                  <c:v>0.689567506919647</c:v>
                </c:pt>
                <c:pt idx="12">
                  <c:v>0.704541509852719</c:v>
                </c:pt>
                <c:pt idx="13">
                  <c:v>0.74321126371443</c:v>
                </c:pt>
                <c:pt idx="14">
                  <c:v>0.785587577774805</c:v>
                </c:pt>
                <c:pt idx="15">
                  <c:v>0.804446153957286</c:v>
                </c:pt>
                <c:pt idx="16">
                  <c:v>0.830955553498172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China!$AA$75</c:f>
              <c:strCache>
                <c:ptCount val="1"/>
                <c:pt idx="0">
                  <c:v>People China Age15-64 (0 - 1.1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China!$AB$75:$AR$75</c:f>
              <c:numCache>
                <c:formatCode>#,##0.000</c:formatCode>
                <c:ptCount val="17"/>
                <c:pt idx="9">
                  <c:v>0.910741310909091</c:v>
                </c:pt>
                <c:pt idx="10">
                  <c:v>0.886362280236364</c:v>
                </c:pt>
                <c:pt idx="11">
                  <c:v>0.879390564690909</c:v>
                </c:pt>
                <c:pt idx="12">
                  <c:v>0.849110407090909</c:v>
                </c:pt>
                <c:pt idx="13">
                  <c:v>0.787145141618182</c:v>
                </c:pt>
                <c:pt idx="14">
                  <c:v>0.721886343818182</c:v>
                </c:pt>
                <c:pt idx="15">
                  <c:v>0.677498628290909</c:v>
                </c:pt>
                <c:pt idx="16">
                  <c:v>0.6248465888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China!$AA$76</c:f>
              <c:strCache>
                <c:ptCount val="1"/>
                <c:pt idx="0">
                  <c:v>Support burden (pop/age15-64) (0 - 2)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China!$AB$76:$AR$76</c:f>
              <c:numCache>
                <c:formatCode>#,##0.000</c:formatCode>
                <c:ptCount val="17"/>
                <c:pt idx="9">
                  <c:v>0.681619560147487</c:v>
                </c:pt>
                <c:pt idx="10">
                  <c:v>0.702246327971886</c:v>
                </c:pt>
                <c:pt idx="11">
                  <c:v>0.703686125595994</c:v>
                </c:pt>
                <c:pt idx="12">
                  <c:v>0.719162986990666</c:v>
                </c:pt>
                <c:pt idx="13">
                  <c:v>0.758978087882623</c:v>
                </c:pt>
                <c:pt idx="14">
                  <c:v>0.802760124496655</c:v>
                </c:pt>
                <c:pt idx="15">
                  <c:v>0.822697412904159</c:v>
                </c:pt>
                <c:pt idx="16">
                  <c:v>0.85065251492345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794175"/>
        <c:axId val="56337483"/>
      </c:lineChart>
      <c:catAx>
        <c:axId val="7679417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337483"/>
        <c:crosses val="autoZero"/>
        <c:auto val="1"/>
        <c:lblAlgn val="ctr"/>
        <c:lblOffset val="100"/>
        <c:noMultiLvlLbl val="0"/>
      </c:catAx>
      <c:valAx>
        <c:axId val="5633748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9417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China!$AA$109</c:f>
              <c:strCache>
                <c:ptCount val="1"/>
                <c:pt idx="0">
                  <c:v>Labor productivity (0 - 60000 $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China!$AB$109:$AR$109</c:f>
              <c:numCache>
                <c:formatCode>#,##0.000</c:formatCode>
                <c:ptCount val="17"/>
                <c:pt idx="0">
                  <c:v>0.0126317322945171</c:v>
                </c:pt>
                <c:pt idx="1">
                  <c:v>0.0151601098922006</c:v>
                </c:pt>
                <c:pt idx="2">
                  <c:v>0.0199910993986072</c:v>
                </c:pt>
                <c:pt idx="3">
                  <c:v>0.0280302336061077</c:v>
                </c:pt>
                <c:pt idx="4">
                  <c:v>0.0347606566933382</c:v>
                </c:pt>
                <c:pt idx="5">
                  <c:v>0.0569127722049523</c:v>
                </c:pt>
                <c:pt idx="6">
                  <c:v>0.0744280148470629</c:v>
                </c:pt>
                <c:pt idx="7">
                  <c:v>0.114783668306352</c:v>
                </c:pt>
                <c:pt idx="8">
                  <c:v>0.163210496855959</c:v>
                </c:pt>
                <c:pt idx="9">
                  <c:v>0.232574958019742</c:v>
                </c:pt>
                <c:pt idx="10">
                  <c:v>0.319790567277145</c:v>
                </c:pt>
                <c:pt idx="11">
                  <c:v>0.423722501642217</c:v>
                </c:pt>
                <c:pt idx="12">
                  <c:v>0.540246189593827</c:v>
                </c:pt>
                <c:pt idx="13">
                  <c:v>0.661801582252438</c:v>
                </c:pt>
                <c:pt idx="14">
                  <c:v>0.777616859146614</c:v>
                </c:pt>
                <c:pt idx="15">
                  <c:v>0.874818966539941</c:v>
                </c:pt>
                <c:pt idx="16">
                  <c:v>0.940430389030437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China!$AA$111</c:f>
              <c:strCache>
                <c:ptCount val="1"/>
                <c:pt idx="0">
                  <c:v>Growth in productivity (0 - 15 %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cat>
            <c:strRef>
              <c:f>China!$B$95:$R$95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China!$AB$111:$AR$111</c:f>
              <c:numCache>
                <c:formatCode>#,##0.000</c:formatCode>
                <c:ptCount val="17"/>
                <c:pt idx="0">
                  <c:v>0.126367341368516</c:v>
                </c:pt>
                <c:pt idx="1">
                  <c:v>0.266881062046244</c:v>
                </c:pt>
                <c:pt idx="2">
                  <c:v>0.424886058721077</c:v>
                </c:pt>
                <c:pt idx="3">
                  <c:v>0.536180897122016</c:v>
                </c:pt>
                <c:pt idx="4">
                  <c:v>0.320150647894897</c:v>
                </c:pt>
                <c:pt idx="5">
                  <c:v>0.849700691101905</c:v>
                </c:pt>
                <c:pt idx="6">
                  <c:v>0.410341228363416</c:v>
                </c:pt>
                <c:pt idx="7">
                  <c:v>0.72294737480618</c:v>
                </c:pt>
                <c:pt idx="8">
                  <c:v>0.562528674031195</c:v>
                </c:pt>
                <c:pt idx="9">
                  <c:v>0.566666666666667</c:v>
                </c:pt>
                <c:pt idx="10">
                  <c:v>0.5</c:v>
                </c:pt>
                <c:pt idx="11">
                  <c:v>0.433333333333333</c:v>
                </c:pt>
                <c:pt idx="12">
                  <c:v>0.366666666666667</c:v>
                </c:pt>
                <c:pt idx="13">
                  <c:v>0.3</c:v>
                </c:pt>
                <c:pt idx="14">
                  <c:v>0.233333333333333</c:v>
                </c:pt>
                <c:pt idx="15">
                  <c:v>0.166666666666667</c:v>
                </c:pt>
                <c:pt idx="16">
                  <c:v>0.1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China!$AA$112</c:f>
              <c:strCache>
                <c:ptCount val="1"/>
                <c:pt idx="0">
                  <c:v>Labor productivity (0 - 60000 $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China!$AB$112:$AR$112</c:f>
              <c:numCache>
                <c:formatCode>#,##0.000</c:formatCode>
                <c:ptCount val="17"/>
                <c:pt idx="9">
                  <c:v>0.232574958019742</c:v>
                </c:pt>
                <c:pt idx="10">
                  <c:v>0.315429786814275</c:v>
                </c:pt>
                <c:pt idx="11">
                  <c:v>0.412818733493182</c:v>
                </c:pt>
                <c:pt idx="12">
                  <c:v>0.520667627618276</c:v>
                </c:pt>
                <c:pt idx="13">
                  <c:v>0.631960333021683</c:v>
                </c:pt>
                <c:pt idx="14">
                  <c:v>0.737023738386537</c:v>
                </c:pt>
                <c:pt idx="15">
                  <c:v>0.824545307319939</c:v>
                </c:pt>
                <c:pt idx="16">
                  <c:v>0.883294160466484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China!$AA$113</c:f>
              <c:strCache>
                <c:ptCount val="1"/>
                <c:pt idx="0">
                  <c:v>Growth in productivity (0 - 15 %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China!$AB$113:$AR$113</c:f>
              <c:numCache>
                <c:formatCode>#,##0.000</c:formatCode>
                <c:ptCount val="17"/>
                <c:pt idx="9">
                  <c:v>0.566666666666667</c:v>
                </c:pt>
                <c:pt idx="10">
                  <c:v>0.475</c:v>
                </c:pt>
                <c:pt idx="11">
                  <c:v>0.411666666666667</c:v>
                </c:pt>
                <c:pt idx="12">
                  <c:v>0.348333333333333</c:v>
                </c:pt>
                <c:pt idx="13">
                  <c:v>0.285</c:v>
                </c:pt>
                <c:pt idx="14">
                  <c:v>0.221666666666667</c:v>
                </c:pt>
                <c:pt idx="15">
                  <c:v>0.158333333333333</c:v>
                </c:pt>
                <c:pt idx="16">
                  <c:v>0.095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386549"/>
        <c:axId val="13087791"/>
      </c:lineChart>
      <c:catAx>
        <c:axId val="1138654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87791"/>
        <c:crosses val="autoZero"/>
        <c:auto val="1"/>
        <c:lblAlgn val="ctr"/>
        <c:lblOffset val="100"/>
        <c:noMultiLvlLbl val="0"/>
      </c:catAx>
      <c:valAx>
        <c:axId val="1308779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8654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3"/>
          <c:y val="0.11170855551453"/>
          <c:w val="0.227466586185564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41005802708"/>
          <c:w val="0.7110662506882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China!$AA$135</c:f>
              <c:strCache>
                <c:ptCount val="1"/>
                <c:pt idx="0">
                  <c:v>GDP China (0 - 40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China!$AB$135:$AR$135</c:f>
              <c:numCache>
                <c:formatCode>#,##0.000</c:formatCode>
                <c:ptCount val="17"/>
                <c:pt idx="0">
                  <c:v>0.00875347272887452</c:v>
                </c:pt>
                <c:pt idx="1">
                  <c:v>0.0118168750380489</c:v>
                </c:pt>
                <c:pt idx="2">
                  <c:v>0.0176040976091402</c:v>
                </c:pt>
                <c:pt idx="3">
                  <c:v>0.0284639814856056</c:v>
                </c:pt>
                <c:pt idx="4">
                  <c:v>0.0396570439770241</c:v>
                </c:pt>
                <c:pt idx="5">
                  <c:v>0.0691318204413377</c:v>
                </c:pt>
                <c:pt idx="6">
                  <c:v>0.0962315390596555</c:v>
                </c:pt>
                <c:pt idx="7">
                  <c:v>0.159796160106436</c:v>
                </c:pt>
                <c:pt idx="8">
                  <c:v>0.239015878869695</c:v>
                </c:pt>
                <c:pt idx="9">
                  <c:v>0.349495776550019</c:v>
                </c:pt>
                <c:pt idx="10">
                  <c:v>0.47723774395536</c:v>
                </c:pt>
                <c:pt idx="11">
                  <c:v>0.627366316822245</c:v>
                </c:pt>
                <c:pt idx="12">
                  <c:v>0.772349277815601</c:v>
                </c:pt>
                <c:pt idx="13">
                  <c:v>0.877082587046564</c:v>
                </c:pt>
                <c:pt idx="14">
                  <c:v>0.945131771134898</c:v>
                </c:pt>
                <c:pt idx="15">
                  <c:v>0.997894155332218</c:v>
                </c:pt>
                <c:pt idx="16">
                  <c:v>0.989368152012976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China!$AA$137</c:f>
              <c:strCache>
                <c:ptCount val="1"/>
                <c:pt idx="0">
                  <c:v>Consumption (0 - 40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China!$AB$137:$AR$137</c:f>
              <c:numCache>
                <c:formatCode>#,##0.000</c:formatCode>
                <c:ptCount val="17"/>
                <c:pt idx="0">
                  <c:v>0.00579939246471348</c:v>
                </c:pt>
                <c:pt idx="1">
                  <c:v>0.00770349559193151</c:v>
                </c:pt>
                <c:pt idx="2">
                  <c:v>0.0115749399183757</c:v>
                </c:pt>
                <c:pt idx="3">
                  <c:v>0.0181426021323107</c:v>
                </c:pt>
                <c:pt idx="4">
                  <c:v>0.0259986499559622</c:v>
                </c:pt>
                <c:pt idx="5">
                  <c:v>0.0397018884080583</c:v>
                </c:pt>
                <c:pt idx="6">
                  <c:v>0.0592511383298188</c:v>
                </c:pt>
                <c:pt idx="7">
                  <c:v>0.0928847095809972</c:v>
                </c:pt>
                <c:pt idx="8">
                  <c:v>0.128723033290051</c:v>
                </c:pt>
                <c:pt idx="9">
                  <c:v>0.206697302411744</c:v>
                </c:pt>
                <c:pt idx="10">
                  <c:v>0.293232433696081</c:v>
                </c:pt>
                <c:pt idx="11">
                  <c:v>0.396230514139813</c:v>
                </c:pt>
                <c:pt idx="12">
                  <c:v>0.495024295477979</c:v>
                </c:pt>
                <c:pt idx="13">
                  <c:v>0.56523578664661</c:v>
                </c:pt>
                <c:pt idx="14">
                  <c:v>0.608274923785843</c:v>
                </c:pt>
                <c:pt idx="15">
                  <c:v>0.632106642030853</c:v>
                </c:pt>
                <c:pt idx="16">
                  <c:v>0.611261747924569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China!$AA$136</c:f>
              <c:strCache>
                <c:ptCount val="1"/>
                <c:pt idx="0">
                  <c:v>% Investment share (0 - 50%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China!$AB$136:$AR$136</c:f>
              <c:numCache>
                <c:formatCode>#,##0.000</c:formatCode>
                <c:ptCount val="17"/>
                <c:pt idx="0">
                  <c:v>0.674950469524307</c:v>
                </c:pt>
                <c:pt idx="1">
                  <c:v>0.696187347817893</c:v>
                </c:pt>
                <c:pt idx="2">
                  <c:v>0.684972081458368</c:v>
                </c:pt>
                <c:pt idx="3">
                  <c:v>0.72522386641619</c:v>
                </c:pt>
                <c:pt idx="4">
                  <c:v>0.688825623461755</c:v>
                </c:pt>
                <c:pt idx="5">
                  <c:v>0.851414930068344</c:v>
                </c:pt>
                <c:pt idx="6">
                  <c:v>0.768571324769355</c:v>
                </c:pt>
                <c:pt idx="7">
                  <c:v>0.837460055121111</c:v>
                </c:pt>
                <c:pt idx="8">
                  <c:v>0.922891366893437</c:v>
                </c:pt>
                <c:pt idx="9">
                  <c:v>0.817168525170078</c:v>
                </c:pt>
                <c:pt idx="10">
                  <c:v>0.771126393877558</c:v>
                </c:pt>
                <c:pt idx="11">
                  <c:v>0.736844795408169</c:v>
                </c:pt>
                <c:pt idx="12">
                  <c:v>0.718133596556127</c:v>
                </c:pt>
                <c:pt idx="13">
                  <c:v>0.711100197417095</c:v>
                </c:pt>
                <c:pt idx="14">
                  <c:v>0.712825148062821</c:v>
                </c:pt>
                <c:pt idx="15">
                  <c:v>0.733118861047116</c:v>
                </c:pt>
                <c:pt idx="16">
                  <c:v>0.764339145785337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China!$U$158</c:f>
              <c:strCache>
                <c:ptCount val="1"/>
                <c:pt idx="0">
                  <c:v>GDP China (0 - 40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China!$AB$148:$AR$148</c:f>
              <c:numCache>
                <c:formatCode>#,##0.000</c:formatCode>
                <c:ptCount val="17"/>
                <c:pt idx="9">
                  <c:v>0.349495776550019</c:v>
                </c:pt>
                <c:pt idx="10">
                  <c:v>0.461315357407032</c:v>
                </c:pt>
                <c:pt idx="11">
                  <c:v>0.598997683616566</c:v>
                </c:pt>
                <c:pt idx="12">
                  <c:v>0.72947209705592</c:v>
                </c:pt>
                <c:pt idx="13">
                  <c:v>0.820783434625152</c:v>
                </c:pt>
                <c:pt idx="14">
                  <c:v>0.877878163488258</c:v>
                </c:pt>
                <c:pt idx="15">
                  <c:v>0.921736719210391</c:v>
                </c:pt>
                <c:pt idx="16">
                  <c:v>0.91067351607283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China!$U$160</c:f>
              <c:strCache>
                <c:ptCount val="1"/>
                <c:pt idx="0">
                  <c:v>Consumption (0 - 40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China!$AB$150:$AR$150</c:f>
              <c:numCache>
                <c:formatCode>#,##0.000</c:formatCode>
                <c:ptCount val="17"/>
                <c:pt idx="9">
                  <c:v>0.206697302411744</c:v>
                </c:pt>
                <c:pt idx="10">
                  <c:v>0.283642885858332</c:v>
                </c:pt>
                <c:pt idx="11">
                  <c:v>0.37873281917789</c:v>
                </c:pt>
                <c:pt idx="12">
                  <c:v>0.468257769387981</c:v>
                </c:pt>
                <c:pt idx="13">
                  <c:v>0.529987990553467</c:v>
                </c:pt>
                <c:pt idx="14">
                  <c:v>0.566343279925212</c:v>
                </c:pt>
                <c:pt idx="15">
                  <c:v>0.585653601559246</c:v>
                </c:pt>
                <c:pt idx="16">
                  <c:v>0.564827423829187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China!$U$159</c:f>
              <c:strCache>
                <c:ptCount val="1"/>
                <c:pt idx="0">
                  <c:v>% Investment share (0 - 50%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China!$AB$149:$AR$149</c:f>
              <c:numCache>
                <c:formatCode>#,##0.000</c:formatCode>
                <c:ptCount val="17"/>
                <c:pt idx="9">
                  <c:v>0.817168525170078</c:v>
                </c:pt>
                <c:pt idx="10">
                  <c:v>0.770286393877559</c:v>
                </c:pt>
                <c:pt idx="11">
                  <c:v>0.735444795408169</c:v>
                </c:pt>
                <c:pt idx="12">
                  <c:v>0.716173596556127</c:v>
                </c:pt>
                <c:pt idx="13">
                  <c:v>0.708580197417095</c:v>
                </c:pt>
                <c:pt idx="14">
                  <c:v>0.709745148062821</c:v>
                </c:pt>
                <c:pt idx="15">
                  <c:v>0.729238861047116</c:v>
                </c:pt>
                <c:pt idx="16">
                  <c:v>0.759539145785337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68762"/>
        <c:axId val="90708991"/>
      </c:lineChart>
      <c:catAx>
        <c:axId val="7826876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708991"/>
        <c:crosses val="autoZero"/>
        <c:auto val="1"/>
        <c:lblAlgn val="ctr"/>
        <c:lblOffset val="100"/>
        <c:noMultiLvlLbl val="0"/>
      </c:catAx>
      <c:valAx>
        <c:axId val="9070899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26876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China!$AA$136</c:f>
              <c:strCache>
                <c:ptCount val="1"/>
                <c:pt idx="0">
                  <c:v>% Investment share (0 - 50%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China!$AB$136:$AR$136</c:f>
              <c:numCache>
                <c:formatCode>#,##0.000</c:formatCode>
                <c:ptCount val="17"/>
                <c:pt idx="0">
                  <c:v>0.674950469524307</c:v>
                </c:pt>
                <c:pt idx="1">
                  <c:v>0.696187347817893</c:v>
                </c:pt>
                <c:pt idx="2">
                  <c:v>0.684972081458368</c:v>
                </c:pt>
                <c:pt idx="3">
                  <c:v>0.72522386641619</c:v>
                </c:pt>
                <c:pt idx="4">
                  <c:v>0.688825623461755</c:v>
                </c:pt>
                <c:pt idx="5">
                  <c:v>0.851414930068344</c:v>
                </c:pt>
                <c:pt idx="6">
                  <c:v>0.768571324769355</c:v>
                </c:pt>
                <c:pt idx="7">
                  <c:v>0.837460055121111</c:v>
                </c:pt>
                <c:pt idx="8">
                  <c:v>0.922891366893437</c:v>
                </c:pt>
                <c:pt idx="9">
                  <c:v>0.817168525170078</c:v>
                </c:pt>
                <c:pt idx="10">
                  <c:v>0.771126393877558</c:v>
                </c:pt>
                <c:pt idx="11">
                  <c:v>0.736844795408169</c:v>
                </c:pt>
                <c:pt idx="12">
                  <c:v>0.718133596556127</c:v>
                </c:pt>
                <c:pt idx="13">
                  <c:v>0.711100197417095</c:v>
                </c:pt>
                <c:pt idx="14">
                  <c:v>0.712825148062821</c:v>
                </c:pt>
                <c:pt idx="15">
                  <c:v>0.733118861047116</c:v>
                </c:pt>
                <c:pt idx="16">
                  <c:v>0.764339145785337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China!$AA$138</c:f>
              <c:strCache>
                <c:ptCount val="1"/>
                <c:pt idx="0">
                  <c:v>normal + norm change inv. (0 - 50%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China!$AB$138:$AR$138</c:f>
              <c:numCache>
                <c:formatCode>0.00</c:formatCode>
                <c:ptCount val="17"/>
                <c:pt idx="9">
                  <c:v>0.812168525170078</c:v>
                </c:pt>
                <c:pt idx="10">
                  <c:v>0.729126393877559</c:v>
                </c:pt>
                <c:pt idx="11">
                  <c:v>0.666844795408169</c:v>
                </c:pt>
                <c:pt idx="12">
                  <c:v>0.620133596556127</c:v>
                </c:pt>
                <c:pt idx="13">
                  <c:v>0.585100197417095</c:v>
                </c:pt>
                <c:pt idx="14">
                  <c:v>0.558825148062821</c:v>
                </c:pt>
                <c:pt idx="15">
                  <c:v>0.539118861047116</c:v>
                </c:pt>
                <c:pt idx="16">
                  <c:v>0.524339145785337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China!$AA$139</c:f>
              <c:strCache>
                <c:ptCount val="1"/>
                <c:pt idx="0">
                  <c:v>normal + voluntary inv. (0 - 50%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China!$AB$139:$AR$139</c:f>
              <c:numCache>
                <c:formatCode>0.00</c:formatCode>
                <c:ptCount val="17"/>
                <c:pt idx="9">
                  <c:v>0.814168525170078</c:v>
                </c:pt>
                <c:pt idx="10">
                  <c:v>0.755126393877558</c:v>
                </c:pt>
                <c:pt idx="11">
                  <c:v>0.706844795408169</c:v>
                </c:pt>
                <c:pt idx="12">
                  <c:v>0.674133596556127</c:v>
                </c:pt>
                <c:pt idx="13">
                  <c:v>0.653100197417095</c:v>
                </c:pt>
                <c:pt idx="14">
                  <c:v>0.640825148062821</c:v>
                </c:pt>
                <c:pt idx="15">
                  <c:v>0.639118861047116</c:v>
                </c:pt>
                <c:pt idx="16">
                  <c:v>0.644339145785337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China!$AA$140</c:f>
              <c:strCache>
                <c:ptCount val="1"/>
                <c:pt idx="0">
                  <c:v>normal + voluntary + forced inv. (0 - 50%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China!$AB$140:$AR$140</c:f>
              <c:numCache>
                <c:formatCode>0.00</c:formatCode>
                <c:ptCount val="17"/>
                <c:pt idx="9">
                  <c:v>0.817168525170078</c:v>
                </c:pt>
                <c:pt idx="10">
                  <c:v>0.771126393877558</c:v>
                </c:pt>
                <c:pt idx="11">
                  <c:v>0.736844795408169</c:v>
                </c:pt>
                <c:pt idx="12">
                  <c:v>0.718133596556127</c:v>
                </c:pt>
                <c:pt idx="13">
                  <c:v>0.711100197417095</c:v>
                </c:pt>
                <c:pt idx="14">
                  <c:v>0.712825148062821</c:v>
                </c:pt>
                <c:pt idx="15">
                  <c:v>0.733118861047116</c:v>
                </c:pt>
                <c:pt idx="16">
                  <c:v>0.764339145785337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China!$AA$151</c:f>
              <c:strCache>
                <c:ptCount val="1"/>
                <c:pt idx="0">
                  <c:v>normal + norm change inv. (0 - 50%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China!$AB$151:$AR$151</c:f>
              <c:numCache>
                <c:formatCode>0.00</c:formatCode>
                <c:ptCount val="17"/>
                <c:pt idx="9">
                  <c:v>0.812168525170078</c:v>
                </c:pt>
                <c:pt idx="10">
                  <c:v>0.729126393877559</c:v>
                </c:pt>
                <c:pt idx="11">
                  <c:v>0.666844795408169</c:v>
                </c:pt>
                <c:pt idx="12">
                  <c:v>0.620133596556127</c:v>
                </c:pt>
                <c:pt idx="13">
                  <c:v>0.585100197417095</c:v>
                </c:pt>
                <c:pt idx="14">
                  <c:v>0.558825148062821</c:v>
                </c:pt>
                <c:pt idx="15">
                  <c:v>0.539118861047116</c:v>
                </c:pt>
                <c:pt idx="16">
                  <c:v>0.524339145785337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China!$AA$152</c:f>
              <c:strCache>
                <c:ptCount val="1"/>
                <c:pt idx="0">
                  <c:v>normal + voluntary inv. (0 - 50%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China!$AB$152:$AR$152</c:f>
              <c:numCache>
                <c:formatCode>0.00</c:formatCode>
                <c:ptCount val="17"/>
                <c:pt idx="9">
                  <c:v>0.814168525170078</c:v>
                </c:pt>
                <c:pt idx="10">
                  <c:v>0.754606393877559</c:v>
                </c:pt>
                <c:pt idx="11">
                  <c:v>0.706044795408169</c:v>
                </c:pt>
                <c:pt idx="12">
                  <c:v>0.673053596556127</c:v>
                </c:pt>
                <c:pt idx="13">
                  <c:v>0.651740197417095</c:v>
                </c:pt>
                <c:pt idx="14">
                  <c:v>0.639185148062821</c:v>
                </c:pt>
                <c:pt idx="15">
                  <c:v>0.637118861047116</c:v>
                </c:pt>
                <c:pt idx="16">
                  <c:v>0.641939145785337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China!$AA$153</c:f>
              <c:strCache>
                <c:ptCount val="1"/>
                <c:pt idx="0">
                  <c:v>normal + voluntary + forced inv. (0 - 50%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China!$AB$153:$AR$153</c:f>
              <c:numCache>
                <c:formatCode>0.00</c:formatCode>
                <c:ptCount val="17"/>
                <c:pt idx="9">
                  <c:v>0.817168525170078</c:v>
                </c:pt>
                <c:pt idx="10">
                  <c:v>0.770286393877559</c:v>
                </c:pt>
                <c:pt idx="11">
                  <c:v>0.735444795408169</c:v>
                </c:pt>
                <c:pt idx="12">
                  <c:v>0.716173596556127</c:v>
                </c:pt>
                <c:pt idx="13">
                  <c:v>0.708580197417095</c:v>
                </c:pt>
                <c:pt idx="14">
                  <c:v>0.709745148062821</c:v>
                </c:pt>
                <c:pt idx="15">
                  <c:v>0.729238861047116</c:v>
                </c:pt>
                <c:pt idx="16">
                  <c:v>0.759539145785337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879712"/>
        <c:axId val="12574423"/>
      </c:lineChart>
      <c:catAx>
        <c:axId val="9787971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74423"/>
        <c:crosses val="autoZero"/>
        <c:auto val="1"/>
        <c:lblAlgn val="ctr"/>
        <c:lblOffset val="100"/>
        <c:noMultiLvlLbl val="0"/>
      </c:catAx>
      <c:valAx>
        <c:axId val="1257442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87971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5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29745672566"/>
          <c:w val="0.711068448645057"/>
          <c:h val="0.806304999516488"/>
        </c:manualLayout>
      </c:layout>
      <c:lineChart>
        <c:grouping val="standard"/>
        <c:varyColors val="0"/>
        <c:ser>
          <c:idx val="0"/>
          <c:order val="0"/>
          <c:tx>
            <c:strRef>
              <c:f>China!$AA$209</c:f>
              <c:strCache>
                <c:ptCount val="1"/>
                <c:pt idx="0">
                  <c:v>Consumption (0 - 26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China!$AB$209:$AR$209</c:f>
              <c:numCache>
                <c:formatCode>#,##0.000</c:formatCode>
                <c:ptCount val="17"/>
                <c:pt idx="0">
                  <c:v>0.00892214225340536</c:v>
                </c:pt>
                <c:pt idx="1">
                  <c:v>0.0118515316798946</c:v>
                </c:pt>
                <c:pt idx="2">
                  <c:v>0.0178075998744241</c:v>
                </c:pt>
                <c:pt idx="3">
                  <c:v>0.0279116955881704</c:v>
                </c:pt>
                <c:pt idx="4">
                  <c:v>0.0399979230091726</c:v>
                </c:pt>
                <c:pt idx="5">
                  <c:v>0.0610798283200896</c:v>
                </c:pt>
                <c:pt idx="6">
                  <c:v>0.0911555974304905</c:v>
                </c:pt>
                <c:pt idx="7">
                  <c:v>0.142899553201534</c:v>
                </c:pt>
                <c:pt idx="8">
                  <c:v>0.198035435830847</c:v>
                </c:pt>
                <c:pt idx="9">
                  <c:v>0.317995849864221</c:v>
                </c:pt>
                <c:pt idx="10">
                  <c:v>0.451126821070894</c:v>
                </c:pt>
                <c:pt idx="11">
                  <c:v>0.609585406368943</c:v>
                </c:pt>
                <c:pt idx="12">
                  <c:v>0.76157583919689</c:v>
                </c:pt>
                <c:pt idx="13">
                  <c:v>0.869593517917861</c:v>
                </c:pt>
                <c:pt idx="14">
                  <c:v>0.935807575055143</c:v>
                </c:pt>
                <c:pt idx="15">
                  <c:v>0.972471756970543</c:v>
                </c:pt>
                <c:pt idx="16">
                  <c:v>0.940402689114721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China!$AA$210</c:f>
              <c:strCache>
                <c:ptCount val="1"/>
                <c:pt idx="0">
                  <c:v>Consumption per person (0 - 25000 $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China!$AB$210:$AR$210</c:f>
              <c:numCache>
                <c:formatCode>#,##0.000</c:formatCode>
                <c:ptCount val="17"/>
                <c:pt idx="0">
                  <c:v>0.0113320299639581</c:v>
                </c:pt>
                <c:pt idx="1">
                  <c:v>0.013402564413984</c:v>
                </c:pt>
                <c:pt idx="2">
                  <c:v>0.0187359211335118</c:v>
                </c:pt>
                <c:pt idx="3">
                  <c:v>0.0273260237783108</c:v>
                </c:pt>
                <c:pt idx="4">
                  <c:v>0.0361296595003945</c:v>
                </c:pt>
                <c:pt idx="5">
                  <c:v>0.0520454680985773</c:v>
                </c:pt>
                <c:pt idx="6">
                  <c:v>0.0742767768853053</c:v>
                </c:pt>
                <c:pt idx="7">
                  <c:v>0.113025523100714</c:v>
                </c:pt>
                <c:pt idx="8">
                  <c:v>0.152681420354862</c:v>
                </c:pt>
                <c:pt idx="9">
                  <c:v>0.242155885793659</c:v>
                </c:pt>
                <c:pt idx="10">
                  <c:v>0.342598019350879</c:v>
                </c:pt>
                <c:pt idx="11">
                  <c:v>0.465706934750687</c:v>
                </c:pt>
                <c:pt idx="12">
                  <c:v>0.589765199362346</c:v>
                </c:pt>
                <c:pt idx="13">
                  <c:v>0.688629979409441</c:v>
                </c:pt>
                <c:pt idx="14">
                  <c:v>0.764468960956118</c:v>
                </c:pt>
                <c:pt idx="15">
                  <c:v>0.826624611173083</c:v>
                </c:pt>
                <c:pt idx="16">
                  <c:v>0.839072327957912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China!$U$215</c:f>
              <c:strCache>
                <c:ptCount val="1"/>
                <c:pt idx="0">
                  <c:v>Consumption from Your forecast (0 - 26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China!$AB$215:$AR$215</c:f>
              <c:numCache>
                <c:formatCode>#,##0.000</c:formatCode>
                <c:ptCount val="17"/>
                <c:pt idx="9">
                  <c:v>0.317995849864221</c:v>
                </c:pt>
                <c:pt idx="10">
                  <c:v>0.43637367055128</c:v>
                </c:pt>
                <c:pt idx="11">
                  <c:v>0.582665875658292</c:v>
                </c:pt>
                <c:pt idx="12">
                  <c:v>0.720396568289202</c:v>
                </c:pt>
                <c:pt idx="13">
                  <c:v>0.815366139313025</c:v>
                </c:pt>
                <c:pt idx="14">
                  <c:v>0.871297353731096</c:v>
                </c:pt>
                <c:pt idx="15">
                  <c:v>0.901005540860378</c:v>
                </c:pt>
                <c:pt idx="16">
                  <c:v>0.868965267429518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China!$U$216</c:f>
              <c:strCache>
                <c:ptCount val="1"/>
                <c:pt idx="0">
                  <c:v>Consumption per person from Your forecast (0 - 25000 $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China!$AB$216:$AR$216</c:f>
              <c:numCache>
                <c:formatCode>#,##0.000</c:formatCode>
                <c:ptCount val="17"/>
                <c:pt idx="9">
                  <c:v>0.242155885793659</c:v>
                </c:pt>
                <c:pt idx="10">
                  <c:v>0.331412171346243</c:v>
                </c:pt>
                <c:pt idx="11">
                  <c:v>0.445112153561082</c:v>
                </c:pt>
                <c:pt idx="12">
                  <c:v>0.557687361429935</c:v>
                </c:pt>
                <c:pt idx="13">
                  <c:v>0.645177589346139</c:v>
                </c:pt>
                <c:pt idx="14">
                  <c:v>0.71075911129171</c:v>
                </c:pt>
                <c:pt idx="15">
                  <c:v>0.764169268613129</c:v>
                </c:pt>
                <c:pt idx="16">
                  <c:v>0.772836247181622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246026"/>
        <c:axId val="22322008"/>
      </c:lineChart>
      <c:catAx>
        <c:axId val="8124602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322008"/>
        <c:crosses val="autoZero"/>
        <c:auto val="1"/>
        <c:lblAlgn val="ctr"/>
        <c:lblOffset val="100"/>
        <c:noMultiLvlLbl val="0"/>
      </c:catAx>
      <c:valAx>
        <c:axId val="2232200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24602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3"/>
          <c:y val="0.0858401568983478"/>
          <c:w val="0.219816062124666"/>
          <c:h val="0.54448847995995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China!$AA$264</c:f>
              <c:strCache>
                <c:ptCount val="1"/>
                <c:pt idx="0">
                  <c:v>Energy use (0 - 6500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China!$AB$264:$AR$264</c:f>
              <c:numCache>
                <c:formatCode>0.000</c:formatCode>
                <c:ptCount val="17"/>
                <c:pt idx="0">
                  <c:v>0.0312318855384615</c:v>
                </c:pt>
                <c:pt idx="1">
                  <c:v>0.0486149154692308</c:v>
                </c:pt>
                <c:pt idx="2">
                  <c:v>0.0650388112307692</c:v>
                </c:pt>
                <c:pt idx="3">
                  <c:v>0.0816486759892308</c:v>
                </c:pt>
                <c:pt idx="4">
                  <c:v>0.106515625857333</c:v>
                </c:pt>
                <c:pt idx="5">
                  <c:v>0.142819305184315</c:v>
                </c:pt>
                <c:pt idx="6">
                  <c:v>0.162211735907318</c:v>
                </c:pt>
                <c:pt idx="7">
                  <c:v>0.263849152778368</c:v>
                </c:pt>
                <c:pt idx="8">
                  <c:v>0.37838251490452</c:v>
                </c:pt>
                <c:pt idx="9">
                  <c:v>0.525617531896362</c:v>
                </c:pt>
                <c:pt idx="10">
                  <c:v>0.681846004557424</c:v>
                </c:pt>
                <c:pt idx="11">
                  <c:v>0.806705881384038</c:v>
                </c:pt>
                <c:pt idx="12">
                  <c:v>0.893820435319586</c:v>
                </c:pt>
                <c:pt idx="13">
                  <c:v>0.938898740649734</c:v>
                </c:pt>
                <c:pt idx="14">
                  <c:v>0.93586318388286</c:v>
                </c:pt>
                <c:pt idx="15">
                  <c:v>0.914000034350724</c:v>
                </c:pt>
                <c:pt idx="16">
                  <c:v>0.849553895658704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China!$AA$265</c:f>
              <c:strCache>
                <c:ptCount val="1"/>
                <c:pt idx="0">
                  <c:v>GDP China (0 - 45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China!$AB$265:$AR$265</c:f>
              <c:numCache>
                <c:formatCode>0.000</c:formatCode>
                <c:ptCount val="17"/>
                <c:pt idx="0">
                  <c:v>0.00778086464788846</c:v>
                </c:pt>
                <c:pt idx="1">
                  <c:v>0.0105038889227101</c:v>
                </c:pt>
                <c:pt idx="2">
                  <c:v>0.0156480867636802</c:v>
                </c:pt>
                <c:pt idx="3">
                  <c:v>0.0253013168760939</c:v>
                </c:pt>
                <c:pt idx="4">
                  <c:v>0.0352507057573548</c:v>
                </c:pt>
                <c:pt idx="5">
                  <c:v>0.0614505070589668</c:v>
                </c:pt>
                <c:pt idx="6">
                  <c:v>0.0855391458308049</c:v>
                </c:pt>
                <c:pt idx="7">
                  <c:v>0.142041031205721</c:v>
                </c:pt>
                <c:pt idx="8">
                  <c:v>0.212458558995284</c:v>
                </c:pt>
                <c:pt idx="9">
                  <c:v>0.310662912488906</c:v>
                </c:pt>
                <c:pt idx="10">
                  <c:v>0.42421132796032</c:v>
                </c:pt>
                <c:pt idx="11">
                  <c:v>0.55765894828644</c:v>
                </c:pt>
                <c:pt idx="12">
                  <c:v>0.686532691391645</c:v>
                </c:pt>
                <c:pt idx="13">
                  <c:v>0.779628966263612</c:v>
                </c:pt>
                <c:pt idx="14">
                  <c:v>0.840117129897688</c:v>
                </c:pt>
                <c:pt idx="15">
                  <c:v>0.887017026961971</c:v>
                </c:pt>
                <c:pt idx="16">
                  <c:v>0.879438357344868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China!$AA$266</c:f>
              <c:strCache>
                <c:ptCount val="1"/>
                <c:pt idx="0">
                  <c:v>Energy intensity (0 - 700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China!$AB$266:$AR$266</c:f>
              <c:numCache>
                <c:formatCode>0.000</c:formatCode>
                <c:ptCount val="17"/>
                <c:pt idx="0">
                  <c:v>0.828272317447358</c:v>
                </c:pt>
                <c:pt idx="1">
                  <c:v>0.955041442043474</c:v>
                </c:pt>
                <c:pt idx="2">
                  <c:v>0.857658018008634</c:v>
                </c:pt>
                <c:pt idx="3">
                  <c:v>0.66589970681567</c:v>
                </c:pt>
                <c:pt idx="4">
                  <c:v>0.623517015822128</c:v>
                </c:pt>
                <c:pt idx="5">
                  <c:v>0.479583516664053</c:v>
                </c:pt>
                <c:pt idx="6">
                  <c:v>0.391309296344971</c:v>
                </c:pt>
                <c:pt idx="7">
                  <c:v>0.383305181675799</c:v>
                </c:pt>
                <c:pt idx="8">
                  <c:v>0.367501935512503</c:v>
                </c:pt>
                <c:pt idx="9">
                  <c:v>0.349126838736878</c:v>
                </c:pt>
                <c:pt idx="10">
                  <c:v>0.331670496800034</c:v>
                </c:pt>
                <c:pt idx="11">
                  <c:v>0.298503447120031</c:v>
                </c:pt>
                <c:pt idx="12">
                  <c:v>0.268653102408028</c:v>
                </c:pt>
                <c:pt idx="13">
                  <c:v>0.248504119727426</c:v>
                </c:pt>
                <c:pt idx="14">
                  <c:v>0.229866310747869</c:v>
                </c:pt>
                <c:pt idx="15">
                  <c:v>0.212626337441779</c:v>
                </c:pt>
                <c:pt idx="16">
                  <c:v>0.199337191351667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China!$AA$271</c:f>
              <c:strCache>
                <c:ptCount val="1"/>
                <c:pt idx="0">
                  <c:v>Energy use (0 - 6500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China!$AB$271:$AR$271</c:f>
              <c:numCache>
                <c:formatCode>0.000</c:formatCode>
                <c:ptCount val="17"/>
                <c:pt idx="9">
                  <c:v>0.525617531896362</c:v>
                </c:pt>
                <c:pt idx="10">
                  <c:v>0.659790928871062</c:v>
                </c:pt>
                <c:pt idx="11">
                  <c:v>0.772751947254349</c:v>
                </c:pt>
                <c:pt idx="12">
                  <c:v>0.84884850308256</c:v>
                </c:pt>
                <c:pt idx="13">
                  <c:v>0.884902677413931</c:v>
                </c:pt>
                <c:pt idx="14">
                  <c:v>0.876892986333365</c:v>
                </c:pt>
                <c:pt idx="15">
                  <c:v>0.853030702140142</c:v>
                </c:pt>
                <c:pt idx="16">
                  <c:v>0.791171128285468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China!$AA$270</c:f>
              <c:strCache>
                <c:ptCount val="1"/>
                <c:pt idx="0">
                  <c:v>GDP China calculated from Your forecast (0 - 45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China!$AB$270:$AR$270</c:f>
              <c:numCache>
                <c:formatCode>0.000</c:formatCode>
                <c:ptCount val="17"/>
                <c:pt idx="9">
                  <c:v>0.310662912488906</c:v>
                </c:pt>
                <c:pt idx="10">
                  <c:v>0.410058095472917</c:v>
                </c:pt>
                <c:pt idx="11">
                  <c:v>0.532442385436948</c:v>
                </c:pt>
                <c:pt idx="12">
                  <c:v>0.648419641827485</c:v>
                </c:pt>
                <c:pt idx="13">
                  <c:v>0.729585275222358</c:v>
                </c:pt>
                <c:pt idx="14">
                  <c:v>0.780336145322896</c:v>
                </c:pt>
                <c:pt idx="15">
                  <c:v>0.819321528187014</c:v>
                </c:pt>
                <c:pt idx="16">
                  <c:v>0.809487569842516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China!$AA$272</c:f>
              <c:strCache>
                <c:ptCount val="1"/>
                <c:pt idx="0">
                  <c:v>Energy intensity (0 - 700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China!$AB$272:$AR$272</c:f>
              <c:numCache>
                <c:formatCode>0.000</c:formatCode>
                <c:ptCount val="17"/>
                <c:pt idx="9">
                  <c:v>0.349126838736878</c:v>
                </c:pt>
                <c:pt idx="10">
                  <c:v>0.332019623638771</c:v>
                </c:pt>
                <c:pt idx="11">
                  <c:v>0.299481700522172</c:v>
                </c:pt>
                <c:pt idx="12">
                  <c:v>0.270132493870999</c:v>
                </c:pt>
                <c:pt idx="13">
                  <c:v>0.25027775557148</c:v>
                </c:pt>
                <c:pt idx="14">
                  <c:v>0.231882340536977</c:v>
                </c:pt>
                <c:pt idx="15">
                  <c:v>0.214838988507509</c:v>
                </c:pt>
                <c:pt idx="16">
                  <c:v>0.201680100461424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300500"/>
        <c:axId val="56860588"/>
      </c:lineChart>
      <c:catAx>
        <c:axId val="1730050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60588"/>
        <c:crosses val="autoZero"/>
        <c:auto val="1"/>
        <c:lblAlgn val="ctr"/>
        <c:lblOffset val="100"/>
        <c:noMultiLvlLbl val="0"/>
      </c:catAx>
      <c:valAx>
        <c:axId val="5686058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00500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5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China!$A$253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China!$B$253:$R$253</c:f>
              <c:numCache>
                <c:formatCode>0.0</c:formatCode>
                <c:ptCount val="17"/>
                <c:pt idx="0">
                  <c:v>15.8048537930093</c:v>
                </c:pt>
                <c:pt idx="1">
                  <c:v>23.0761720558002</c:v>
                </c:pt>
                <c:pt idx="2">
                  <c:v>21.7266720645166</c:v>
                </c:pt>
                <c:pt idx="3">
                  <c:v>17.8963757453717</c:v>
                </c:pt>
                <c:pt idx="4">
                  <c:v>17.2078760985049</c:v>
                </c:pt>
                <c:pt idx="5">
                  <c:v>18.2875190847631</c:v>
                </c:pt>
                <c:pt idx="6">
                  <c:v>22.1872640426028</c:v>
                </c:pt>
                <c:pt idx="7">
                  <c:v>19.9223851398036</c:v>
                </c:pt>
                <c:pt idx="8">
                  <c:v>18.0791329583793</c:v>
                </c:pt>
                <c:pt idx="9">
                  <c:v>17</c:v>
                </c:pt>
                <c:pt idx="10">
                  <c:v>15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China!$A$254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China!$B$254:$R$254</c:f>
              <c:numCache>
                <c:formatCode>0.0</c:formatCode>
                <c:ptCount val="17"/>
                <c:pt idx="0">
                  <c:v>1.27236831377101</c:v>
                </c:pt>
                <c:pt idx="1">
                  <c:v>2.52059394438356</c:v>
                </c:pt>
                <c:pt idx="2">
                  <c:v>3.03794936662588</c:v>
                </c:pt>
                <c:pt idx="3">
                  <c:v>2.19269653869688</c:v>
                </c:pt>
                <c:pt idx="4">
                  <c:v>1.98237436483418</c:v>
                </c:pt>
                <c:pt idx="5">
                  <c:v>1.7199678647617</c:v>
                </c:pt>
                <c:pt idx="6">
                  <c:v>2.34748736193521</c:v>
                </c:pt>
                <c:pt idx="7">
                  <c:v>2.59450904552833</c:v>
                </c:pt>
                <c:pt idx="8">
                  <c:v>4.130267652532</c:v>
                </c:pt>
                <c:pt idx="9">
                  <c:v>6</c:v>
                </c:pt>
                <c:pt idx="10">
                  <c:v>9</c:v>
                </c:pt>
                <c:pt idx="11">
                  <c:v>10.5</c:v>
                </c:pt>
                <c:pt idx="12">
                  <c:v>12</c:v>
                </c:pt>
                <c:pt idx="13">
                  <c:v>13</c:v>
                </c:pt>
                <c:pt idx="14">
                  <c:v>13.5</c:v>
                </c:pt>
                <c:pt idx="15">
                  <c:v>14</c:v>
                </c:pt>
                <c:pt idx="16">
                  <c:v>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China!$A$257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China!$B$257:$R$257</c:f>
              <c:numCache>
                <c:formatCode>0.0</c:formatCode>
                <c:ptCount val="17"/>
                <c:pt idx="0">
                  <c:v>80.2435633138157</c:v>
                </c:pt>
                <c:pt idx="1">
                  <c:v>71.2804190540313</c:v>
                </c:pt>
                <c:pt idx="2">
                  <c:v>72.1191327574482</c:v>
                </c:pt>
                <c:pt idx="3">
                  <c:v>75.971912407737</c:v>
                </c:pt>
                <c:pt idx="4">
                  <c:v>76.6673577858191</c:v>
                </c:pt>
                <c:pt idx="5">
                  <c:v>74.947759412291</c:v>
                </c:pt>
                <c:pt idx="6">
                  <c:v>70.2621575659571</c:v>
                </c:pt>
                <c:pt idx="7">
                  <c:v>71.4499295158676</c:v>
                </c:pt>
                <c:pt idx="8">
                  <c:v>69.9281724886047</c:v>
                </c:pt>
                <c:pt idx="9">
                  <c:v>66</c:v>
                </c:pt>
                <c:pt idx="10">
                  <c:v>62</c:v>
                </c:pt>
                <c:pt idx="11">
                  <c:v>57.5</c:v>
                </c:pt>
                <c:pt idx="12">
                  <c:v>55</c:v>
                </c:pt>
                <c:pt idx="13">
                  <c:v>50.5</c:v>
                </c:pt>
                <c:pt idx="14">
                  <c:v>47.2</c:v>
                </c:pt>
                <c:pt idx="15">
                  <c:v>42.9</c:v>
                </c:pt>
                <c:pt idx="16">
                  <c:v>39.9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China!$A$256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China!$B$256:$R$256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0.312821316552866</c:v>
                </c:pt>
                <c:pt idx="6">
                  <c:v>0.359264530096765</c:v>
                </c:pt>
                <c:pt idx="7">
                  <c:v>0.70042879581975</c:v>
                </c:pt>
                <c:pt idx="8">
                  <c:v>0.679702957134495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3.5</c:v>
                </c:pt>
                <c:pt idx="14">
                  <c:v>3.3</c:v>
                </c:pt>
                <c:pt idx="15">
                  <c:v>3.1</c:v>
                </c:pt>
                <c:pt idx="16">
                  <c:v>3.1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China!$A$255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China!$B$255:$R$255</c:f>
              <c:numCache>
                <c:formatCode>0.0</c:formatCode>
                <c:ptCount val="17"/>
                <c:pt idx="0">
                  <c:v>2.679214579404</c:v>
                </c:pt>
                <c:pt idx="1">
                  <c:v>3.12281494578493</c:v>
                </c:pt>
                <c:pt idx="2">
                  <c:v>3.11624581140927</c:v>
                </c:pt>
                <c:pt idx="3">
                  <c:v>3.9390153081944</c:v>
                </c:pt>
                <c:pt idx="4">
                  <c:v>4.14239175084188</c:v>
                </c:pt>
                <c:pt idx="5">
                  <c:v>4.73193232163133</c:v>
                </c:pt>
                <c:pt idx="6">
                  <c:v>4.84382649940817</c:v>
                </c:pt>
                <c:pt idx="7">
                  <c:v>5.3327475029807</c:v>
                </c:pt>
                <c:pt idx="8">
                  <c:v>7.18272394334942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18</c:v>
                </c:pt>
                <c:pt idx="13">
                  <c:v>22</c:v>
                </c:pt>
                <c:pt idx="14">
                  <c:v>26</c:v>
                </c:pt>
                <c:pt idx="15">
                  <c:v>31</c:v>
                </c:pt>
                <c:pt idx="16">
                  <c:v>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China!$U$269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China!$B$269:$R$269</c:f>
              <c:numCache>
                <c:formatCode>#,##0.00</c:formatCode>
                <c:ptCount val="17"/>
                <c:pt idx="9">
                  <c:v>17</c:v>
                </c:pt>
                <c:pt idx="10">
                  <c:v>14.7</c:v>
                </c:pt>
                <c:pt idx="11">
                  <c:v>13.72</c:v>
                </c:pt>
                <c:pt idx="12">
                  <c:v>11.76</c:v>
                </c:pt>
                <c:pt idx="13">
                  <c:v>10.78</c:v>
                </c:pt>
                <c:pt idx="14">
                  <c:v>9.8</c:v>
                </c:pt>
                <c:pt idx="15">
                  <c:v>8.82</c:v>
                </c:pt>
                <c:pt idx="16">
                  <c:v>6.86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China!$U$270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China!$B$270:$R$270</c:f>
              <c:numCache>
                <c:formatCode>#,##0.00</c:formatCode>
                <c:ptCount val="17"/>
                <c:pt idx="9">
                  <c:v>6</c:v>
                </c:pt>
                <c:pt idx="10">
                  <c:v>8.82</c:v>
                </c:pt>
                <c:pt idx="11">
                  <c:v>10.29</c:v>
                </c:pt>
                <c:pt idx="12">
                  <c:v>11.76</c:v>
                </c:pt>
                <c:pt idx="13">
                  <c:v>12.74</c:v>
                </c:pt>
                <c:pt idx="14">
                  <c:v>13.23</c:v>
                </c:pt>
                <c:pt idx="15">
                  <c:v>13.72</c:v>
                </c:pt>
                <c:pt idx="16">
                  <c:v>12.74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China!$U$271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China!$B$271:$R$271</c:f>
              <c:numCache>
                <c:formatCode>#,##0.00</c:formatCode>
                <c:ptCount val="17"/>
                <c:pt idx="9">
                  <c:v>10</c:v>
                </c:pt>
                <c:pt idx="10">
                  <c:v>11.76</c:v>
                </c:pt>
                <c:pt idx="11">
                  <c:v>14.7</c:v>
                </c:pt>
                <c:pt idx="12">
                  <c:v>17.64</c:v>
                </c:pt>
                <c:pt idx="13">
                  <c:v>21.56</c:v>
                </c:pt>
                <c:pt idx="14">
                  <c:v>25.48</c:v>
                </c:pt>
                <c:pt idx="15">
                  <c:v>30.38</c:v>
                </c:pt>
                <c:pt idx="16">
                  <c:v>36.26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China!$U$272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China!$B$272:$R$272</c:f>
              <c:numCache>
                <c:formatCode>#,##0.00</c:formatCode>
                <c:ptCount val="17"/>
                <c:pt idx="9">
                  <c:v>1</c:v>
                </c:pt>
                <c:pt idx="10">
                  <c:v>1.96</c:v>
                </c:pt>
                <c:pt idx="11">
                  <c:v>2.94</c:v>
                </c:pt>
                <c:pt idx="12">
                  <c:v>2.94</c:v>
                </c:pt>
                <c:pt idx="13">
                  <c:v>3.43</c:v>
                </c:pt>
                <c:pt idx="14">
                  <c:v>3.234</c:v>
                </c:pt>
                <c:pt idx="15">
                  <c:v>3.038</c:v>
                </c:pt>
                <c:pt idx="16">
                  <c:v>3.038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China!$U$273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China!$B$273:$R$273</c:f>
              <c:numCache>
                <c:formatCode>#,##0.00</c:formatCode>
                <c:ptCount val="17"/>
                <c:pt idx="9">
                  <c:v>66</c:v>
                </c:pt>
                <c:pt idx="10">
                  <c:v>62.76</c:v>
                </c:pt>
                <c:pt idx="11">
                  <c:v>58.35</c:v>
                </c:pt>
                <c:pt idx="12">
                  <c:v>55.9</c:v>
                </c:pt>
                <c:pt idx="13">
                  <c:v>51.49</c:v>
                </c:pt>
                <c:pt idx="14">
                  <c:v>48.256</c:v>
                </c:pt>
                <c:pt idx="15">
                  <c:v>44.042</c:v>
                </c:pt>
                <c:pt idx="16">
                  <c:v>41.102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747315"/>
        <c:axId val="46044985"/>
      </c:lineChart>
      <c:catAx>
        <c:axId val="4674731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44985"/>
        <c:crosses val="autoZero"/>
        <c:auto val="1"/>
        <c:lblAlgn val="ctr"/>
        <c:lblOffset val="100"/>
        <c:noMultiLvlLbl val="0"/>
      </c:catAx>
      <c:valAx>
        <c:axId val="46044985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47315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China!$AA$381</c:f>
              <c:strCache>
                <c:ptCount val="1"/>
                <c:pt idx="0">
                  <c:v>CO2 Emissions (0 - 16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China!$AB$381:$AR$381</c:f>
              <c:numCache>
                <c:formatCode>#,##0.000</c:formatCode>
                <c:ptCount val="17"/>
                <c:pt idx="0">
                  <c:v>0.0487595625</c:v>
                </c:pt>
                <c:pt idx="1">
                  <c:v>0.0723011666666667</c:v>
                </c:pt>
                <c:pt idx="2">
                  <c:v>0.0927655208333333</c:v>
                </c:pt>
                <c:pt idx="3">
                  <c:v>0.1243825</c:v>
                </c:pt>
                <c:pt idx="4">
                  <c:v>0.15557575</c:v>
                </c:pt>
                <c:pt idx="5">
                  <c:v>0.20955275</c:v>
                </c:pt>
                <c:pt idx="6">
                  <c:v>0.215442791666667</c:v>
                </c:pt>
                <c:pt idx="7">
                  <c:v>0.364492104166667</c:v>
                </c:pt>
                <c:pt idx="8">
                  <c:v>0.441948833333333</c:v>
                </c:pt>
                <c:pt idx="9">
                  <c:v>0.680571417010824</c:v>
                </c:pt>
                <c:pt idx="10">
                  <c:v>0.8411423826136</c:v>
                </c:pt>
                <c:pt idx="11">
                  <c:v>0.938652329724952</c:v>
                </c:pt>
                <c:pt idx="12">
                  <c:v>0.995031057700201</c:v>
                </c:pt>
                <c:pt idx="13">
                  <c:v>0.975414852533924</c:v>
                </c:pt>
                <c:pt idx="14">
                  <c:v>0.916416549191998</c:v>
                </c:pt>
                <c:pt idx="15">
                  <c:v>0.826035950469318</c:v>
                </c:pt>
                <c:pt idx="16">
                  <c:v>0.700156082964816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China!$AA$382</c:f>
              <c:strCache>
                <c:ptCount val="1"/>
                <c:pt idx="0">
                  <c:v>Energy use (0 - 6.2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China!$AB$382:$AR$382</c:f>
              <c:numCache>
                <c:formatCode>#,##0.000</c:formatCode>
                <c:ptCount val="17"/>
                <c:pt idx="0">
                  <c:v>0.0327431058064516</c:v>
                </c:pt>
                <c:pt idx="1">
                  <c:v>0.0509672500887097</c:v>
                </c:pt>
                <c:pt idx="2">
                  <c:v>0.068185850483871</c:v>
                </c:pt>
                <c:pt idx="3">
                  <c:v>0.0855994183758065</c:v>
                </c:pt>
                <c:pt idx="4">
                  <c:v>0.111669607753656</c:v>
                </c:pt>
                <c:pt idx="5">
                  <c:v>0.149729916725492</c:v>
                </c:pt>
                <c:pt idx="6">
                  <c:v>0.170060690870575</c:v>
                </c:pt>
                <c:pt idx="7">
                  <c:v>0.276616047267644</c:v>
                </c:pt>
                <c:pt idx="8">
                  <c:v>0.396691346270868</c:v>
                </c:pt>
                <c:pt idx="9">
                  <c:v>0.551050638278444</c:v>
                </c:pt>
                <c:pt idx="10">
                  <c:v>0.714838553165041</c:v>
                </c:pt>
                <c:pt idx="11">
                  <c:v>0.845740036934879</c:v>
                </c:pt>
                <c:pt idx="12">
                  <c:v>0.937069811222146</c:v>
                </c:pt>
                <c:pt idx="13">
                  <c:v>0.984329324874721</c:v>
                </c:pt>
                <c:pt idx="14">
                  <c:v>0.981146886328805</c:v>
                </c:pt>
                <c:pt idx="15">
                  <c:v>0.958225842464469</c:v>
                </c:pt>
                <c:pt idx="16">
                  <c:v>0.890661342222835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China!$AA$383</c:f>
              <c:strCache>
                <c:ptCount val="1"/>
                <c:pt idx="0">
                  <c:v>Climate intensity (0 - 4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China!$AB$383:$AR$383</c:f>
              <c:numCache>
                <c:formatCode>#,##0.000</c:formatCode>
                <c:ptCount val="17"/>
                <c:pt idx="0">
                  <c:v>0.960745215924696</c:v>
                </c:pt>
                <c:pt idx="1">
                  <c:v>0.915213473305041</c:v>
                </c:pt>
                <c:pt idx="2">
                  <c:v>0.877729363109381</c:v>
                </c:pt>
                <c:pt idx="3">
                  <c:v>0.937468685140378</c:v>
                </c:pt>
                <c:pt idx="4">
                  <c:v>0.898825147074247</c:v>
                </c:pt>
                <c:pt idx="5">
                  <c:v>0.902927922069886</c:v>
                </c:pt>
                <c:pt idx="6">
                  <c:v>0.817327912469485</c:v>
                </c:pt>
                <c:pt idx="7">
                  <c:v>0.850117694036131</c:v>
                </c:pt>
                <c:pt idx="8">
                  <c:v>0.718766069011251</c:v>
                </c:pt>
                <c:pt idx="9">
                  <c:v>0.796802150392403</c:v>
                </c:pt>
                <c:pt idx="10">
                  <c:v>0.759153941137123</c:v>
                </c:pt>
                <c:pt idx="11">
                  <c:v>0.716038169842816</c:v>
                </c:pt>
                <c:pt idx="12">
                  <c:v>0.685066911140433</c:v>
                </c:pt>
                <c:pt idx="13">
                  <c:v>0.639318456697091</c:v>
                </c:pt>
                <c:pt idx="14">
                  <c:v>0.602597319104715</c:v>
                </c:pt>
                <c:pt idx="15">
                  <c:v>0.556159514845672</c:v>
                </c:pt>
                <c:pt idx="16">
                  <c:v>0.507166507064781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China!$AA$384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China!$AB$384:$AR$384</c:f>
              <c:numCache>
                <c:formatCode>#,##0.000</c:formatCode>
                <c:ptCount val="17"/>
                <c:pt idx="0">
                  <c:v>0.0669803644851</c:v>
                </c:pt>
                <c:pt idx="1">
                  <c:v>0.0780703736446231</c:v>
                </c:pt>
                <c:pt idx="2">
                  <c:v>0.0779061452852319</c:v>
                </c:pt>
                <c:pt idx="3">
                  <c:v>0.09847538270486</c:v>
                </c:pt>
                <c:pt idx="4">
                  <c:v>0.103559793771047</c:v>
                </c:pt>
                <c:pt idx="5">
                  <c:v>0.118298308040783</c:v>
                </c:pt>
                <c:pt idx="6">
                  <c:v>0.121095662485204</c:v>
                </c:pt>
                <c:pt idx="7">
                  <c:v>0.133318687574517</c:v>
                </c:pt>
                <c:pt idx="8">
                  <c:v>0.179568098583736</c:v>
                </c:pt>
                <c:pt idx="9">
                  <c:v>0.25</c:v>
                </c:pt>
                <c:pt idx="10">
                  <c:v>0.3</c:v>
                </c:pt>
                <c:pt idx="11">
                  <c:v>0.375</c:v>
                </c:pt>
                <c:pt idx="12">
                  <c:v>0.45</c:v>
                </c:pt>
                <c:pt idx="13">
                  <c:v>0.55</c:v>
                </c:pt>
                <c:pt idx="14">
                  <c:v>0.65</c:v>
                </c:pt>
                <c:pt idx="15">
                  <c:v>0.775</c:v>
                </c:pt>
                <c:pt idx="16">
                  <c:v>0.925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China!$AA$386</c:f>
              <c:strCache>
                <c:ptCount val="1"/>
                <c:pt idx="0">
                  <c:v>CO2 Emissions (0 - 16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China!$AB$386:$AR$386</c:f>
              <c:numCache>
                <c:formatCode>#,##0.000</c:formatCode>
                <c:ptCount val="17"/>
                <c:pt idx="9">
                  <c:v>0.680571417010824</c:v>
                </c:pt>
                <c:pt idx="10">
                  <c:v>0.818491640444515</c:v>
                </c:pt>
                <c:pt idx="11">
                  <c:v>0.90556478744609</c:v>
                </c:pt>
                <c:pt idx="12">
                  <c:v>0.952873378441067</c:v>
                </c:pt>
                <c:pt idx="13">
                  <c:v>0.928876862010686</c:v>
                </c:pt>
                <c:pt idx="14">
                  <c:v>0.869189829873897</c:v>
                </c:pt>
                <c:pt idx="15">
                  <c:v>0.782453666474946</c:v>
                </c:pt>
                <c:pt idx="16">
                  <c:v>0.663983904886676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China!$AA$387</c:f>
              <c:strCache>
                <c:ptCount val="1"/>
                <c:pt idx="0">
                  <c:v>Energy use (0 - 6.2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China!$AB$387:$AR$387</c:f>
              <c:numCache>
                <c:formatCode>#,##0.000</c:formatCode>
                <c:ptCount val="17"/>
                <c:pt idx="9">
                  <c:v>0.551050638278444</c:v>
                </c:pt>
                <c:pt idx="10">
                  <c:v>0.691716296397081</c:v>
                </c:pt>
                <c:pt idx="11">
                  <c:v>0.810143170508591</c:v>
                </c:pt>
                <c:pt idx="12">
                  <c:v>0.889921817747846</c:v>
                </c:pt>
                <c:pt idx="13">
                  <c:v>0.927720548901702</c:v>
                </c:pt>
                <c:pt idx="14">
                  <c:v>0.91932329212369</c:v>
                </c:pt>
                <c:pt idx="15">
                  <c:v>0.894306381275955</c:v>
                </c:pt>
                <c:pt idx="16">
                  <c:v>0.829453602234765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China!$AA$388</c:f>
              <c:strCache>
                <c:ptCount val="1"/>
                <c:pt idx="0">
                  <c:v>Climate intensity (0 - 4 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China!$AB$388:$AR$388</c:f>
              <c:numCache>
                <c:formatCode>#,##0.000</c:formatCode>
                <c:ptCount val="17"/>
                <c:pt idx="9">
                  <c:v>0.796802150392403</c:v>
                </c:pt>
                <c:pt idx="10">
                  <c:v>0.763404195647714</c:v>
                </c:pt>
                <c:pt idx="11">
                  <c:v>0.721150739779294</c:v>
                </c:pt>
                <c:pt idx="12">
                  <c:v>0.690798906250957</c:v>
                </c:pt>
                <c:pt idx="13">
                  <c:v>0.645965420896483</c:v>
                </c:pt>
                <c:pt idx="14">
                  <c:v>0.609978706055954</c:v>
                </c:pt>
                <c:pt idx="15">
                  <c:v>0.564469657882092</c:v>
                </c:pt>
                <c:pt idx="16">
                  <c:v>0.516456510256819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China!$AA$389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China!$AB$389:$AR$389</c:f>
              <c:numCache>
                <c:formatCode>#,##0.000</c:formatCode>
                <c:ptCount val="17"/>
                <c:pt idx="9">
                  <c:v>0.25</c:v>
                </c:pt>
                <c:pt idx="10">
                  <c:v>0.294</c:v>
                </c:pt>
                <c:pt idx="11">
                  <c:v>0.3675</c:v>
                </c:pt>
                <c:pt idx="12">
                  <c:v>0.441</c:v>
                </c:pt>
                <c:pt idx="13">
                  <c:v>0.539</c:v>
                </c:pt>
                <c:pt idx="14">
                  <c:v>0.637</c:v>
                </c:pt>
                <c:pt idx="15">
                  <c:v>0.7595</c:v>
                </c:pt>
                <c:pt idx="16">
                  <c:v>0.9065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365771"/>
        <c:axId val="1108601"/>
      </c:lineChart>
      <c:catAx>
        <c:axId val="6836577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8601"/>
        <c:crosses val="autoZero"/>
        <c:auto val="1"/>
        <c:lblAlgn val="ctr"/>
        <c:lblOffset val="100"/>
        <c:noMultiLvlLbl val="0"/>
      </c:catAx>
      <c:valAx>
        <c:axId val="110860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3657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China!$AA$422</c:f>
              <c:strCache>
                <c:ptCount val="1"/>
                <c:pt idx="0">
                  <c:v>Food production (0 - 2200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China!$AB$422:$AR$422</c:f>
              <c:numCache>
                <c:formatCode>#,##0.000</c:formatCode>
                <c:ptCount val="17"/>
                <c:pt idx="0">
                  <c:v>0.214433636818182</c:v>
                </c:pt>
                <c:pt idx="1">
                  <c:v>0.247811705</c:v>
                </c:pt>
                <c:pt idx="2">
                  <c:v>0.276151189545455</c:v>
                </c:pt>
                <c:pt idx="3">
                  <c:v>0.324498051363636</c:v>
                </c:pt>
                <c:pt idx="4">
                  <c:v>0.392378807727273</c:v>
                </c:pt>
                <c:pt idx="5">
                  <c:v>0.467924306818182</c:v>
                </c:pt>
                <c:pt idx="6">
                  <c:v>0.546392415</c:v>
                </c:pt>
                <c:pt idx="7">
                  <c:v>0.623830386818182</c:v>
                </c:pt>
                <c:pt idx="8">
                  <c:v>0.698819878636364</c:v>
                </c:pt>
                <c:pt idx="9">
                  <c:v>0.772727272727273</c:v>
                </c:pt>
                <c:pt idx="10">
                  <c:v>0.818181818181818</c:v>
                </c:pt>
                <c:pt idx="11">
                  <c:v>0.863636363636364</c:v>
                </c:pt>
                <c:pt idx="12">
                  <c:v>0.890909090909091</c:v>
                </c:pt>
                <c:pt idx="13">
                  <c:v>0.909090909090909</c:v>
                </c:pt>
                <c:pt idx="14">
                  <c:v>0.909090909090909</c:v>
                </c:pt>
                <c:pt idx="15">
                  <c:v>0.890909090909091</c:v>
                </c:pt>
                <c:pt idx="16">
                  <c:v>0.863636363636364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China!$AA$423</c:f>
              <c:strCache>
                <c:ptCount val="1"/>
                <c:pt idx="0">
                  <c:v>Cultivated land (0 - 220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China!$AB$423:$AR$423</c:f>
              <c:numCache>
                <c:formatCode>#,##0.000</c:formatCode>
                <c:ptCount val="17"/>
                <c:pt idx="0">
                  <c:v>0.744170245454546</c:v>
                </c:pt>
                <c:pt idx="1">
                  <c:v>0.757254686363637</c:v>
                </c:pt>
                <c:pt idx="2">
                  <c:v>0.739066431818182</c:v>
                </c:pt>
                <c:pt idx="3">
                  <c:v>0.717553809090909</c:v>
                </c:pt>
                <c:pt idx="4">
                  <c:v>0.763518086363636</c:v>
                </c:pt>
                <c:pt idx="5">
                  <c:v>0.789441690909091</c:v>
                </c:pt>
                <c:pt idx="6">
                  <c:v>0.81841665</c:v>
                </c:pt>
                <c:pt idx="7">
                  <c:v>0.828328004545455</c:v>
                </c:pt>
                <c:pt idx="8">
                  <c:v>0.877067990909091</c:v>
                </c:pt>
                <c:pt idx="9">
                  <c:v>0.909090909090909</c:v>
                </c:pt>
                <c:pt idx="10">
                  <c:v>0.909090909090909</c:v>
                </c:pt>
                <c:pt idx="11">
                  <c:v>0.909090909090909</c:v>
                </c:pt>
                <c:pt idx="12">
                  <c:v>0.909090909090909</c:v>
                </c:pt>
                <c:pt idx="13">
                  <c:v>0.909090909090909</c:v>
                </c:pt>
                <c:pt idx="14">
                  <c:v>0.909090909090909</c:v>
                </c:pt>
                <c:pt idx="15">
                  <c:v>0.909090909090909</c:v>
                </c:pt>
                <c:pt idx="16">
                  <c:v>0.909090909090909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China!$AA$424</c:f>
              <c:strCache>
                <c:ptCount val="1"/>
                <c:pt idx="0">
                  <c:v>Gross yield (0 - 10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China!$AB$424:$AR$424</c:f>
              <c:numCache>
                <c:formatCode>#,##0.000</c:formatCode>
                <c:ptCount val="17"/>
                <c:pt idx="0">
                  <c:v>0.288151317696402</c:v>
                </c:pt>
                <c:pt idx="1">
                  <c:v>0.327250143792441</c:v>
                </c:pt>
                <c:pt idx="2">
                  <c:v>0.373648670344956</c:v>
                </c:pt>
                <c:pt idx="3">
                  <c:v>0.452228177528251</c:v>
                </c:pt>
                <c:pt idx="4">
                  <c:v>0.51390898884404</c:v>
                </c:pt>
                <c:pt idx="5">
                  <c:v>0.592728142187852</c:v>
                </c:pt>
                <c:pt idx="6">
                  <c:v>0.667621333217011</c:v>
                </c:pt>
                <c:pt idx="7">
                  <c:v>0.753120000042144</c:v>
                </c:pt>
                <c:pt idx="8">
                  <c:v>0.796768193435071</c:v>
                </c:pt>
                <c:pt idx="9">
                  <c:v>0.85</c:v>
                </c:pt>
                <c:pt idx="10">
                  <c:v>0.9</c:v>
                </c:pt>
                <c:pt idx="11">
                  <c:v>0.95</c:v>
                </c:pt>
                <c:pt idx="12">
                  <c:v>0.98</c:v>
                </c:pt>
                <c:pt idx="13">
                  <c:v>1</c:v>
                </c:pt>
                <c:pt idx="14">
                  <c:v>1</c:v>
                </c:pt>
                <c:pt idx="15">
                  <c:v>0.98</c:v>
                </c:pt>
                <c:pt idx="16">
                  <c:v>0.95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China!$AA$425</c:f>
              <c:strCache>
                <c:ptCount val="1"/>
                <c:pt idx="0">
                  <c:v>Food per person (0 - 2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China!$AB$425:$AR$425</c:f>
              <c:numCache>
                <c:formatCode>#,##0.000</c:formatCode>
                <c:ptCount val="17"/>
                <c:pt idx="0">
                  <c:v>0.288065221242814</c:v>
                </c:pt>
                <c:pt idx="1">
                  <c:v>0.296411181868885</c:v>
                </c:pt>
                <c:pt idx="2">
                  <c:v>0.307309456852923</c:v>
                </c:pt>
                <c:pt idx="3">
                  <c:v>0.336017317940467</c:v>
                </c:pt>
                <c:pt idx="4">
                  <c:v>0.374879176818003</c:v>
                </c:pt>
                <c:pt idx="5">
                  <c:v>0.421715984672198</c:v>
                </c:pt>
                <c:pt idx="6">
                  <c:v>0.47090544913199</c:v>
                </c:pt>
                <c:pt idx="7">
                  <c:v>0.521881048329576</c:v>
                </c:pt>
                <c:pt idx="8">
                  <c:v>0.569859613538399</c:v>
                </c:pt>
                <c:pt idx="9">
                  <c:v>0.62238506660149</c:v>
                </c:pt>
                <c:pt idx="10">
                  <c:v>0.657196693612018</c:v>
                </c:pt>
                <c:pt idx="11">
                  <c:v>0.697860166344106</c:v>
                </c:pt>
                <c:pt idx="12">
                  <c:v>0.729724152752229</c:v>
                </c:pt>
                <c:pt idx="13">
                  <c:v>0.761441061055793</c:v>
                </c:pt>
                <c:pt idx="14">
                  <c:v>0.785488735297251</c:v>
                </c:pt>
                <c:pt idx="15">
                  <c:v>0.80098442363591</c:v>
                </c:pt>
                <c:pt idx="16">
                  <c:v>0.815034142765449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China!$AA$429</c:f>
              <c:strCache>
                <c:ptCount val="1"/>
                <c:pt idx="0">
                  <c:v>Food production (0 - 2200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China!$AB$429:$AR$429</c:f>
              <c:numCache>
                <c:formatCode>#,##0.000</c:formatCode>
                <c:ptCount val="17"/>
                <c:pt idx="9">
                  <c:v>0.772727272727273</c:v>
                </c:pt>
                <c:pt idx="10">
                  <c:v>0.785781818181818</c:v>
                </c:pt>
                <c:pt idx="11">
                  <c:v>0.829436363636364</c:v>
                </c:pt>
                <c:pt idx="12">
                  <c:v>0.855629090909091</c:v>
                </c:pt>
                <c:pt idx="13">
                  <c:v>0.873090909090909</c:v>
                </c:pt>
                <c:pt idx="14">
                  <c:v>0.873090909090909</c:v>
                </c:pt>
                <c:pt idx="15">
                  <c:v>0.855629090909091</c:v>
                </c:pt>
                <c:pt idx="16">
                  <c:v>0.829436363636364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China!$AA$430</c:f>
              <c:strCache>
                <c:ptCount val="1"/>
                <c:pt idx="0">
                  <c:v>Cultivated land (0 - 220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China!$AB$430:$AR$430</c:f>
              <c:numCache>
                <c:formatCode>#,##0.000</c:formatCode>
                <c:ptCount val="17"/>
                <c:pt idx="9">
                  <c:v>0.909090909090909</c:v>
                </c:pt>
                <c:pt idx="10">
                  <c:v>0.890909090909091</c:v>
                </c:pt>
                <c:pt idx="11">
                  <c:v>0.890909090909091</c:v>
                </c:pt>
                <c:pt idx="12">
                  <c:v>0.890909090909091</c:v>
                </c:pt>
                <c:pt idx="13">
                  <c:v>0.890909090909091</c:v>
                </c:pt>
                <c:pt idx="14">
                  <c:v>0.890909090909091</c:v>
                </c:pt>
                <c:pt idx="15">
                  <c:v>0.890909090909091</c:v>
                </c:pt>
                <c:pt idx="16">
                  <c:v>0.890909090909091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China!$AA$431</c:f>
              <c:strCache>
                <c:ptCount val="1"/>
                <c:pt idx="0">
                  <c:v>Gross yield (0 - 10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China!$AB$431:$AR$431</c:f>
              <c:numCache>
                <c:formatCode>#,##0.000</c:formatCode>
                <c:ptCount val="17"/>
                <c:pt idx="9">
                  <c:v>0.85</c:v>
                </c:pt>
                <c:pt idx="10">
                  <c:v>0.882</c:v>
                </c:pt>
                <c:pt idx="11">
                  <c:v>0.931</c:v>
                </c:pt>
                <c:pt idx="12">
                  <c:v>0.9604</c:v>
                </c:pt>
                <c:pt idx="13">
                  <c:v>0.98</c:v>
                </c:pt>
                <c:pt idx="14">
                  <c:v>0.98</c:v>
                </c:pt>
                <c:pt idx="15">
                  <c:v>0.9604</c:v>
                </c:pt>
                <c:pt idx="16">
                  <c:v>0.931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China!$AA$432</c:f>
              <c:strCache>
                <c:ptCount val="1"/>
                <c:pt idx="0">
                  <c:v>Food per person (0 - 2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China!$AB$432:$AR$432</c:f>
              <c:numCache>
                <c:formatCode>#,##0.000</c:formatCode>
                <c:ptCount val="17"/>
                <c:pt idx="9">
                  <c:v>0.62238506660149</c:v>
                </c:pt>
                <c:pt idx="10">
                  <c:v>0.631206172239222</c:v>
                </c:pt>
                <c:pt idx="11">
                  <c:v>0.670181269786046</c:v>
                </c:pt>
                <c:pt idx="12">
                  <c:v>0.700590194911505</c:v>
                </c:pt>
                <c:pt idx="13">
                  <c:v>0.730710610254765</c:v>
                </c:pt>
                <c:pt idx="14">
                  <c:v>0.753311942907113</c:v>
                </c:pt>
                <c:pt idx="15">
                  <c:v>0.767550562685059</c:v>
                </c:pt>
                <c:pt idx="16">
                  <c:v>0.780238690456193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714843"/>
        <c:axId val="32824767"/>
      </c:lineChart>
      <c:catAx>
        <c:axId val="3271484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824767"/>
        <c:crosses val="autoZero"/>
        <c:auto val="1"/>
        <c:lblAlgn val="ctr"/>
        <c:lblOffset val="100"/>
        <c:noMultiLvlLbl val="0"/>
      </c:catAx>
      <c:valAx>
        <c:axId val="3282476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1484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6"/>
          <c:y val="0.108093212860323"/>
          <c:w val="0.230526795809914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373605596521"/>
          <c:w val="0.711068448645057"/>
          <c:h val="0.806296086216676"/>
        </c:manualLayout>
      </c:layout>
      <c:lineChart>
        <c:grouping val="standard"/>
        <c:varyColors val="0"/>
        <c:ser>
          <c:idx val="0"/>
          <c:order val="0"/>
          <c:tx>
            <c:strRef>
              <c:f>China!$AA$475</c:f>
              <c:strCache>
                <c:ptCount val="1"/>
                <c:pt idx="0">
                  <c:v>Total bio-capacity, China (0 - 1800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China!$AB$475:$AR$475</c:f>
              <c:numCache>
                <c:formatCode>#,##0.000</c:formatCode>
                <c:ptCount val="17"/>
                <c:pt idx="0">
                  <c:v>0.581491304444444</c:v>
                </c:pt>
                <c:pt idx="1">
                  <c:v>0.607051058333333</c:v>
                </c:pt>
                <c:pt idx="2">
                  <c:v>0.626118715</c:v>
                </c:pt>
                <c:pt idx="3">
                  <c:v>0.651548533333333</c:v>
                </c:pt>
                <c:pt idx="4">
                  <c:v>0.687070228333333</c:v>
                </c:pt>
                <c:pt idx="5">
                  <c:v>0.723880295555556</c:v>
                </c:pt>
                <c:pt idx="6">
                  <c:v>0.720750081666667</c:v>
                </c:pt>
                <c:pt idx="7">
                  <c:v>0.722963886666667</c:v>
                </c:pt>
                <c:pt idx="8">
                  <c:v>0.726234745</c:v>
                </c:pt>
                <c:pt idx="9">
                  <c:v>0.722222222222222</c:v>
                </c:pt>
                <c:pt idx="10">
                  <c:v>0.722222222222222</c:v>
                </c:pt>
                <c:pt idx="11">
                  <c:v>0.716666666666667</c:v>
                </c:pt>
                <c:pt idx="12">
                  <c:v>0.711111111111111</c:v>
                </c:pt>
                <c:pt idx="13">
                  <c:v>0.705555555555556</c:v>
                </c:pt>
                <c:pt idx="14">
                  <c:v>0.694444444444444</c:v>
                </c:pt>
                <c:pt idx="15">
                  <c:v>0.688888888888889</c:v>
                </c:pt>
                <c:pt idx="16">
                  <c:v>0.666666666666667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China!$AA$477</c:f>
              <c:strCache>
                <c:ptCount val="1"/>
                <c:pt idx="0">
                  <c:v>Nonenergy footprint (0 - 1800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China!$AB$477:$AR$477</c:f>
              <c:numCache>
                <c:formatCode>#,##0.000</c:formatCode>
                <c:ptCount val="17"/>
                <c:pt idx="0">
                  <c:v>0.467296783277778</c:v>
                </c:pt>
                <c:pt idx="1">
                  <c:v>0.511242549444445</c:v>
                </c:pt>
                <c:pt idx="2">
                  <c:v>0.546920056555556</c:v>
                </c:pt>
                <c:pt idx="3">
                  <c:v>0.563942019722222</c:v>
                </c:pt>
                <c:pt idx="4">
                  <c:v>0.636157480444444</c:v>
                </c:pt>
                <c:pt idx="5">
                  <c:v>0.727757648777778</c:v>
                </c:pt>
                <c:pt idx="6">
                  <c:v>0.742279200055556</c:v>
                </c:pt>
                <c:pt idx="7">
                  <c:v>0.768066256111111</c:v>
                </c:pt>
                <c:pt idx="8">
                  <c:v>0.748163611666667</c:v>
                </c:pt>
                <c:pt idx="9">
                  <c:v>0.757471482921487</c:v>
                </c:pt>
                <c:pt idx="10">
                  <c:v>0.759545272386943</c:v>
                </c:pt>
                <c:pt idx="11">
                  <c:v>0.755025676184028</c:v>
                </c:pt>
                <c:pt idx="12">
                  <c:v>0.744858674767097</c:v>
                </c:pt>
                <c:pt idx="13">
                  <c:v>0.728400495661917</c:v>
                </c:pt>
                <c:pt idx="14">
                  <c:v>0.706100573269821</c:v>
                </c:pt>
                <c:pt idx="15">
                  <c:v>0.678591679595054</c:v>
                </c:pt>
                <c:pt idx="16">
                  <c:v>0.646478860613192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China!$AA$480</c:f>
              <c:strCache>
                <c:ptCount val="1"/>
                <c:pt idx="0">
                  <c:v>Unused bio-capacity (0 - 1800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China!$AB$480:$AR$480</c:f>
              <c:numCache>
                <c:formatCode>#,##0.000</c:formatCode>
                <c:ptCount val="17"/>
                <c:pt idx="0">
                  <c:v>0.114194521166667</c:v>
                </c:pt>
                <c:pt idx="1">
                  <c:v>0.0958085088888888</c:v>
                </c:pt>
                <c:pt idx="2">
                  <c:v>0.0791986584444445</c:v>
                </c:pt>
                <c:pt idx="3">
                  <c:v>0.0876065136111111</c:v>
                </c:pt>
                <c:pt idx="4">
                  <c:v>0.0509127478888889</c:v>
                </c:pt>
                <c:pt idx="5">
                  <c:v>-0.00387735322222221</c:v>
                </c:pt>
                <c:pt idx="6">
                  <c:v>-0.0215291183888889</c:v>
                </c:pt>
                <c:pt idx="7">
                  <c:v>-0.0451023694444445</c:v>
                </c:pt>
                <c:pt idx="8">
                  <c:v>-0.0219288666666666</c:v>
                </c:pt>
                <c:pt idx="9">
                  <c:v>-0.0352492606992646</c:v>
                </c:pt>
                <c:pt idx="10">
                  <c:v>-0.0373230501647205</c:v>
                </c:pt>
                <c:pt idx="11">
                  <c:v>-0.0383590095173611</c:v>
                </c:pt>
                <c:pt idx="12">
                  <c:v>-0.033747563655986</c:v>
                </c:pt>
                <c:pt idx="13">
                  <c:v>-0.0228449401063612</c:v>
                </c:pt>
                <c:pt idx="14">
                  <c:v>-0.0116561288253764</c:v>
                </c:pt>
                <c:pt idx="15">
                  <c:v>0.0102972092938354</c:v>
                </c:pt>
                <c:pt idx="16">
                  <c:v>0.0201878060534748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China!$AA$481</c:f>
              <c:strCache>
                <c:ptCount val="1"/>
                <c:pt idx="0">
                  <c:v>Unused bio-capacity per person (0 - 0.5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China!$AB$481:$AR$481</c:f>
              <c:numCache>
                <c:formatCode>#,##0.000</c:formatCode>
                <c:ptCount val="17"/>
                <c:pt idx="0">
                  <c:v>0.502056969376016</c:v>
                </c:pt>
                <c:pt idx="1">
                  <c:v>0.375047836018238</c:v>
                </c:pt>
                <c:pt idx="2">
                  <c:v>0.288440770764915</c:v>
                </c:pt>
                <c:pt idx="3">
                  <c:v>0.296890144389462</c:v>
                </c:pt>
                <c:pt idx="4">
                  <c:v>0.159192325727844</c:v>
                </c:pt>
                <c:pt idx="5">
                  <c:v>-0.011436407962764</c:v>
                </c:pt>
                <c:pt idx="6">
                  <c:v>-0.0607246633299552</c:v>
                </c:pt>
                <c:pt idx="7">
                  <c:v>-0.123484990971125</c:v>
                </c:pt>
                <c:pt idx="8">
                  <c:v>-0.0585232763219862</c:v>
                </c:pt>
                <c:pt idx="9">
                  <c:v>-0.0929164805702051</c:v>
                </c:pt>
                <c:pt idx="10">
                  <c:v>-0.098114340655079</c:v>
                </c:pt>
                <c:pt idx="11">
                  <c:v>-0.101441272784517</c:v>
                </c:pt>
                <c:pt idx="12">
                  <c:v>-0.0904643717007538</c:v>
                </c:pt>
                <c:pt idx="13">
                  <c:v>-0.0626222715636373</c:v>
                </c:pt>
                <c:pt idx="14">
                  <c:v>-0.0329607284022243</c:v>
                </c:pt>
                <c:pt idx="15">
                  <c:v>0.0302984237802163</c:v>
                </c:pt>
                <c:pt idx="16">
                  <c:v>0.0623510571831497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China!$AA$483</c:f>
              <c:strCache>
                <c:ptCount val="1"/>
                <c:pt idx="0">
                  <c:v>Total bio-capacity, China (0 - 1800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China!$AB$483:$AR$483</c:f>
              <c:numCache>
                <c:formatCode>#,##0.000</c:formatCode>
                <c:ptCount val="17"/>
                <c:pt idx="9">
                  <c:v>0.722222222222222</c:v>
                </c:pt>
                <c:pt idx="10">
                  <c:v>0.707777777777778</c:v>
                </c:pt>
                <c:pt idx="11">
                  <c:v>0.702333333333333</c:v>
                </c:pt>
                <c:pt idx="12">
                  <c:v>0.696888888888889</c:v>
                </c:pt>
                <c:pt idx="13">
                  <c:v>0.691444444444444</c:v>
                </c:pt>
                <c:pt idx="14">
                  <c:v>0.680555555555556</c:v>
                </c:pt>
                <c:pt idx="15">
                  <c:v>0.675111111111111</c:v>
                </c:pt>
                <c:pt idx="16">
                  <c:v>0.653333333333333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China!$AA$485</c:f>
              <c:strCache>
                <c:ptCount val="1"/>
                <c:pt idx="0">
                  <c:v>Nonenergy footprint (0 - 1800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China!$AB$485:$AR$485</c:f>
              <c:numCache>
                <c:formatCode>#,##0.000</c:formatCode>
                <c:ptCount val="17"/>
                <c:pt idx="9">
                  <c:v>0.757471482921487</c:v>
                </c:pt>
                <c:pt idx="10">
                  <c:v>0.759503796597634</c:v>
                </c:pt>
                <c:pt idx="11">
                  <c:v>0.755074834180257</c:v>
                </c:pt>
                <c:pt idx="12">
                  <c:v>0.745110524080443</c:v>
                </c:pt>
                <c:pt idx="13">
                  <c:v>0.728976055064479</c:v>
                </c:pt>
                <c:pt idx="14">
                  <c:v>0.707104862829657</c:v>
                </c:pt>
                <c:pt idx="15">
                  <c:v>0.680107803543263</c:v>
                </c:pt>
                <c:pt idx="16">
                  <c:v>0.648566928741435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China!$AA$488</c:f>
              <c:strCache>
                <c:ptCount val="1"/>
                <c:pt idx="0">
                  <c:v>Unused bio-capacity (0 - 1800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China!$AB$488:$AR$488</c:f>
              <c:numCache>
                <c:formatCode>#,##0.000</c:formatCode>
                <c:ptCount val="17"/>
                <c:pt idx="9">
                  <c:v>-0.0352492606992646</c:v>
                </c:pt>
                <c:pt idx="10">
                  <c:v>-0.0517260188198558</c:v>
                </c:pt>
                <c:pt idx="11">
                  <c:v>-0.0527415008469232</c:v>
                </c:pt>
                <c:pt idx="12">
                  <c:v>-0.0482216351915539</c:v>
                </c:pt>
                <c:pt idx="13">
                  <c:v>-0.0375316106200349</c:v>
                </c:pt>
                <c:pt idx="14">
                  <c:v>-0.0265493072741016</c:v>
                </c:pt>
                <c:pt idx="15">
                  <c:v>-0.00499669243215193</c:v>
                </c:pt>
                <c:pt idx="16">
                  <c:v>0.00476640459189816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China!$AA$489</c:f>
              <c:strCache>
                <c:ptCount val="1"/>
                <c:pt idx="0">
                  <c:v>Unused bio-capacity per person (0 - 0.5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China!$AB$489:$AR$489</c:f>
              <c:numCache>
                <c:formatCode>#,##0.000</c:formatCode>
                <c:ptCount val="17"/>
                <c:pt idx="9">
                  <c:v>-0.0929164805702051</c:v>
                </c:pt>
                <c:pt idx="10">
                  <c:v>-0.13598409972701</c:v>
                </c:pt>
                <c:pt idx="11">
                  <c:v>-0.139467017721614</c:v>
                </c:pt>
                <c:pt idx="12">
                  <c:v>-0.129220156219016</c:v>
                </c:pt>
                <c:pt idx="13">
                  <c:v>-0.102799964556472</c:v>
                </c:pt>
                <c:pt idx="14">
                  <c:v>-0.0749684265761861</c:v>
                </c:pt>
                <c:pt idx="15">
                  <c:v>-0.0146694518401183</c:v>
                </c:pt>
                <c:pt idx="16">
                  <c:v>0.014673885658477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2296"/>
        <c:axId val="81907511"/>
      </c:lineChart>
      <c:catAx>
        <c:axId val="333229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907511"/>
        <c:crosses val="autoZero"/>
        <c:auto val="1"/>
        <c:lblAlgn val="ctr"/>
        <c:lblOffset val="100"/>
        <c:noMultiLvlLbl val="0"/>
      </c:catAx>
      <c:valAx>
        <c:axId val="8190751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3229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6"/>
          <c:y val="0.0654039109572358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China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411824668705"/>
          <c:w val="0.694223070990488"/>
          <c:h val="0.806320081549439"/>
        </c:manualLayout>
      </c:layout>
      <c:lineChart>
        <c:grouping val="standard"/>
        <c:varyColors val="0"/>
        <c:ser>
          <c:idx val="0"/>
          <c:order val="0"/>
          <c:tx>
            <c:strRef>
              <c:f>China!$A$242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China!$B$242:$R$242</c:f>
              <c:numCache>
                <c:formatCode>#,##0</c:formatCode>
                <c:ptCount val="17"/>
                <c:pt idx="0">
                  <c:v>32.085</c:v>
                </c:pt>
                <c:pt idx="1">
                  <c:v>72.92</c:v>
                </c:pt>
                <c:pt idx="2">
                  <c:v>91.85</c:v>
                </c:pt>
                <c:pt idx="3">
                  <c:v>94.979</c:v>
                </c:pt>
                <c:pt idx="4">
                  <c:v>119.139</c:v>
                </c:pt>
                <c:pt idx="5">
                  <c:v>169.7677</c:v>
                </c:pt>
                <c:pt idx="6">
                  <c:v>233.93725</c:v>
                </c:pt>
                <c:pt idx="7">
                  <c:v>341.67278863</c:v>
                </c:pt>
                <c:pt idx="8">
                  <c:v>444.65380674551</c:v>
                </c:pt>
                <c:pt idx="9">
                  <c:v>580.80737274548</c:v>
                </c:pt>
                <c:pt idx="10">
                  <c:v>664.799854443488</c:v>
                </c:pt>
                <c:pt idx="11">
                  <c:v>734.102352059475</c:v>
                </c:pt>
                <c:pt idx="12">
                  <c:v>697.179939549277</c:v>
                </c:pt>
                <c:pt idx="13">
                  <c:v>671.31259956456</c:v>
                </c:pt>
                <c:pt idx="14">
                  <c:v>608.311069523859</c:v>
                </c:pt>
                <c:pt idx="15">
                  <c:v>534.690020095174</c:v>
                </c:pt>
                <c:pt idx="16">
                  <c:v>386.54702252471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China!$A$243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China!$B$243:$R$243</c:f>
              <c:numCache>
                <c:formatCode>#,##0</c:formatCode>
                <c:ptCount val="17"/>
                <c:pt idx="0">
                  <c:v>2.583</c:v>
                </c:pt>
                <c:pt idx="1">
                  <c:v>7.965</c:v>
                </c:pt>
                <c:pt idx="2">
                  <c:v>12.843</c:v>
                </c:pt>
                <c:pt idx="3">
                  <c:v>11.637</c:v>
                </c:pt>
                <c:pt idx="4">
                  <c:v>13.725</c:v>
                </c:pt>
                <c:pt idx="5">
                  <c:v>15.9669</c:v>
                </c:pt>
                <c:pt idx="6">
                  <c:v>24.75135</c:v>
                </c:pt>
                <c:pt idx="7">
                  <c:v>44.49633588</c:v>
                </c:pt>
                <c:pt idx="8">
                  <c:v>101.5833690036</c:v>
                </c:pt>
                <c:pt idx="9">
                  <c:v>204.990837439581</c:v>
                </c:pt>
                <c:pt idx="10">
                  <c:v>398.879912666093</c:v>
                </c:pt>
                <c:pt idx="11">
                  <c:v>550.576764044606</c:v>
                </c:pt>
                <c:pt idx="12">
                  <c:v>697.179939549277</c:v>
                </c:pt>
                <c:pt idx="13">
                  <c:v>793.369435849025</c:v>
                </c:pt>
                <c:pt idx="14">
                  <c:v>821.219943857209</c:v>
                </c:pt>
                <c:pt idx="15">
                  <c:v>831.740031259159</c:v>
                </c:pt>
                <c:pt idx="16">
                  <c:v>717.873041831605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China!$A$244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China!$B$244:$R$244</c:f>
              <c:numCache>
                <c:formatCode>#,##0</c:formatCode>
                <c:ptCount val="17"/>
                <c:pt idx="0">
                  <c:v>162.900256</c:v>
                </c:pt>
                <c:pt idx="1">
                  <c:v>225.24395055</c:v>
                </c:pt>
                <c:pt idx="2">
                  <c:v>304.885273</c:v>
                </c:pt>
                <c:pt idx="3">
                  <c:v>403.19539393</c:v>
                </c:pt>
                <c:pt idx="4">
                  <c:v>530.80765383</c:v>
                </c:pt>
                <c:pt idx="5">
                  <c:v>695.759150085</c:v>
                </c:pt>
                <c:pt idx="6">
                  <c:v>740.82752557888</c:v>
                </c:pt>
                <c:pt idx="7">
                  <c:v>1225.38021897433</c:v>
                </c:pt>
                <c:pt idx="8">
                  <c:v>1719.8738549795</c:v>
                </c:pt>
                <c:pt idx="9">
                  <c:v>2254.89921183539</c:v>
                </c:pt>
                <c:pt idx="10">
                  <c:v>2747.83939836642</c:v>
                </c:pt>
                <c:pt idx="11">
                  <c:v>3015.06323167284</c:v>
                </c:pt>
                <c:pt idx="12">
                  <c:v>3195.40805626752</c:v>
                </c:pt>
                <c:pt idx="13">
                  <c:v>3081.93511618275</c:v>
                </c:pt>
                <c:pt idx="14">
                  <c:v>2871.22824815261</c:v>
                </c:pt>
                <c:pt idx="15">
                  <c:v>2548.689095787</c:v>
                </c:pt>
                <c:pt idx="16">
                  <c:v>2203.31802839085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China!$A$245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China!$B$245:$R$245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2.904</c:v>
                </c:pt>
                <c:pt idx="6">
                  <c:v>3.788</c:v>
                </c:pt>
                <c:pt idx="7">
                  <c:v>12.0124903833099</c:v>
                </c:pt>
                <c:pt idx="8">
                  <c:v>16.7172014300583</c:v>
                </c:pt>
                <c:pt idx="9">
                  <c:v>34.1651395732635</c:v>
                </c:pt>
                <c:pt idx="10">
                  <c:v>88.6399805924651</c:v>
                </c:pt>
                <c:pt idx="11">
                  <c:v>157.307646869887</c:v>
                </c:pt>
                <c:pt idx="12">
                  <c:v>174.294984887319</c:v>
                </c:pt>
                <c:pt idx="13">
                  <c:v>213.599463497814</c:v>
                </c:pt>
                <c:pt idx="14">
                  <c:v>200.742652942873</c:v>
                </c:pt>
                <c:pt idx="15">
                  <c:v>184.171006921671</c:v>
                </c:pt>
                <c:pt idx="16">
                  <c:v>171.185109975229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China!$A$249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China!$B$249:$R$249</c:f>
              <c:numCache>
                <c:formatCode>#,##0</c:formatCode>
                <c:ptCount val="17"/>
                <c:pt idx="0">
                  <c:v>5.439</c:v>
                </c:pt>
                <c:pt idx="1">
                  <c:v>9.868</c:v>
                </c:pt>
                <c:pt idx="2">
                  <c:v>13.174</c:v>
                </c:pt>
                <c:pt idx="3">
                  <c:v>20.905</c:v>
                </c:pt>
                <c:pt idx="4">
                  <c:v>28.6799142426665</c:v>
                </c:pt>
                <c:pt idx="5">
                  <c:v>43.9277336130483</c:v>
                </c:pt>
                <c:pt idx="6">
                  <c:v>51.0721578186863</c:v>
                </c:pt>
                <c:pt idx="7">
                  <c:v>91.4576591917571</c:v>
                </c:pt>
                <c:pt idx="8">
                  <c:v>176.658114720715</c:v>
                </c:pt>
                <c:pt idx="9">
                  <c:v>341.651395732635</c:v>
                </c:pt>
                <c:pt idx="10">
                  <c:v>531.839883554791</c:v>
                </c:pt>
                <c:pt idx="11">
                  <c:v>786.538234349437</c:v>
                </c:pt>
                <c:pt idx="12">
                  <c:v>1045.76990932392</c:v>
                </c:pt>
                <c:pt idx="13">
                  <c:v>1342.62519912912</c:v>
                </c:pt>
                <c:pt idx="14">
                  <c:v>1581.60878076203</c:v>
                </c:pt>
                <c:pt idx="15">
                  <c:v>1841.71006921671</c:v>
                </c:pt>
                <c:pt idx="16">
                  <c:v>2043.17711905918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China!$U$261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China!$B$261:$R$261</c:f>
              <c:numCache>
                <c:formatCode>#,##0</c:formatCode>
                <c:ptCount val="17"/>
                <c:pt idx="9">
                  <c:v>580.80737274548</c:v>
                </c:pt>
                <c:pt idx="10">
                  <c:v>630.430232536299</c:v>
                </c:pt>
                <c:pt idx="11">
                  <c:v>689.140186561428</c:v>
                </c:pt>
                <c:pt idx="12">
                  <c:v>648.859795756309</c:v>
                </c:pt>
                <c:pt idx="13">
                  <c:v>620.051306063941</c:v>
                </c:pt>
                <c:pt idx="14">
                  <c:v>558.580832294354</c:v>
                </c:pt>
                <c:pt idx="15">
                  <c:v>489.042501536943</c:v>
                </c:pt>
                <c:pt idx="16">
                  <c:v>352.78320610249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China!$U$262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China!$B$262:$R$262</c:f>
              <c:numCache>
                <c:formatCode>#,##0</c:formatCode>
                <c:ptCount val="17"/>
                <c:pt idx="9">
                  <c:v>204.990837439581</c:v>
                </c:pt>
                <c:pt idx="10">
                  <c:v>378.25813952178</c:v>
                </c:pt>
                <c:pt idx="11">
                  <c:v>516.855139921071</c:v>
                </c:pt>
                <c:pt idx="12">
                  <c:v>648.859795756309</c:v>
                </c:pt>
                <c:pt idx="13">
                  <c:v>732.787907166476</c:v>
                </c:pt>
                <c:pt idx="14">
                  <c:v>754.084123597378</c:v>
                </c:pt>
                <c:pt idx="15">
                  <c:v>760.732780168578</c:v>
                </c:pt>
                <c:pt idx="16">
                  <c:v>655.168811333196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China!$U$265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China!$B$265:$R$265</c:f>
              <c:numCache>
                <c:formatCode>#,##0</c:formatCode>
                <c:ptCount val="17"/>
                <c:pt idx="9">
                  <c:v>341.651395732635</c:v>
                </c:pt>
                <c:pt idx="10">
                  <c:v>504.344186029039</c:v>
                </c:pt>
                <c:pt idx="11">
                  <c:v>738.36448560153</c:v>
                </c:pt>
                <c:pt idx="12">
                  <c:v>973.289693634464</c:v>
                </c:pt>
                <c:pt idx="13">
                  <c:v>1240.10261212788</c:v>
                </c:pt>
                <c:pt idx="14">
                  <c:v>1452.31016396532</c:v>
                </c:pt>
                <c:pt idx="15">
                  <c:v>1684.47972751614</c:v>
                </c:pt>
                <c:pt idx="16">
                  <c:v>1864.71123225602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China!$U$264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China!$B$264:$R$264</c:f>
              <c:numCache>
                <c:formatCode>#,##0</c:formatCode>
                <c:ptCount val="17"/>
                <c:pt idx="9">
                  <c:v>34.1651395732635</c:v>
                </c:pt>
                <c:pt idx="10">
                  <c:v>84.0573643381732</c:v>
                </c:pt>
                <c:pt idx="11">
                  <c:v>147.672897120306</c:v>
                </c:pt>
                <c:pt idx="12">
                  <c:v>162.214948939077</c:v>
                </c:pt>
                <c:pt idx="13">
                  <c:v>197.289051929436</c:v>
                </c:pt>
                <c:pt idx="14">
                  <c:v>184.331674657137</c:v>
                </c:pt>
                <c:pt idx="15">
                  <c:v>168.447972751614</c:v>
                </c:pt>
                <c:pt idx="16">
                  <c:v>156.232562702531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China!$U$263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China!$B$240:$R$240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China!$B$263:$R$263</c:f>
              <c:numCache>
                <c:formatCode>#,##0</c:formatCode>
                <c:ptCount val="17"/>
                <c:pt idx="9">
                  <c:v>2254.89921183539</c:v>
                </c:pt>
                <c:pt idx="10">
                  <c:v>2691.55111523661</c:v>
                </c:pt>
                <c:pt idx="11">
                  <c:v>2930.85494794893</c:v>
                </c:pt>
                <c:pt idx="12">
                  <c:v>3084.29103595048</c:v>
                </c:pt>
                <c:pt idx="13">
                  <c:v>2961.63652590282</c:v>
                </c:pt>
                <c:pt idx="14">
                  <c:v>2750.49761665269</c:v>
                </c:pt>
                <c:pt idx="15">
                  <c:v>2441.99658193765</c:v>
                </c:pt>
                <c:pt idx="16">
                  <c:v>2113.7165214613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316001"/>
        <c:axId val="45196500"/>
      </c:lineChart>
      <c:catAx>
        <c:axId val="4931600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96500"/>
        <c:crosses val="autoZero"/>
        <c:auto val="1"/>
        <c:lblAlgn val="ctr"/>
        <c:lblOffset val="100"/>
        <c:noMultiLvlLbl val="0"/>
      </c:catAx>
      <c:valAx>
        <c:axId val="45196500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316001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8"/>
          <c:y val="0.111708569323571"/>
          <c:w val="0.247357948743892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49679685886"/>
          <c:w val="0.693587842846553"/>
          <c:h val="0.806364951436247"/>
        </c:manualLayout>
      </c:layout>
      <c:lineChart>
        <c:grouping val="standard"/>
        <c:varyColors val="0"/>
        <c:ser>
          <c:idx val="0"/>
          <c:order val="0"/>
          <c:tx>
            <c:strRef>
              <c:f>OECD!$AA$28</c:f>
              <c:strCache>
                <c:ptCount val="1"/>
                <c:pt idx="0">
                  <c:v>Population, OECD-less-US (0 - 0.75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OECD!$AB$28:$AR$28</c:f>
              <c:numCache>
                <c:formatCode>#,##0.000</c:formatCode>
                <c:ptCount val="17"/>
                <c:pt idx="0">
                  <c:v>0.793832302666667</c:v>
                </c:pt>
                <c:pt idx="1">
                  <c:v>0.828688596</c:v>
                </c:pt>
                <c:pt idx="2">
                  <c:v>0.854918712</c:v>
                </c:pt>
                <c:pt idx="3">
                  <c:v>0.877077073333333</c:v>
                </c:pt>
                <c:pt idx="4">
                  <c:v>0.898296312</c:v>
                </c:pt>
                <c:pt idx="5">
                  <c:v>0.921382116</c:v>
                </c:pt>
                <c:pt idx="6">
                  <c:v>0.937084858666667</c:v>
                </c:pt>
                <c:pt idx="7">
                  <c:v>0.959372193333333</c:v>
                </c:pt>
                <c:pt idx="8">
                  <c:v>0.982849482666667</c:v>
                </c:pt>
                <c:pt idx="9">
                  <c:v>0.989004023173334</c:v>
                </c:pt>
                <c:pt idx="10">
                  <c:v>0.987686641860406</c:v>
                </c:pt>
                <c:pt idx="11">
                  <c:v>0.979664136559052</c:v>
                </c:pt>
                <c:pt idx="12">
                  <c:v>0.96726596491922</c:v>
                </c:pt>
                <c:pt idx="13">
                  <c:v>0.952221020097212</c:v>
                </c:pt>
                <c:pt idx="14">
                  <c:v>0.933941936451219</c:v>
                </c:pt>
                <c:pt idx="15">
                  <c:v>0.91172466256966</c:v>
                </c:pt>
                <c:pt idx="16">
                  <c:v>0.885189722139888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OECD!$AA$31</c:f>
              <c:strCache>
                <c:ptCount val="1"/>
                <c:pt idx="0">
                  <c:v>Crude birth rate (0 - 2 %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OECD!$AB$31:$AR$31</c:f>
              <c:numCache>
                <c:formatCode>#,##0.000</c:formatCode>
                <c:ptCount val="17"/>
                <c:pt idx="0">
                  <c:v>0.873703086915787</c:v>
                </c:pt>
                <c:pt idx="1">
                  <c:v>0.759399404920333</c:v>
                </c:pt>
                <c:pt idx="2">
                  <c:v>0.700345539596362</c:v>
                </c:pt>
                <c:pt idx="3">
                  <c:v>0.647426203767832</c:v>
                </c:pt>
                <c:pt idx="4">
                  <c:v>0.608440050384325</c:v>
                </c:pt>
                <c:pt idx="5">
                  <c:v>0.557374815235362</c:v>
                </c:pt>
                <c:pt idx="6">
                  <c:v>0.528103207967886</c:v>
                </c:pt>
                <c:pt idx="7">
                  <c:v>0.534623041572555</c:v>
                </c:pt>
                <c:pt idx="8">
                  <c:v>0.525</c:v>
                </c:pt>
                <c:pt idx="9">
                  <c:v>0.475</c:v>
                </c:pt>
                <c:pt idx="10">
                  <c:v>0.435</c:v>
                </c:pt>
                <c:pt idx="11">
                  <c:v>0.42</c:v>
                </c:pt>
                <c:pt idx="12">
                  <c:v>0.425</c:v>
                </c:pt>
                <c:pt idx="13">
                  <c:v>0.425</c:v>
                </c:pt>
                <c:pt idx="14">
                  <c:v>0.415</c:v>
                </c:pt>
                <c:pt idx="15">
                  <c:v>0.395</c:v>
                </c:pt>
                <c:pt idx="16">
                  <c:v>0.385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OECD!$AB$32:$AR$32</c:f>
              <c:numCache>
                <c:formatCode>#,##0.000</c:formatCode>
                <c:ptCount val="17"/>
                <c:pt idx="0">
                  <c:v>0.487939663535352</c:v>
                </c:pt>
                <c:pt idx="1">
                  <c:v>0.473722507941934</c:v>
                </c:pt>
                <c:pt idx="2">
                  <c:v>0.465817012085706</c:v>
                </c:pt>
                <c:pt idx="3">
                  <c:v>0.458642444961564</c:v>
                </c:pt>
                <c:pt idx="4">
                  <c:v>0.45695655340358</c:v>
                </c:pt>
                <c:pt idx="5">
                  <c:v>0.452971182551873</c:v>
                </c:pt>
                <c:pt idx="6">
                  <c:v>0.444637241561577</c:v>
                </c:pt>
                <c:pt idx="7">
                  <c:v>0.445984866950734</c:v>
                </c:pt>
                <c:pt idx="8">
                  <c:v>0.462380640523225</c:v>
                </c:pt>
                <c:pt idx="9">
                  <c:v>0.488320282648597</c:v>
                </c:pt>
                <c:pt idx="10">
                  <c:v>0.516225208090732</c:v>
                </c:pt>
                <c:pt idx="11">
                  <c:v>0.546555328271782</c:v>
                </c:pt>
                <c:pt idx="12">
                  <c:v>0.58054093049541</c:v>
                </c:pt>
                <c:pt idx="13">
                  <c:v>0.616962614353202</c:v>
                </c:pt>
                <c:pt idx="14">
                  <c:v>0.652887099983745</c:v>
                </c:pt>
                <c:pt idx="15">
                  <c:v>0.686041160990258</c:v>
                </c:pt>
                <c:pt idx="16">
                  <c:v>0.71422568029608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OECD!$AA$38</c:f>
              <c:strCache>
                <c:ptCount val="1"/>
                <c:pt idx="0">
                  <c:v>Population, OECD-less-US Your forecast (0 - 0.75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OECD!$AB$38:$AR$38</c:f>
              <c:numCache>
                <c:formatCode>#,##0.000</c:formatCode>
                <c:ptCount val="17"/>
                <c:pt idx="9">
                  <c:v>0.989004023173334</c:v>
                </c:pt>
                <c:pt idx="10">
                  <c:v>0.987712989486665</c:v>
                </c:pt>
                <c:pt idx="11">
                  <c:v>0.979850724562378</c:v>
                </c:pt>
                <c:pt idx="12">
                  <c:v>0.967698202212153</c:v>
                </c:pt>
                <c:pt idx="13">
                  <c:v>0.952947567688693</c:v>
                </c:pt>
                <c:pt idx="14">
                  <c:v>0.935020397658059</c:v>
                </c:pt>
                <c:pt idx="15">
                  <c:v>0.913222327157255</c:v>
                </c:pt>
                <c:pt idx="16">
                  <c:v>0.887175369096124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OECD!$AA$41</c:f>
              <c:strCache>
                <c:ptCount val="1"/>
                <c:pt idx="0">
                  <c:v>Crude birth rate Your forecast (0 - 2 %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OECD!$AB$41:$AR$41</c:f>
              <c:numCache>
                <c:formatCode>#,##0.000</c:formatCode>
                <c:ptCount val="17"/>
                <c:pt idx="8">
                  <c:v>0.525</c:v>
                </c:pt>
                <c:pt idx="9">
                  <c:v>0.4655</c:v>
                </c:pt>
                <c:pt idx="10">
                  <c:v>0.4263</c:v>
                </c:pt>
                <c:pt idx="11">
                  <c:v>0.4116</c:v>
                </c:pt>
                <c:pt idx="12">
                  <c:v>0.4165</c:v>
                </c:pt>
                <c:pt idx="13">
                  <c:v>0.4165</c:v>
                </c:pt>
                <c:pt idx="14">
                  <c:v>0.4067</c:v>
                </c:pt>
                <c:pt idx="15">
                  <c:v>0.3871</c:v>
                </c:pt>
                <c:pt idx="16">
                  <c:v>0.3773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OECD!$AB$42:$AR$42</c:f>
              <c:numCache>
                <c:formatCode>#,##0.000</c:formatCode>
                <c:ptCount val="17"/>
                <c:pt idx="8">
                  <c:v>0.462380640523225</c:v>
                </c:pt>
                <c:pt idx="9">
                  <c:v>0.478553876995625</c:v>
                </c:pt>
                <c:pt idx="10">
                  <c:v>0.505900703928918</c:v>
                </c:pt>
                <c:pt idx="11">
                  <c:v>0.535624221706346</c:v>
                </c:pt>
                <c:pt idx="12">
                  <c:v>0.568930111885502</c:v>
                </c:pt>
                <c:pt idx="13">
                  <c:v>0.604623362066138</c:v>
                </c:pt>
                <c:pt idx="14">
                  <c:v>0.639829357984071</c:v>
                </c:pt>
                <c:pt idx="15">
                  <c:v>0.672320337770453</c:v>
                </c:pt>
                <c:pt idx="16">
                  <c:v>0.699941166690158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OECD!$AA$36</c:f>
              <c:strCache>
                <c:ptCount val="1"/>
                <c:pt idx="0">
                  <c:v>UN Low Birthrate (0 - 2 %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OECD!$AB$36:$AR$36</c:f>
              <c:numCache>
                <c:formatCode>#,##0.000</c:formatCode>
                <c:ptCount val="17"/>
                <c:pt idx="8">
                  <c:v>0.447559964936347</c:v>
                </c:pt>
                <c:pt idx="9">
                  <c:v>0.399366926374136</c:v>
                </c:pt>
                <c:pt idx="10">
                  <c:v>0.369457115451727</c:v>
                </c:pt>
                <c:pt idx="11">
                  <c:v>0.371034557133451</c:v>
                </c:pt>
                <c:pt idx="12">
                  <c:v>0.373049513762975</c:v>
                </c:pt>
                <c:pt idx="13">
                  <c:v>0.373047166350062</c:v>
                </c:pt>
                <c:pt idx="14">
                  <c:v>0.363351797386283</c:v>
                </c:pt>
                <c:pt idx="15">
                  <c:v>0.34696333785291</c:v>
                </c:pt>
                <c:pt idx="16">
                  <c:v>0.335701193546494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OECD!$AB$37:$AR$37</c:f>
              <c:numCache>
                <c:formatCode>#,##0.000</c:formatCode>
                <c:ptCount val="17"/>
                <c:pt idx="8">
                  <c:v>0.462380640523225</c:v>
                </c:pt>
                <c:pt idx="9">
                  <c:v>0.488320282648597</c:v>
                </c:pt>
                <c:pt idx="10">
                  <c:v>0.516225208090732</c:v>
                </c:pt>
                <c:pt idx="11">
                  <c:v>0.546555328271782</c:v>
                </c:pt>
                <c:pt idx="12">
                  <c:v>0.58054093049541</c:v>
                </c:pt>
                <c:pt idx="13">
                  <c:v>0.616962614353202</c:v>
                </c:pt>
                <c:pt idx="14">
                  <c:v>0.652887099983745</c:v>
                </c:pt>
                <c:pt idx="15">
                  <c:v>0.686041160990258</c:v>
                </c:pt>
                <c:pt idx="16">
                  <c:v>0.71422568029608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324079"/>
        <c:axId val="65488655"/>
      </c:lineChart>
      <c:catAx>
        <c:axId val="5132407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88655"/>
        <c:crosses val="autoZero"/>
        <c:auto val="1"/>
        <c:lblAlgn val="ctr"/>
        <c:lblOffset val="100"/>
        <c:noMultiLvlLbl val="0"/>
      </c:catAx>
      <c:valAx>
        <c:axId val="6548865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32407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2601435477"/>
          <c:y val="0.115966544497698"/>
          <c:w val="0.691775303940237"/>
          <c:h val="0.807067004980735"/>
        </c:manualLayout>
      </c:layout>
      <c:lineChart>
        <c:grouping val="standard"/>
        <c:varyColors val="0"/>
        <c:ser>
          <c:idx val="0"/>
          <c:order val="0"/>
          <c:tx>
            <c:strRef>
              <c:f>OECD!$AA$505</c:f>
              <c:strCache>
                <c:ptCount val="1"/>
                <c:pt idx="0">
                  <c:v>GDP (0 - 30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OECD!$AB$505:$AR$505</c:f>
              <c:numCache>
                <c:formatCode>#,##0.000</c:formatCode>
                <c:ptCount val="17"/>
                <c:pt idx="0">
                  <c:v>0.268671745671424</c:v>
                </c:pt>
                <c:pt idx="1">
                  <c:v>0.321472370537086</c:v>
                </c:pt>
                <c:pt idx="2">
                  <c:v>0.381884086805278</c:v>
                </c:pt>
                <c:pt idx="3">
                  <c:v>0.420556070270866</c:v>
                </c:pt>
                <c:pt idx="4">
                  <c:v>0.515085987945385</c:v>
                </c:pt>
                <c:pt idx="5">
                  <c:v>0.565234324711332</c:v>
                </c:pt>
                <c:pt idx="6">
                  <c:v>0.645925266104747</c:v>
                </c:pt>
                <c:pt idx="7">
                  <c:v>0.714847646288005</c:v>
                </c:pt>
                <c:pt idx="8">
                  <c:v>0.734038082185543</c:v>
                </c:pt>
                <c:pt idx="9">
                  <c:v>0.778803617142477</c:v>
                </c:pt>
                <c:pt idx="10">
                  <c:v>0.816942323172263</c:v>
                </c:pt>
                <c:pt idx="11">
                  <c:v>0.848745681776886</c:v>
                </c:pt>
                <c:pt idx="12">
                  <c:v>0.859028479471921</c:v>
                </c:pt>
                <c:pt idx="13">
                  <c:v>0.853943896222242</c:v>
                </c:pt>
                <c:pt idx="14">
                  <c:v>0.837571515270781</c:v>
                </c:pt>
                <c:pt idx="15">
                  <c:v>0.818128145335466</c:v>
                </c:pt>
                <c:pt idx="16">
                  <c:v>0.793755649645277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OECD!$AA$504</c:f>
              <c:strCache>
                <c:ptCount val="1"/>
                <c:pt idx="0">
                  <c:v>Population (0 - 0.8G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OECD!$AB$504:$AR$504</c:f>
              <c:numCache>
                <c:formatCode>#,##0.000</c:formatCode>
                <c:ptCount val="17"/>
                <c:pt idx="0">
                  <c:v>0.74421778375</c:v>
                </c:pt>
                <c:pt idx="1">
                  <c:v>0.77689555875</c:v>
                </c:pt>
                <c:pt idx="2">
                  <c:v>0.8014862925</c:v>
                </c:pt>
                <c:pt idx="3">
                  <c:v>0.82225975625</c:v>
                </c:pt>
                <c:pt idx="4">
                  <c:v>0.8421527925</c:v>
                </c:pt>
                <c:pt idx="5">
                  <c:v>0.86379573375</c:v>
                </c:pt>
                <c:pt idx="6">
                  <c:v>0.878517055</c:v>
                </c:pt>
                <c:pt idx="7">
                  <c:v>0.89941143125</c:v>
                </c:pt>
                <c:pt idx="8">
                  <c:v>0.92142139</c:v>
                </c:pt>
                <c:pt idx="9">
                  <c:v>0.927191271725</c:v>
                </c:pt>
                <c:pt idx="10">
                  <c:v>0.925956226744131</c:v>
                </c:pt>
                <c:pt idx="11">
                  <c:v>0.918435128024111</c:v>
                </c:pt>
                <c:pt idx="12">
                  <c:v>0.906811842111768</c:v>
                </c:pt>
                <c:pt idx="13">
                  <c:v>0.892707206341136</c:v>
                </c:pt>
                <c:pt idx="14">
                  <c:v>0.875570565423017</c:v>
                </c:pt>
                <c:pt idx="15">
                  <c:v>0.854741871159056</c:v>
                </c:pt>
                <c:pt idx="16">
                  <c:v>0.829865364506145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OECD!$AA$508</c:f>
              <c:strCache>
                <c:ptCount val="1"/>
                <c:pt idx="0">
                  <c:v>Consumption (0 - 30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OECD!$AB$508:$AR$508</c:f>
              <c:numCache>
                <c:formatCode>#,##0.000</c:formatCode>
                <c:ptCount val="17"/>
                <c:pt idx="0">
                  <c:v>0.199402249648116</c:v>
                </c:pt>
                <c:pt idx="1">
                  <c:v>0.248840682693402</c:v>
                </c:pt>
                <c:pt idx="2">
                  <c:v>0.294798779396855</c:v>
                </c:pt>
                <c:pt idx="3">
                  <c:v>0.331675072290774</c:v>
                </c:pt>
                <c:pt idx="4">
                  <c:v>0.388555632000824</c:v>
                </c:pt>
                <c:pt idx="5">
                  <c:v>0.432939326072491</c:v>
                </c:pt>
                <c:pt idx="6">
                  <c:v>0.492030075352317</c:v>
                </c:pt>
                <c:pt idx="7">
                  <c:v>0.547804033804208</c:v>
                </c:pt>
                <c:pt idx="8">
                  <c:v>0.579476168360083</c:v>
                </c:pt>
                <c:pt idx="9">
                  <c:v>0.607137451825799</c:v>
                </c:pt>
                <c:pt idx="10">
                  <c:v>0.617247154229079</c:v>
                </c:pt>
                <c:pt idx="11">
                  <c:v>0.625880647866466</c:v>
                </c:pt>
                <c:pt idx="12">
                  <c:v>0.618770041943199</c:v>
                </c:pt>
                <c:pt idx="13">
                  <c:v>0.601163972969553</c:v>
                </c:pt>
                <c:pt idx="14">
                  <c:v>0.576449378081645</c:v>
                </c:pt>
                <c:pt idx="15">
                  <c:v>0.545633587429806</c:v>
                </c:pt>
                <c:pt idx="16">
                  <c:v>0.510342761921501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OECD!$AA$507</c:f>
              <c:strCache>
                <c:ptCount val="1"/>
                <c:pt idx="0">
                  <c:v>CO2 Emissions (0 - 7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OECD!$AB$507:$AR$507</c:f>
              <c:numCache>
                <c:formatCode>#,##0.000</c:formatCode>
                <c:ptCount val="17"/>
                <c:pt idx="0">
                  <c:v>0.742240714285714</c:v>
                </c:pt>
                <c:pt idx="1">
                  <c:v>0.803020428571429</c:v>
                </c:pt>
                <c:pt idx="2">
                  <c:v>0.893781428571429</c:v>
                </c:pt>
                <c:pt idx="3">
                  <c:v>0.853724666666667</c:v>
                </c:pt>
                <c:pt idx="4">
                  <c:v>0.895548761904762</c:v>
                </c:pt>
                <c:pt idx="5">
                  <c:v>0.925352476190476</c:v>
                </c:pt>
                <c:pt idx="6">
                  <c:v>0.942977095238095</c:v>
                </c:pt>
                <c:pt idx="7">
                  <c:v>0.97795080952381</c:v>
                </c:pt>
                <c:pt idx="8">
                  <c:v>0.969645285714286</c:v>
                </c:pt>
                <c:pt idx="9">
                  <c:v>0.954112010595333</c:v>
                </c:pt>
                <c:pt idx="10">
                  <c:v>0.910707927620665</c:v>
                </c:pt>
                <c:pt idx="11">
                  <c:v>0.866511192149718</c:v>
                </c:pt>
                <c:pt idx="12">
                  <c:v>0.794452206929518</c:v>
                </c:pt>
                <c:pt idx="13">
                  <c:v>0.714580186753862</c:v>
                </c:pt>
                <c:pt idx="14">
                  <c:v>0.619832630153617</c:v>
                </c:pt>
                <c:pt idx="15">
                  <c:v>0.524703473059106</c:v>
                </c:pt>
                <c:pt idx="16">
                  <c:v>0.428831842834387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OECD!$AA$506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OECD!$AB$506:$AR$506</c:f>
              <c:numCache>
                <c:formatCode>#,##0.000</c:formatCode>
                <c:ptCount val="17"/>
                <c:pt idx="0">
                  <c:v>0.153451363139682</c:v>
                </c:pt>
                <c:pt idx="1">
                  <c:v>0.121451363139682</c:v>
                </c:pt>
                <c:pt idx="2">
                  <c:v>0.198118029806349</c:v>
                </c:pt>
                <c:pt idx="3">
                  <c:v>0.176784696473016</c:v>
                </c:pt>
                <c:pt idx="4">
                  <c:v>0.231784696473016</c:v>
                </c:pt>
                <c:pt idx="5">
                  <c:v>0.235784696473016</c:v>
                </c:pt>
                <c:pt idx="6">
                  <c:v>0.237157742182414</c:v>
                </c:pt>
                <c:pt idx="7">
                  <c:v>0.291885077953339</c:v>
                </c:pt>
                <c:pt idx="8">
                  <c:v>0.323311269283295</c:v>
                </c:pt>
                <c:pt idx="9">
                  <c:v>0.363716165224711</c:v>
                </c:pt>
                <c:pt idx="10">
                  <c:v>0.407845457394918</c:v>
                </c:pt>
                <c:pt idx="11">
                  <c:v>0.451553185780843</c:v>
                </c:pt>
                <c:pt idx="12">
                  <c:v>0.494161645571391</c:v>
                </c:pt>
                <c:pt idx="13">
                  <c:v>0.537767728169759</c:v>
                </c:pt>
                <c:pt idx="14">
                  <c:v>0.581482330958049</c:v>
                </c:pt>
                <c:pt idx="15">
                  <c:v>0.62560510635376</c:v>
                </c:pt>
                <c:pt idx="16">
                  <c:v>0.669907410939535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OECD!$AA$511</c:f>
              <c:strCache>
                <c:ptCount val="1"/>
                <c:pt idx="0">
                  <c:v>GDP (0 - 30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OECD!$AB$511:$AR$511</c:f>
              <c:numCache>
                <c:formatCode>#,##0.000</c:formatCode>
                <c:ptCount val="17"/>
                <c:pt idx="9">
                  <c:v>0.778803617142477</c:v>
                </c:pt>
                <c:pt idx="10">
                  <c:v>0.79824876060085</c:v>
                </c:pt>
                <c:pt idx="11">
                  <c:v>0.827162637505751</c:v>
                </c:pt>
                <c:pt idx="12">
                  <c:v>0.835285800652519</c:v>
                </c:pt>
                <c:pt idx="13">
                  <c:v>0.828744939086116</c:v>
                </c:pt>
                <c:pt idx="14">
                  <c:v>0.811576376490617</c:v>
                </c:pt>
                <c:pt idx="15">
                  <c:v>0.791769705457451</c:v>
                </c:pt>
                <c:pt idx="16">
                  <c:v>0.76752184330283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OECD!$AA$510</c:f>
              <c:strCache>
                <c:ptCount val="1"/>
                <c:pt idx="0">
                  <c:v>Population (0 - 0.8G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OECD!$AB$510:$AR$510</c:f>
              <c:numCache>
                <c:formatCode>#,##0.000</c:formatCode>
                <c:ptCount val="17"/>
                <c:pt idx="9">
                  <c:v>0.927191271725</c:v>
                </c:pt>
                <c:pt idx="10">
                  <c:v>0.925980927643749</c:v>
                </c:pt>
                <c:pt idx="11">
                  <c:v>0.918610054277229</c:v>
                </c:pt>
                <c:pt idx="12">
                  <c:v>0.907217064573893</c:v>
                </c:pt>
                <c:pt idx="13">
                  <c:v>0.89338834470815</c:v>
                </c:pt>
                <c:pt idx="14">
                  <c:v>0.87658162280443</c:v>
                </c:pt>
                <c:pt idx="15">
                  <c:v>0.856145931709927</c:v>
                </c:pt>
                <c:pt idx="16">
                  <c:v>0.831726908527616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OECD!$AA$513</c:f>
              <c:strCache>
                <c:ptCount val="1"/>
                <c:pt idx="0">
                  <c:v>Consumption (0 - 30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OECD!$AB$513:$AR$513</c:f>
              <c:numCache>
                <c:formatCode>#,##0.000</c:formatCode>
                <c:ptCount val="17"/>
                <c:pt idx="9">
                  <c:v>0.607137451825799</c:v>
                </c:pt>
                <c:pt idx="10">
                  <c:v>0.603458351473524</c:v>
                </c:pt>
                <c:pt idx="11">
                  <c:v>0.610543928624018</c:v>
                </c:pt>
                <c:pt idx="12">
                  <c:v>0.602486443555297</c:v>
                </c:pt>
                <c:pt idx="13">
                  <c:v>0.584468495514804</c:v>
                </c:pt>
                <c:pt idx="14">
                  <c:v>0.559808337507186</c:v>
                </c:pt>
                <c:pt idx="15">
                  <c:v>0.529590406214186</c:v>
                </c:pt>
                <c:pt idx="16">
                  <c:v>0.495317868969353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OECD!$AA$512</c:f>
              <c:strCache>
                <c:ptCount val="1"/>
                <c:pt idx="0">
                  <c:v>CO2 Emissions (0 - 7000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OECD!$AB$503:$AR$503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OECD!$AB$512:$AR$512</c:f>
              <c:numCache>
                <c:formatCode>#,##0.000</c:formatCode>
                <c:ptCount val="17"/>
                <c:pt idx="9">
                  <c:v>0.954112010595333</c:v>
                </c:pt>
                <c:pt idx="10">
                  <c:v>0.905723253291735</c:v>
                </c:pt>
                <c:pt idx="11">
                  <c:v>0.86158754849355</c:v>
                </c:pt>
                <c:pt idx="12">
                  <c:v>0.790415782234003</c:v>
                </c:pt>
                <c:pt idx="13">
                  <c:v>0.71171943471416</c:v>
                </c:pt>
                <c:pt idx="14">
                  <c:v>0.618909143437671</c:v>
                </c:pt>
                <c:pt idx="15">
                  <c:v>0.526049670237711</c:v>
                </c:pt>
                <c:pt idx="16">
                  <c:v>0.43265210059836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161495"/>
        <c:axId val="59266476"/>
      </c:lineChart>
      <c:catAx>
        <c:axId val="7416149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66476"/>
        <c:crosses val="autoZero"/>
        <c:auto val="1"/>
        <c:lblAlgn val="ctr"/>
        <c:lblOffset val="100"/>
        <c:noMultiLvlLbl val="0"/>
      </c:catAx>
      <c:valAx>
        <c:axId val="5926647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614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8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43481310753"/>
          <c:w val="0.699882249043274"/>
          <c:h val="0.807094899288506"/>
        </c:manualLayout>
      </c:layout>
      <c:lineChart>
        <c:grouping val="standard"/>
        <c:varyColors val="0"/>
        <c:ser>
          <c:idx val="0"/>
          <c:order val="0"/>
          <c:tx>
            <c:strRef>
              <c:f>OECD!$AA$561</c:f>
              <c:strCache>
                <c:ptCount val="1"/>
                <c:pt idx="0">
                  <c:v>GDP per person (0 - 36 000 $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OECD!$AB$561:$AR$561</c:f>
              <c:numCache>
                <c:formatCode>0.000</c:formatCode>
                <c:ptCount val="17"/>
                <c:pt idx="0">
                  <c:v>0.376054439778182</c:v>
                </c:pt>
                <c:pt idx="1">
                  <c:v>0.431032265368575</c:v>
                </c:pt>
                <c:pt idx="2">
                  <c:v>0.496322803618626</c:v>
                </c:pt>
                <c:pt idx="3">
                  <c:v>0.532774754614515</c:v>
                </c:pt>
                <c:pt idx="4">
                  <c:v>0.637114676681162</c:v>
                </c:pt>
                <c:pt idx="5">
                  <c:v>0.681626143661927</c:v>
                </c:pt>
                <c:pt idx="6">
                  <c:v>0.765880201220581</c:v>
                </c:pt>
                <c:pt idx="7">
                  <c:v>0.827911386281192</c:v>
                </c:pt>
                <c:pt idx="8">
                  <c:v>0.829829880850289</c:v>
                </c:pt>
                <c:pt idx="9">
                  <c:v>0.874958374389616</c:v>
                </c:pt>
                <c:pt idx="10">
                  <c:v>0.919030038417707</c:v>
                </c:pt>
                <c:pt idx="11">
                  <c:v>0.962626600624804</c:v>
                </c:pt>
                <c:pt idx="12">
                  <c:v>0.986777290754613</c:v>
                </c:pt>
                <c:pt idx="13">
                  <c:v>0.996435209192484</c:v>
                </c:pt>
                <c:pt idx="14">
                  <c:v>0.99645918086059</c:v>
                </c:pt>
                <c:pt idx="15">
                  <c:v>0.997045829639941</c:v>
                </c:pt>
                <c:pt idx="16">
                  <c:v>0.996340897063319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OECD!$AA$562</c:f>
              <c:strCache>
                <c:ptCount val="1"/>
                <c:pt idx="0">
                  <c:v>Consumption per person (0 - 36 000 $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OECD!$AB$562:$AR$562</c:f>
              <c:numCache>
                <c:formatCode>0.000</c:formatCode>
                <c:ptCount val="17"/>
                <c:pt idx="0">
                  <c:v>0.279099319113507</c:v>
                </c:pt>
                <c:pt idx="1">
                  <c:v>0.333647221370853</c:v>
                </c:pt>
                <c:pt idx="2">
                  <c:v>0.383140753304553</c:v>
                </c:pt>
                <c:pt idx="3">
                  <c:v>0.420177278947983</c:v>
                </c:pt>
                <c:pt idx="4">
                  <c:v>0.480608095829425</c:v>
                </c:pt>
                <c:pt idx="5">
                  <c:v>0.52208924753658</c:v>
                </c:pt>
                <c:pt idx="6">
                  <c:v>0.583405097914686</c:v>
                </c:pt>
                <c:pt idx="7">
                  <c:v>0.634447353072136</c:v>
                </c:pt>
                <c:pt idx="8">
                  <c:v>0.655097673289763</c:v>
                </c:pt>
                <c:pt idx="9">
                  <c:v>0.682097496965492</c:v>
                </c:pt>
                <c:pt idx="10">
                  <c:v>0.694380324992361</c:v>
                </c:pt>
                <c:pt idx="11">
                  <c:v>0.709858528165007</c:v>
                </c:pt>
                <c:pt idx="12">
                  <c:v>0.710789269715693</c:v>
                </c:pt>
                <c:pt idx="13">
                  <c:v>0.701475766516872</c:v>
                </c:pt>
                <c:pt idx="14">
                  <c:v>0.68580206539752</c:v>
                </c:pt>
                <c:pt idx="15">
                  <c:v>0.66495902379119</c:v>
                </c:pt>
                <c:pt idx="16">
                  <c:v>0.640594325785112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OECD!$AA$563</c:f>
              <c:strCache>
                <c:ptCount val="1"/>
                <c:pt idx="0">
                  <c:v>Food per person (0 - 2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OECD!$AB$563:$AR$563</c:f>
              <c:numCache>
                <c:formatCode>0.000</c:formatCode>
                <c:ptCount val="17"/>
                <c:pt idx="0">
                  <c:v>0.556872277912695</c:v>
                </c:pt>
                <c:pt idx="1">
                  <c:v>0.568297589234996</c:v>
                </c:pt>
                <c:pt idx="2">
                  <c:v>0.581350085129497</c:v>
                </c:pt>
                <c:pt idx="3">
                  <c:v>0.63962354627276</c:v>
                </c:pt>
                <c:pt idx="4">
                  <c:v>0.623592203578664</c:v>
                </c:pt>
                <c:pt idx="5">
                  <c:v>0.577697666824116</c:v>
                </c:pt>
                <c:pt idx="6">
                  <c:v>0.617538618103436</c:v>
                </c:pt>
                <c:pt idx="7">
                  <c:v>0.59638522495152</c:v>
                </c:pt>
                <c:pt idx="8">
                  <c:v>0.587313739808015</c:v>
                </c:pt>
                <c:pt idx="9">
                  <c:v>0.607345018414949</c:v>
                </c:pt>
                <c:pt idx="10">
                  <c:v>0.63110434718366</c:v>
                </c:pt>
                <c:pt idx="11">
                  <c:v>0.670978255509214</c:v>
                </c:pt>
                <c:pt idx="12">
                  <c:v>0.714729307560273</c:v>
                </c:pt>
                <c:pt idx="13">
                  <c:v>0.743874918095192</c:v>
                </c:pt>
                <c:pt idx="14">
                  <c:v>0.776636432120659</c:v>
                </c:pt>
                <c:pt idx="15">
                  <c:v>0.784227990482127</c:v>
                </c:pt>
                <c:pt idx="16">
                  <c:v>0.770456302126182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OECD!$AA$564</c:f>
              <c:strCache>
                <c:ptCount val="1"/>
                <c:pt idx="0">
                  <c:v>Energy use per person (0 - 5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OECD!$AB$564:$AR$564</c:f>
              <c:numCache>
                <c:formatCode>0.000</c:formatCode>
                <c:ptCount val="17"/>
                <c:pt idx="0">
                  <c:v>0.600493280323082</c:v>
                </c:pt>
                <c:pt idx="1">
                  <c:v>0.64257415232375</c:v>
                </c:pt>
                <c:pt idx="2">
                  <c:v>0.695121307632319</c:v>
                </c:pt>
                <c:pt idx="3">
                  <c:v>0.695457352593122</c:v>
                </c:pt>
                <c:pt idx="4">
                  <c:v>0.741500452621396</c:v>
                </c:pt>
                <c:pt idx="5">
                  <c:v>0.776812893289274</c:v>
                </c:pt>
                <c:pt idx="6">
                  <c:v>0.823893432487205</c:v>
                </c:pt>
                <c:pt idx="7">
                  <c:v>0.850334562450675</c:v>
                </c:pt>
                <c:pt idx="8">
                  <c:v>0.814040590456524</c:v>
                </c:pt>
                <c:pt idx="9">
                  <c:v>0.815394896884206</c:v>
                </c:pt>
                <c:pt idx="10">
                  <c:v>0.813643030430188</c:v>
                </c:pt>
                <c:pt idx="11">
                  <c:v>0.809628273479387</c:v>
                </c:pt>
                <c:pt idx="12">
                  <c:v>0.788443467091586</c:v>
                </c:pt>
                <c:pt idx="13">
                  <c:v>0.756352214939712</c:v>
                </c:pt>
                <c:pt idx="14">
                  <c:v>0.71855189028709</c:v>
                </c:pt>
                <c:pt idx="15">
                  <c:v>0.683026179480129</c:v>
                </c:pt>
                <c:pt idx="16">
                  <c:v>0.648416102191996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OECD!$AA$537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OECD!$AB$537:$AR$537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OECD!$AA$566</c:f>
              <c:strCache>
                <c:ptCount val="1"/>
                <c:pt idx="0">
                  <c:v>GDP per person (0 - 36 000$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OECD!$AB$566:$AR$566</c:f>
              <c:numCache>
                <c:formatCode>0.000</c:formatCode>
                <c:ptCount val="17"/>
                <c:pt idx="9">
                  <c:v>0.874958374389616</c:v>
                </c:pt>
                <c:pt idx="10">
                  <c:v>0.897976514205043</c:v>
                </c:pt>
                <c:pt idx="11">
                  <c:v>0.937968992816827</c:v>
                </c:pt>
                <c:pt idx="12">
                  <c:v>0.9590751868059</c:v>
                </c:pt>
                <c:pt idx="13">
                  <c:v>0.96629420265911</c:v>
                </c:pt>
                <c:pt idx="14">
                  <c:v>0.964419098976485</c:v>
                </c:pt>
                <c:pt idx="15">
                  <c:v>0.963340569994031</c:v>
                </c:pt>
                <c:pt idx="16">
                  <c:v>0.961255325407773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OECD!$AA$567</c:f>
              <c:strCache>
                <c:ptCount val="1"/>
                <c:pt idx="0">
                  <c:v>Consumption per person (0 - 36 000$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OECD!$AB$567:$AR$567</c:f>
              <c:numCache>
                <c:formatCode>0.000</c:formatCode>
                <c:ptCount val="17"/>
                <c:pt idx="9">
                  <c:v>0.682097496965492</c:v>
                </c:pt>
                <c:pt idx="10">
                  <c:v>0.678850320439245</c:v>
                </c:pt>
                <c:pt idx="11">
                  <c:v>0.692332133773291</c:v>
                </c:pt>
                <c:pt idx="12">
                  <c:v>0.691774956487256</c:v>
                </c:pt>
                <c:pt idx="13">
                  <c:v>0.681474470873555</c:v>
                </c:pt>
                <c:pt idx="14">
                  <c:v>0.665236037047766</c:v>
                </c:pt>
                <c:pt idx="15">
                  <c:v>0.644348881081509</c:v>
                </c:pt>
                <c:pt idx="16">
                  <c:v>0.620343177814369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OECD!$AA$568</c:f>
              <c:strCache>
                <c:ptCount val="1"/>
                <c:pt idx="0">
                  <c:v>Food per person (0 - 2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OECD!$AB$568:$AR$568</c:f>
              <c:numCache>
                <c:formatCode>0.000</c:formatCode>
                <c:ptCount val="17"/>
                <c:pt idx="9">
                  <c:v>0.607345018414949</c:v>
                </c:pt>
                <c:pt idx="10">
                  <c:v>0.606096446746604</c:v>
                </c:pt>
                <c:pt idx="11">
                  <c:v>0.64428480533633</c:v>
                </c:pt>
                <c:pt idx="12">
                  <c:v>0.686119424233229</c:v>
                </c:pt>
                <c:pt idx="13">
                  <c:v>0.713872784190333</c:v>
                </c:pt>
                <c:pt idx="14">
                  <c:v>0.745021322612993</c:v>
                </c:pt>
                <c:pt idx="15">
                  <c:v>0.751937375575963</c:v>
                </c:pt>
                <c:pt idx="16">
                  <c:v>0.738290109054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OECD!$AA$569</c:f>
              <c:strCache>
                <c:ptCount val="1"/>
                <c:pt idx="0">
                  <c:v>Energy use per person (0 - 5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OECD!$AB$560:$AR$560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OECD!$AB$569:$AR$569</c:f>
              <c:numCache>
                <c:formatCode>0.000</c:formatCode>
                <c:ptCount val="17"/>
                <c:pt idx="9">
                  <c:v>0.815394896884206</c:v>
                </c:pt>
                <c:pt idx="10">
                  <c:v>0.795840601899947</c:v>
                </c:pt>
                <c:pt idx="11">
                  <c:v>0.790551400837861</c:v>
                </c:pt>
                <c:pt idx="12">
                  <c:v>0.768731722019274</c:v>
                </c:pt>
                <c:pt idx="13">
                  <c:v>0.736566628761468</c:v>
                </c:pt>
                <c:pt idx="14">
                  <c:v>0.699115585387337</c:v>
                </c:pt>
                <c:pt idx="15">
                  <c:v>0.664115396801102</c:v>
                </c:pt>
                <c:pt idx="16">
                  <c:v>0.630206639416172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831810"/>
        <c:axId val="30700660"/>
      </c:lineChart>
      <c:catAx>
        <c:axId val="6383181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00660"/>
        <c:crosses val="autoZero"/>
        <c:auto val="1"/>
        <c:lblAlgn val="ctr"/>
        <c:lblOffset val="100"/>
        <c:noMultiLvlLbl val="0"/>
      </c:catAx>
      <c:valAx>
        <c:axId val="3070066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3181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0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OECD!$AA$535</c:f>
              <c:strCache>
                <c:ptCount val="1"/>
                <c:pt idx="0">
                  <c:v>Food production (0 - 1.2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OECD!$AB$535:$AR$535</c:f>
              <c:numCache>
                <c:formatCode>#,##0.000</c:formatCode>
                <c:ptCount val="17"/>
                <c:pt idx="0">
                  <c:v>0.552579003333333</c:v>
                </c:pt>
                <c:pt idx="1">
                  <c:v>0.588677164166667</c:v>
                </c:pt>
                <c:pt idx="2">
                  <c:v>0.6212588325</c:v>
                </c:pt>
                <c:pt idx="3">
                  <c:v>0.701248935</c:v>
                </c:pt>
                <c:pt idx="4">
                  <c:v>0.700213220833333</c:v>
                </c:pt>
                <c:pt idx="5">
                  <c:v>0.665350373333333</c:v>
                </c:pt>
                <c:pt idx="6">
                  <c:v>0.723357610833333</c:v>
                </c:pt>
                <c:pt idx="7">
                  <c:v>0.715194251666667</c:v>
                </c:pt>
                <c:pt idx="8">
                  <c:v>0.721551256666667</c:v>
                </c:pt>
                <c:pt idx="9">
                  <c:v>0.750833333333333</c:v>
                </c:pt>
                <c:pt idx="10">
                  <c:v>0.779166666666667</c:v>
                </c:pt>
                <c:pt idx="11">
                  <c:v>0.821666666666667</c:v>
                </c:pt>
                <c:pt idx="12">
                  <c:v>0.864166666666667</c:v>
                </c:pt>
                <c:pt idx="13">
                  <c:v>0.885416666666667</c:v>
                </c:pt>
                <c:pt idx="14">
                  <c:v>0.906666666666667</c:v>
                </c:pt>
                <c:pt idx="15">
                  <c:v>0.89375</c:v>
                </c:pt>
                <c:pt idx="16">
                  <c:v>0.8525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OECD!$AA$534</c:f>
              <c:strCache>
                <c:ptCount val="1"/>
                <c:pt idx="0">
                  <c:v>Energy use (0 - 3.2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OECD!$AB$534:$AR$534</c:f>
              <c:numCache>
                <c:formatCode>#,##0.000</c:formatCode>
                <c:ptCount val="17"/>
                <c:pt idx="0">
                  <c:v>0.558622222798515</c:v>
                </c:pt>
                <c:pt idx="1">
                  <c:v>0.624016256384834</c:v>
                </c:pt>
                <c:pt idx="2">
                  <c:v>0.696412749614974</c:v>
                </c:pt>
                <c:pt idx="3">
                  <c:v>0.714808241531863</c:v>
                </c:pt>
                <c:pt idx="4">
                  <c:v>0.780570846018903</c:v>
                </c:pt>
                <c:pt idx="5">
                  <c:v>0.838759578931586</c:v>
                </c:pt>
                <c:pt idx="6">
                  <c:v>0.904755539928126</c:v>
                </c:pt>
                <c:pt idx="7">
                  <c:v>0.95600078231888</c:v>
                </c:pt>
                <c:pt idx="8">
                  <c:v>0.937593015468589</c:v>
                </c:pt>
                <c:pt idx="9">
                  <c:v>0.945033789250178</c:v>
                </c:pt>
                <c:pt idx="10">
                  <c:v>0.941747287967247</c:v>
                </c:pt>
                <c:pt idx="11">
                  <c:v>0.929488808756226</c:v>
                </c:pt>
                <c:pt idx="12">
                  <c:v>0.893712340992888</c:v>
                </c:pt>
                <c:pt idx="13">
                  <c:v>0.844001341010951</c:v>
                </c:pt>
                <c:pt idx="14">
                  <c:v>0.786428606080557</c:v>
                </c:pt>
                <c:pt idx="15">
                  <c:v>0.729763843374334</c:v>
                </c:pt>
                <c:pt idx="16">
                  <c:v>0.672622581246518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OECD!$AA$533</c:f>
              <c:strCache>
                <c:ptCount val="1"/>
                <c:pt idx="0">
                  <c:v>Investment share of GDP (0 - 50 %)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OECD!$AB$533:$AR$533</c:f>
              <c:numCache>
                <c:formatCode>#,##0.000</c:formatCode>
                <c:ptCount val="17"/>
                <c:pt idx="0">
                  <c:v>0.515644068565523</c:v>
                </c:pt>
                <c:pt idx="1">
                  <c:v>0.451868928719053</c:v>
                </c:pt>
                <c:pt idx="2">
                  <c:v>0.45608241043481</c:v>
                </c:pt>
                <c:pt idx="3">
                  <c:v>0.422683224725998</c:v>
                </c:pt>
                <c:pt idx="4">
                  <c:v>0.491297992590616</c:v>
                </c:pt>
                <c:pt idx="5">
                  <c:v>0.468106740355531</c:v>
                </c:pt>
                <c:pt idx="6">
                  <c:v>0.476510825100543</c:v>
                </c:pt>
                <c:pt idx="7">
                  <c:v>0.467354444967975</c:v>
                </c:pt>
                <c:pt idx="8">
                  <c:v>0.421127779543164</c:v>
                </c:pt>
                <c:pt idx="9">
                  <c:v>0.440845834657373</c:v>
                </c:pt>
                <c:pt idx="10">
                  <c:v>0.48888437599303</c:v>
                </c:pt>
                <c:pt idx="11">
                  <c:v>0.525163281994773</c:v>
                </c:pt>
                <c:pt idx="12">
                  <c:v>0.559372461496079</c:v>
                </c:pt>
                <c:pt idx="13">
                  <c:v>0.59202934612206</c:v>
                </c:pt>
                <c:pt idx="14">
                  <c:v>0.623522009591545</c:v>
                </c:pt>
                <c:pt idx="15">
                  <c:v>0.666141507193658</c:v>
                </c:pt>
                <c:pt idx="16">
                  <c:v>0.714106130395244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OECD!$AA$532</c:f>
              <c:strCache>
                <c:ptCount val="1"/>
                <c:pt idx="0">
                  <c:v>Unused bio-capacity (0 - 40 %)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OECD!$AB$532:$AR$532</c:f>
              <c:numCache>
                <c:formatCode>#,##0.000</c:formatCode>
                <c:ptCount val="17"/>
                <c:pt idx="0">
                  <c:v>0.469041249348626</c:v>
                </c:pt>
                <c:pt idx="1">
                  <c:v>0.486757771218401</c:v>
                </c:pt>
                <c:pt idx="2">
                  <c:v>0.458326976875594</c:v>
                </c:pt>
                <c:pt idx="3">
                  <c:v>0.517191344219313</c:v>
                </c:pt>
                <c:pt idx="4">
                  <c:v>0.407431377724251</c:v>
                </c:pt>
                <c:pt idx="5">
                  <c:v>0.415645494140846</c:v>
                </c:pt>
                <c:pt idx="6">
                  <c:v>0.528329869331862</c:v>
                </c:pt>
                <c:pt idx="7">
                  <c:v>0.494564141748536</c:v>
                </c:pt>
                <c:pt idx="8">
                  <c:v>0.470853507558975</c:v>
                </c:pt>
                <c:pt idx="9">
                  <c:v>0.46391888327947</c:v>
                </c:pt>
                <c:pt idx="10">
                  <c:v>0.492405741078947</c:v>
                </c:pt>
                <c:pt idx="11">
                  <c:v>0.528726423136397</c:v>
                </c:pt>
                <c:pt idx="12">
                  <c:v>0.56812166865606</c:v>
                </c:pt>
                <c:pt idx="13">
                  <c:v>0.60728527096309</c:v>
                </c:pt>
                <c:pt idx="14">
                  <c:v>0.647627519001331</c:v>
                </c:pt>
                <c:pt idx="15">
                  <c:v>0.671482581551633</c:v>
                </c:pt>
                <c:pt idx="16">
                  <c:v>0.617192866940575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OECD!$AA$536</c:f>
              <c:strCache>
                <c:ptCount val="1"/>
                <c:pt idx="0">
                  <c:v>Fraction renewable (0 - 50 %)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OECD!$AB$536:$AR$536</c:f>
              <c:numCache>
                <c:formatCode>0.000</c:formatCode>
                <c:ptCount val="17"/>
                <c:pt idx="0">
                  <c:v>0.147513650054186</c:v>
                </c:pt>
                <c:pt idx="1">
                  <c:v>0.153349573713457</c:v>
                </c:pt>
                <c:pt idx="2">
                  <c:v>0.152804214467173</c:v>
                </c:pt>
                <c:pt idx="3">
                  <c:v>0.17076918487255</c:v>
                </c:pt>
                <c:pt idx="4">
                  <c:v>0.162302969560934</c:v>
                </c:pt>
                <c:pt idx="5">
                  <c:v>0.167534246818639</c:v>
                </c:pt>
                <c:pt idx="6">
                  <c:v>0.174877651766061</c:v>
                </c:pt>
                <c:pt idx="7">
                  <c:v>0.173156361085149</c:v>
                </c:pt>
                <c:pt idx="8">
                  <c:v>0.212386111981552</c:v>
                </c:pt>
                <c:pt idx="9">
                  <c:v>0.24</c:v>
                </c:pt>
                <c:pt idx="10">
                  <c:v>0.3</c:v>
                </c:pt>
                <c:pt idx="11">
                  <c:v>0.36</c:v>
                </c:pt>
                <c:pt idx="12">
                  <c:v>0.44</c:v>
                </c:pt>
                <c:pt idx="13">
                  <c:v>0.52</c:v>
                </c:pt>
                <c:pt idx="14">
                  <c:v>0.62</c:v>
                </c:pt>
                <c:pt idx="15">
                  <c:v>0.74</c:v>
                </c:pt>
                <c:pt idx="16">
                  <c:v>0.88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OECD!$AA$542</c:f>
              <c:strCache>
                <c:ptCount val="1"/>
                <c:pt idx="0">
                  <c:v>Food production (0 - 1.2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OECD!$AB$542:$AR$542</c:f>
              <c:numCache>
                <c:formatCode>#,##0.000</c:formatCode>
                <c:ptCount val="17"/>
                <c:pt idx="9">
                  <c:v>0.750833333333333</c:v>
                </c:pt>
                <c:pt idx="10">
                  <c:v>0.748311666666667</c:v>
                </c:pt>
                <c:pt idx="11">
                  <c:v>0.789128666666667</c:v>
                </c:pt>
                <c:pt idx="12">
                  <c:v>0.829945666666667</c:v>
                </c:pt>
                <c:pt idx="13">
                  <c:v>0.850354166666667</c:v>
                </c:pt>
                <c:pt idx="14">
                  <c:v>0.870762666666667</c:v>
                </c:pt>
                <c:pt idx="15">
                  <c:v>0.8583575</c:v>
                </c:pt>
                <c:pt idx="16">
                  <c:v>0.818741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OECD!$AA$541</c:f>
              <c:strCache>
                <c:ptCount val="1"/>
                <c:pt idx="0">
                  <c:v>Energy use (0 - 3.2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OECD!$AB$541:$AR$541</c:f>
              <c:numCache>
                <c:formatCode>#,##0.000</c:formatCode>
                <c:ptCount val="17"/>
                <c:pt idx="9">
                  <c:v>0.945033789250178</c:v>
                </c:pt>
                <c:pt idx="10">
                  <c:v>0.92116652350484</c:v>
                </c:pt>
                <c:pt idx="11">
                  <c:v>0.907760581540758</c:v>
                </c:pt>
                <c:pt idx="12">
                  <c:v>0.87175817036895</c:v>
                </c:pt>
                <c:pt idx="13">
                  <c:v>0.822550051545588</c:v>
                </c:pt>
                <c:pt idx="14">
                  <c:v>0.766039842958377</c:v>
                </c:pt>
                <c:pt idx="15">
                  <c:v>0.710724618946484</c:v>
                </c:pt>
                <c:pt idx="16">
                  <c:v>0.655199774918989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OECD!$AA$540</c:f>
              <c:strCache>
                <c:ptCount val="1"/>
                <c:pt idx="0">
                  <c:v>Investment share of GDP (0 - 50 %),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OECD!$AB$540:$AR$540</c:f>
              <c:numCache>
                <c:formatCode>#,##0.000</c:formatCode>
                <c:ptCount val="17"/>
                <c:pt idx="9">
                  <c:v>0.440845834657373</c:v>
                </c:pt>
                <c:pt idx="10">
                  <c:v>0.48804437599303</c:v>
                </c:pt>
                <c:pt idx="11">
                  <c:v>0.523763281994773</c:v>
                </c:pt>
                <c:pt idx="12">
                  <c:v>0.557412461496079</c:v>
                </c:pt>
                <c:pt idx="13">
                  <c:v>0.58950934612206</c:v>
                </c:pt>
                <c:pt idx="14">
                  <c:v>0.620442009591545</c:v>
                </c:pt>
                <c:pt idx="15">
                  <c:v>0.662261507193659</c:v>
                </c:pt>
                <c:pt idx="16">
                  <c:v>0.709306130395244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OECD!$AA$539</c:f>
              <c:strCache>
                <c:ptCount val="1"/>
                <c:pt idx="0">
                  <c:v>Unused bio-capacity (0 - 40 %),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OECD!$AB$539:$AR$539</c:f>
              <c:numCache>
                <c:formatCode>#,##0.000</c:formatCode>
                <c:ptCount val="17"/>
                <c:pt idx="9">
                  <c:v>0.46391888327947</c:v>
                </c:pt>
                <c:pt idx="10">
                  <c:v>0.450436683113606</c:v>
                </c:pt>
                <c:pt idx="11">
                  <c:v>0.486365492161356</c:v>
                </c:pt>
                <c:pt idx="12">
                  <c:v>0.525398247776405</c:v>
                </c:pt>
                <c:pt idx="13">
                  <c:v>0.56422723702991</c:v>
                </c:pt>
                <c:pt idx="14">
                  <c:v>0.604265846910931</c:v>
                </c:pt>
                <c:pt idx="15">
                  <c:v>0.62738907523513</c:v>
                </c:pt>
                <c:pt idx="16">
                  <c:v>0.57034258588104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OECD!$AA$543</c:f>
              <c:strCache>
                <c:ptCount val="1"/>
                <c:pt idx="0">
                  <c:v>Fraction renewable (0 - 50 %),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OECD!$AB$531:$AR$531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OECD!$AB$543:$AR$543</c:f>
              <c:numCache>
                <c:formatCode>0.000</c:formatCode>
                <c:ptCount val="17"/>
                <c:pt idx="9">
                  <c:v>0.24</c:v>
                </c:pt>
                <c:pt idx="10">
                  <c:v>0.294</c:v>
                </c:pt>
                <c:pt idx="11">
                  <c:v>0.3528</c:v>
                </c:pt>
                <c:pt idx="12">
                  <c:v>0.4312</c:v>
                </c:pt>
                <c:pt idx="13">
                  <c:v>0.5096</c:v>
                </c:pt>
                <c:pt idx="14">
                  <c:v>0.6076</c:v>
                </c:pt>
                <c:pt idx="15">
                  <c:v>0.7252</c:v>
                </c:pt>
                <c:pt idx="16">
                  <c:v>0.8624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043184"/>
        <c:axId val="80586647"/>
      </c:lineChart>
      <c:catAx>
        <c:axId val="1304318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86647"/>
        <c:crosses val="autoZero"/>
        <c:auto val="1"/>
        <c:lblAlgn val="ctr"/>
        <c:lblOffset val="100"/>
        <c:noMultiLvlLbl val="0"/>
      </c:catAx>
      <c:valAx>
        <c:axId val="8058664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4318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32021374987"/>
          <c:w val="0.711051832092179"/>
          <c:h val="0.806289178912753"/>
        </c:manualLayout>
      </c:layout>
      <c:lineChart>
        <c:grouping val="standard"/>
        <c:varyColors val="0"/>
        <c:ser>
          <c:idx val="0"/>
          <c:order val="0"/>
          <c:tx>
            <c:strRef>
              <c:f>OECD!$AA$71</c:f>
              <c:strCache>
                <c:ptCount val="1"/>
                <c:pt idx="0">
                  <c:v>People OECD-less-US Age15-64 (0 - 0.5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OECD!$AB$71:$AR$71</c:f>
              <c:numCache>
                <c:formatCode>#,##0.000</c:formatCode>
                <c:ptCount val="17"/>
                <c:pt idx="0">
                  <c:v>0.758408926</c:v>
                </c:pt>
                <c:pt idx="1">
                  <c:v>0.795136828</c:v>
                </c:pt>
                <c:pt idx="2">
                  <c:v>0.832740442</c:v>
                </c:pt>
                <c:pt idx="3">
                  <c:v>0.87793721</c:v>
                </c:pt>
                <c:pt idx="4">
                  <c:v>0.909471792</c:v>
                </c:pt>
                <c:pt idx="5">
                  <c:v>0.933800366</c:v>
                </c:pt>
                <c:pt idx="6">
                  <c:v>0.949279902</c:v>
                </c:pt>
                <c:pt idx="7">
                  <c:v>0.968854516</c:v>
                </c:pt>
                <c:pt idx="8">
                  <c:v>0.985863378</c:v>
                </c:pt>
                <c:pt idx="9">
                  <c:v>0.977557528</c:v>
                </c:pt>
                <c:pt idx="10">
                  <c:v>0.965110014</c:v>
                </c:pt>
                <c:pt idx="11">
                  <c:v>0.950409008</c:v>
                </c:pt>
                <c:pt idx="12">
                  <c:v>0.918304044</c:v>
                </c:pt>
                <c:pt idx="13">
                  <c:v>0.877758278</c:v>
                </c:pt>
                <c:pt idx="14">
                  <c:v>0.833829842</c:v>
                </c:pt>
                <c:pt idx="15">
                  <c:v>0.794608128</c:v>
                </c:pt>
                <c:pt idx="16">
                  <c:v>0.75767696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OECD!$AA$72</c:f>
              <c:strCache>
                <c:ptCount val="1"/>
                <c:pt idx="0">
                  <c:v>Support burden (pop/age15-64) (0 - 1.8)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OECD!$AB$72:$AR$72</c:f>
              <c:numCache>
                <c:formatCode>#,##0.000</c:formatCode>
                <c:ptCount val="17"/>
                <c:pt idx="0">
                  <c:v>0.872256240941037</c:v>
                </c:pt>
                <c:pt idx="1">
                  <c:v>0.86849684945042</c:v>
                </c:pt>
                <c:pt idx="2">
                  <c:v>0.855527393732608</c:v>
                </c:pt>
                <c:pt idx="3">
                  <c:v>0.832516896181119</c:v>
                </c:pt>
                <c:pt idx="4">
                  <c:v>0.823093433556431</c:v>
                </c:pt>
                <c:pt idx="5">
                  <c:v>0.822251155553734</c:v>
                </c:pt>
                <c:pt idx="6">
                  <c:v>0.822627812138057</c:v>
                </c:pt>
                <c:pt idx="7">
                  <c:v>0.82517737655648</c:v>
                </c:pt>
                <c:pt idx="8">
                  <c:v>0.830785739518114</c:v>
                </c:pt>
                <c:pt idx="9">
                  <c:v>0.843091066975151</c:v>
                </c:pt>
                <c:pt idx="10">
                  <c:v>0.852827335340796</c:v>
                </c:pt>
                <c:pt idx="11">
                  <c:v>0.858984683009104</c:v>
                </c:pt>
                <c:pt idx="12">
                  <c:v>0.877764805711795</c:v>
                </c:pt>
                <c:pt idx="13">
                  <c:v>0.904027380471684</c:v>
                </c:pt>
                <c:pt idx="14">
                  <c:v>0.933385815475146</c:v>
                </c:pt>
                <c:pt idx="15">
                  <c:v>0.956157539004413</c:v>
                </c:pt>
                <c:pt idx="16">
                  <c:v>0.973578636709819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OECD!$AA$75</c:f>
              <c:strCache>
                <c:ptCount val="1"/>
                <c:pt idx="0">
                  <c:v>People OECD-less-US Age15-64 (0 - 0.5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OECD!$AB$75:$AR$75</c:f>
              <c:numCache>
                <c:formatCode>#,##0.000</c:formatCode>
                <c:ptCount val="17"/>
                <c:pt idx="9">
                  <c:v>0.977557528</c:v>
                </c:pt>
                <c:pt idx="10">
                  <c:v>0.94580781372</c:v>
                </c:pt>
                <c:pt idx="11">
                  <c:v>0.93140082784</c:v>
                </c:pt>
                <c:pt idx="12">
                  <c:v>0.89993796312</c:v>
                </c:pt>
                <c:pt idx="13">
                  <c:v>0.86020311244</c:v>
                </c:pt>
                <c:pt idx="14">
                  <c:v>0.81715324516</c:v>
                </c:pt>
                <c:pt idx="15">
                  <c:v>0.77871596544</c:v>
                </c:pt>
                <c:pt idx="16">
                  <c:v>0.7425234208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OECD!$AA$76</c:f>
              <c:strCache>
                <c:ptCount val="1"/>
                <c:pt idx="0">
                  <c:v>Support burden (pop/age15-64) (0 - 1.8)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OECD!$AB$76:$AR$76</c:f>
              <c:numCache>
                <c:formatCode>#,##0.000</c:formatCode>
                <c:ptCount val="17"/>
                <c:pt idx="9">
                  <c:v>0.843091066975151</c:v>
                </c:pt>
                <c:pt idx="10">
                  <c:v>0.870255189231525</c:v>
                </c:pt>
                <c:pt idx="11">
                  <c:v>0.876681924754438</c:v>
                </c:pt>
                <c:pt idx="12">
                  <c:v>0.896078620479974</c:v>
                </c:pt>
                <c:pt idx="13">
                  <c:v>0.92318077159864</c:v>
                </c:pt>
                <c:pt idx="14">
                  <c:v>0.953534320924692</c:v>
                </c:pt>
                <c:pt idx="15">
                  <c:v>0.977273665545535</c:v>
                </c:pt>
                <c:pt idx="16">
                  <c:v>0.995676078181565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73395"/>
        <c:axId val="98683589"/>
      </c:lineChart>
      <c:catAx>
        <c:axId val="1257339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83589"/>
        <c:crosses val="autoZero"/>
        <c:auto val="1"/>
        <c:lblAlgn val="ctr"/>
        <c:lblOffset val="100"/>
        <c:noMultiLvlLbl val="0"/>
      </c:catAx>
      <c:valAx>
        <c:axId val="9868358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733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OECD!$AA$109</c:f>
              <c:strCache>
                <c:ptCount val="1"/>
                <c:pt idx="0">
                  <c:v>Labor productivity (0 - 65000 $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OECD!$AB$109:$AR$109</c:f>
              <c:numCache>
                <c:formatCode>#,##0.000</c:formatCode>
                <c:ptCount val="17"/>
                <c:pt idx="0">
                  <c:v>0.327006552546935</c:v>
                </c:pt>
                <c:pt idx="1">
                  <c:v>0.373198317824134</c:v>
                </c:pt>
                <c:pt idx="2">
                  <c:v>0.423311238461812</c:v>
                </c:pt>
                <c:pt idx="3">
                  <c:v>0.442179234352025</c:v>
                </c:pt>
                <c:pt idx="4">
                  <c:v>0.522791353239313</c:v>
                </c:pt>
                <c:pt idx="5">
                  <c:v>0.558743367714635</c:v>
                </c:pt>
                <c:pt idx="6">
                  <c:v>0.628095787045972</c:v>
                </c:pt>
                <c:pt idx="7">
                  <c:v>0.681071672688898</c:v>
                </c:pt>
                <c:pt idx="8">
                  <c:v>0.687289567140323</c:v>
                </c:pt>
                <c:pt idx="9">
                  <c:v>0.735399836840146</c:v>
                </c:pt>
                <c:pt idx="10">
                  <c:v>0.781362326642655</c:v>
                </c:pt>
                <c:pt idx="11">
                  <c:v>0.824337254608001</c:v>
                </c:pt>
                <c:pt idx="12">
                  <c:v>0.863493274201881</c:v>
                </c:pt>
                <c:pt idx="13">
                  <c:v>0.898033005169956</c:v>
                </c:pt>
                <c:pt idx="14">
                  <c:v>0.92721907783798</c:v>
                </c:pt>
                <c:pt idx="15">
                  <c:v>0.950399554783929</c:v>
                </c:pt>
                <c:pt idx="16">
                  <c:v>0.967031546992648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OECD!$AA$111</c:f>
              <c:strCache>
                <c:ptCount val="1"/>
                <c:pt idx="0">
                  <c:v>Growth in productivity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OECD!$B$95:$R$95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OECD!$AB$111:$AR$111</c:f>
              <c:numCache>
                <c:formatCode>#,##0.000</c:formatCode>
                <c:ptCount val="17"/>
                <c:pt idx="1">
                  <c:v>0.706281952416982</c:v>
                </c:pt>
                <c:pt idx="2">
                  <c:v>0.671397997314849</c:v>
                </c:pt>
                <c:pt idx="3">
                  <c:v>0.222861976908213</c:v>
                </c:pt>
                <c:pt idx="4">
                  <c:v>0.911532164162092</c:v>
                </c:pt>
                <c:pt idx="5">
                  <c:v>0.343846682357664</c:v>
                </c:pt>
                <c:pt idx="6">
                  <c:v>0.620610671541404</c:v>
                </c:pt>
                <c:pt idx="7">
                  <c:v>0.421718205531035</c:v>
                </c:pt>
                <c:pt idx="8">
                  <c:v>0.0456478715879982</c:v>
                </c:pt>
                <c:pt idx="9">
                  <c:v>0.35</c:v>
                </c:pt>
                <c:pt idx="10">
                  <c:v>0.3125</c:v>
                </c:pt>
                <c:pt idx="11">
                  <c:v>0.275</c:v>
                </c:pt>
                <c:pt idx="12">
                  <c:v>0.2375</c:v>
                </c:pt>
                <c:pt idx="13">
                  <c:v>0.2</c:v>
                </c:pt>
                <c:pt idx="14">
                  <c:v>0.1625</c:v>
                </c:pt>
                <c:pt idx="15">
                  <c:v>0.125</c:v>
                </c:pt>
                <c:pt idx="16">
                  <c:v>0.0875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OECD!$AA$112</c:f>
              <c:strCache>
                <c:ptCount val="1"/>
                <c:pt idx="0">
                  <c:v>Labor productivity (0 - 65000 $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OECD!$AB$112:$AR$112</c:f>
              <c:numCache>
                <c:formatCode>#,##0.000</c:formatCode>
                <c:ptCount val="17"/>
                <c:pt idx="9">
                  <c:v>0.735399836840146</c:v>
                </c:pt>
                <c:pt idx="10">
                  <c:v>0.779064202152529</c:v>
                </c:pt>
                <c:pt idx="11">
                  <c:v>0.819770306714999</c:v>
                </c:pt>
                <c:pt idx="12">
                  <c:v>0.856762441805513</c:v>
                </c:pt>
                <c:pt idx="13">
                  <c:v>0.889319414594123</c:v>
                </c:pt>
                <c:pt idx="14">
                  <c:v>0.916777151519716</c:v>
                </c:pt>
                <c:pt idx="15">
                  <c:v>0.93855060886831</c:v>
                </c:pt>
                <c:pt idx="16">
                  <c:v>0.954154012740745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OECD!$AA$113</c:f>
              <c:strCache>
                <c:ptCount val="1"/>
                <c:pt idx="0">
                  <c:v>Growth in productivity (0 - 4 %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OECD!$AB$113:$AR$113</c:f>
              <c:numCache>
                <c:formatCode>#,##0.000</c:formatCode>
                <c:ptCount val="17"/>
                <c:pt idx="9">
                  <c:v>0.35</c:v>
                </c:pt>
                <c:pt idx="10">
                  <c:v>0.296875</c:v>
                </c:pt>
                <c:pt idx="11">
                  <c:v>0.26125</c:v>
                </c:pt>
                <c:pt idx="12">
                  <c:v>0.225625</c:v>
                </c:pt>
                <c:pt idx="13">
                  <c:v>0.19</c:v>
                </c:pt>
                <c:pt idx="14">
                  <c:v>0.154375</c:v>
                </c:pt>
                <c:pt idx="15">
                  <c:v>0.11875</c:v>
                </c:pt>
                <c:pt idx="16">
                  <c:v>0.083125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571976"/>
        <c:axId val="51864226"/>
      </c:lineChart>
      <c:catAx>
        <c:axId val="4157197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864226"/>
        <c:crosses val="autoZero"/>
        <c:auto val="1"/>
        <c:lblAlgn val="ctr"/>
        <c:lblOffset val="100"/>
        <c:noMultiLvlLbl val="0"/>
      </c:catAx>
      <c:valAx>
        <c:axId val="5186422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57197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3"/>
          <c:y val="0.11170855551453"/>
          <c:w val="0.227466586185564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41005802708"/>
          <c:w val="0.7110662506882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OECD!$AA$135</c:f>
              <c:strCache>
                <c:ptCount val="1"/>
                <c:pt idx="0">
                  <c:v>GDP OECD-less-US (0 - 28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OECD!$AB$135:$AR$135</c:f>
              <c:numCache>
                <c:formatCode>#,##0.000</c:formatCode>
                <c:ptCount val="17"/>
                <c:pt idx="0">
                  <c:v>0.287862584647954</c:v>
                </c:pt>
                <c:pt idx="1">
                  <c:v>0.344434682718306</c:v>
                </c:pt>
                <c:pt idx="2">
                  <c:v>0.409161521577084</c:v>
                </c:pt>
                <c:pt idx="3">
                  <c:v>0.450595789575928</c:v>
                </c:pt>
                <c:pt idx="4">
                  <c:v>0.551877844227198</c:v>
                </c:pt>
                <c:pt idx="5">
                  <c:v>0.605608205047856</c:v>
                </c:pt>
                <c:pt idx="6">
                  <c:v>0.692062785112229</c:v>
                </c:pt>
                <c:pt idx="7">
                  <c:v>0.765908192451434</c:v>
                </c:pt>
                <c:pt idx="8">
                  <c:v>0.786469373770225</c:v>
                </c:pt>
                <c:pt idx="9">
                  <c:v>0.834432446938369</c:v>
                </c:pt>
                <c:pt idx="10">
                  <c:v>0.875295346255996</c:v>
                </c:pt>
                <c:pt idx="11">
                  <c:v>0.909370373332378</c:v>
                </c:pt>
                <c:pt idx="12">
                  <c:v>0.920387656577058</c:v>
                </c:pt>
                <c:pt idx="13">
                  <c:v>0.914939888809545</c:v>
                </c:pt>
                <c:pt idx="14">
                  <c:v>0.897398052075837</c:v>
                </c:pt>
                <c:pt idx="15">
                  <c:v>0.876565870002285</c:v>
                </c:pt>
                <c:pt idx="16">
                  <c:v>0.850452481762797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OECD!$AA$137</c:f>
              <c:strCache>
                <c:ptCount val="1"/>
                <c:pt idx="0">
                  <c:v>Consumption (0 - 28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OECD!$AB$137:$AR$137</c:f>
              <c:numCache>
                <c:formatCode>#,##0.000</c:formatCode>
                <c:ptCount val="17"/>
                <c:pt idx="0">
                  <c:v>0.213645267480125</c:v>
                </c:pt>
                <c:pt idx="1">
                  <c:v>0.266615017171502</c:v>
                </c:pt>
                <c:pt idx="2">
                  <c:v>0.315855835068059</c:v>
                </c:pt>
                <c:pt idx="3">
                  <c:v>0.355366148882972</c:v>
                </c:pt>
                <c:pt idx="4">
                  <c:v>0.416309605715168</c:v>
                </c:pt>
                <c:pt idx="5">
                  <c:v>0.463863563649098</c:v>
                </c:pt>
                <c:pt idx="6">
                  <c:v>0.527175080734625</c:v>
                </c:pt>
                <c:pt idx="7">
                  <c:v>0.586932893361652</c:v>
                </c:pt>
                <c:pt idx="8">
                  <c:v>0.620867323242946</c:v>
                </c:pt>
                <c:pt idx="9">
                  <c:v>0.650504412670499</c:v>
                </c:pt>
                <c:pt idx="10">
                  <c:v>0.661336236674013</c:v>
                </c:pt>
                <c:pt idx="11">
                  <c:v>0.670586408428356</c:v>
                </c:pt>
                <c:pt idx="12">
                  <c:v>0.662967902081999</c:v>
                </c:pt>
                <c:pt idx="13">
                  <c:v>0.644104256753092</c:v>
                </c:pt>
                <c:pt idx="14">
                  <c:v>0.617624333658905</c:v>
                </c:pt>
                <c:pt idx="15">
                  <c:v>0.584607415103364</c:v>
                </c:pt>
                <c:pt idx="16">
                  <c:v>0.546795816344466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OECD!$AB$136:$AR$136</c:f>
              <c:numCache>
                <c:formatCode>#,##0.000</c:formatCode>
                <c:ptCount val="17"/>
                <c:pt idx="0">
                  <c:v>0.644555085706903</c:v>
                </c:pt>
                <c:pt idx="1">
                  <c:v>0.564836160898816</c:v>
                </c:pt>
                <c:pt idx="2">
                  <c:v>0.570103013043512</c:v>
                </c:pt>
                <c:pt idx="3">
                  <c:v>0.528354030907498</c:v>
                </c:pt>
                <c:pt idx="4">
                  <c:v>0.61412249073827</c:v>
                </c:pt>
                <c:pt idx="5">
                  <c:v>0.585133425444413</c:v>
                </c:pt>
                <c:pt idx="6">
                  <c:v>0.595638531375678</c:v>
                </c:pt>
                <c:pt idx="7">
                  <c:v>0.584193056209968</c:v>
                </c:pt>
                <c:pt idx="8">
                  <c:v>0.526409724428956</c:v>
                </c:pt>
                <c:pt idx="9">
                  <c:v>0.551057293321717</c:v>
                </c:pt>
                <c:pt idx="10">
                  <c:v>0.611105469991288</c:v>
                </c:pt>
                <c:pt idx="11">
                  <c:v>0.656454102493466</c:v>
                </c:pt>
                <c:pt idx="12">
                  <c:v>0.699215576870099</c:v>
                </c:pt>
                <c:pt idx="13">
                  <c:v>0.740036682652575</c:v>
                </c:pt>
                <c:pt idx="14">
                  <c:v>0.779402511989431</c:v>
                </c:pt>
                <c:pt idx="15">
                  <c:v>0.832676883992073</c:v>
                </c:pt>
                <c:pt idx="16">
                  <c:v>0.892632662994055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OECD!$U$158</c:f>
              <c:strCache>
                <c:ptCount val="1"/>
                <c:pt idx="0">
                  <c:v>GDP OECD-less-US (0 - 28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OECD!$AB$148:$AR$148</c:f>
              <c:numCache>
                <c:formatCode>#,##0.000</c:formatCode>
                <c:ptCount val="17"/>
                <c:pt idx="9">
                  <c:v>0.834432446938369</c:v>
                </c:pt>
                <c:pt idx="10">
                  <c:v>0.855266529215197</c:v>
                </c:pt>
                <c:pt idx="11">
                  <c:v>0.886245683041876</c:v>
                </c:pt>
                <c:pt idx="12">
                  <c:v>0.894949072127699</c:v>
                </c:pt>
                <c:pt idx="13">
                  <c:v>0.887941006163695</c:v>
                </c:pt>
                <c:pt idx="14">
                  <c:v>0.869546117668518</c:v>
                </c:pt>
                <c:pt idx="15">
                  <c:v>0.848324684418698</c:v>
                </c:pt>
                <c:pt idx="16">
                  <c:v>0.822344832110175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OECD!$U$160</c:f>
              <c:strCache>
                <c:ptCount val="1"/>
                <c:pt idx="0">
                  <c:v>Consumption (0 - 28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OECD!$AB$150:$AR$150</c:f>
              <c:numCache>
                <c:formatCode>#,##0.000</c:formatCode>
                <c:ptCount val="17"/>
                <c:pt idx="9">
                  <c:v>0.650504412670499</c:v>
                </c:pt>
                <c:pt idx="10">
                  <c:v>0.646562519435919</c:v>
                </c:pt>
                <c:pt idx="11">
                  <c:v>0.65415420924002</c:v>
                </c:pt>
                <c:pt idx="12">
                  <c:v>0.645521189523532</c:v>
                </c:pt>
                <c:pt idx="13">
                  <c:v>0.626216245194433</c:v>
                </c:pt>
                <c:pt idx="14">
                  <c:v>0.599794647329128</c:v>
                </c:pt>
                <c:pt idx="15">
                  <c:v>0.567418292372342</c:v>
                </c:pt>
                <c:pt idx="16">
                  <c:v>0.530697716752878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OECD!$U$159</c:f>
              <c:strCache>
                <c:ptCount val="1"/>
                <c:pt idx="0">
                  <c:v>% Investment share (0 - 40%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OECD!$AB$149:$AR$149</c:f>
              <c:numCache>
                <c:formatCode>#,##0.000</c:formatCode>
                <c:ptCount val="17"/>
                <c:pt idx="9">
                  <c:v>0.551057293321717</c:v>
                </c:pt>
                <c:pt idx="10">
                  <c:v>0.610055469991288</c:v>
                </c:pt>
                <c:pt idx="11">
                  <c:v>0.654704102493466</c:v>
                </c:pt>
                <c:pt idx="12">
                  <c:v>0.696765576870099</c:v>
                </c:pt>
                <c:pt idx="13">
                  <c:v>0.736886682652574</c:v>
                </c:pt>
                <c:pt idx="14">
                  <c:v>0.775552511989431</c:v>
                </c:pt>
                <c:pt idx="15">
                  <c:v>0.827826883992073</c:v>
                </c:pt>
                <c:pt idx="16">
                  <c:v>0.886632662994055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45043"/>
        <c:axId val="15070138"/>
      </c:lineChart>
      <c:catAx>
        <c:axId val="574504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70138"/>
        <c:crosses val="autoZero"/>
        <c:auto val="1"/>
        <c:lblAlgn val="ctr"/>
        <c:lblOffset val="100"/>
        <c:noMultiLvlLbl val="0"/>
      </c:catAx>
      <c:valAx>
        <c:axId val="1507013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4504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OECD!$AA$136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OECD!$AB$136:$AR$136</c:f>
              <c:numCache>
                <c:formatCode>#,##0.000</c:formatCode>
                <c:ptCount val="17"/>
                <c:pt idx="0">
                  <c:v>0.644555085706903</c:v>
                </c:pt>
                <c:pt idx="1">
                  <c:v>0.564836160898816</c:v>
                </c:pt>
                <c:pt idx="2">
                  <c:v>0.570103013043512</c:v>
                </c:pt>
                <c:pt idx="3">
                  <c:v>0.528354030907498</c:v>
                </c:pt>
                <c:pt idx="4">
                  <c:v>0.61412249073827</c:v>
                </c:pt>
                <c:pt idx="5">
                  <c:v>0.585133425444413</c:v>
                </c:pt>
                <c:pt idx="6">
                  <c:v>0.595638531375678</c:v>
                </c:pt>
                <c:pt idx="7">
                  <c:v>0.584193056209968</c:v>
                </c:pt>
                <c:pt idx="8">
                  <c:v>0.526409724428956</c:v>
                </c:pt>
                <c:pt idx="9">
                  <c:v>0.551057293321717</c:v>
                </c:pt>
                <c:pt idx="10">
                  <c:v>0.611105469991288</c:v>
                </c:pt>
                <c:pt idx="11">
                  <c:v>0.656454102493466</c:v>
                </c:pt>
                <c:pt idx="12">
                  <c:v>0.699215576870099</c:v>
                </c:pt>
                <c:pt idx="13">
                  <c:v>0.740036682652575</c:v>
                </c:pt>
                <c:pt idx="14">
                  <c:v>0.779402511989431</c:v>
                </c:pt>
                <c:pt idx="15">
                  <c:v>0.832676883992073</c:v>
                </c:pt>
                <c:pt idx="16">
                  <c:v>0.892632662994055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OECD!$AA$138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OECD!$AB$138:$AR$138</c:f>
              <c:numCache>
                <c:formatCode>0.00</c:formatCode>
                <c:ptCount val="17"/>
                <c:pt idx="9">
                  <c:v>0.544807293321717</c:v>
                </c:pt>
                <c:pt idx="10">
                  <c:v>0.558605469991288</c:v>
                </c:pt>
                <c:pt idx="11">
                  <c:v>0.568954102493466</c:v>
                </c:pt>
                <c:pt idx="12">
                  <c:v>0.576715576870099</c:v>
                </c:pt>
                <c:pt idx="13">
                  <c:v>0.582536682652574</c:v>
                </c:pt>
                <c:pt idx="14">
                  <c:v>0.586902511989431</c:v>
                </c:pt>
                <c:pt idx="15">
                  <c:v>0.590176883992073</c:v>
                </c:pt>
                <c:pt idx="16">
                  <c:v>0.592632662994055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OECD!$AA$139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OECD!$AB$139:$AR$139</c:f>
              <c:numCache>
                <c:formatCode>0.00</c:formatCode>
                <c:ptCount val="17"/>
                <c:pt idx="9">
                  <c:v>0.547307293321717</c:v>
                </c:pt>
                <c:pt idx="10">
                  <c:v>0.591105469991288</c:v>
                </c:pt>
                <c:pt idx="11">
                  <c:v>0.618954102493466</c:v>
                </c:pt>
                <c:pt idx="12">
                  <c:v>0.644215576870099</c:v>
                </c:pt>
                <c:pt idx="13">
                  <c:v>0.667536682652574</c:v>
                </c:pt>
                <c:pt idx="14">
                  <c:v>0.689402511989431</c:v>
                </c:pt>
                <c:pt idx="15">
                  <c:v>0.715176883992073</c:v>
                </c:pt>
                <c:pt idx="16">
                  <c:v>0.742632662994055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OECD!$AA$140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OECD!$AB$140:$AR$140</c:f>
              <c:numCache>
                <c:formatCode>0.00</c:formatCode>
                <c:ptCount val="17"/>
                <c:pt idx="9">
                  <c:v>0.551057293321717</c:v>
                </c:pt>
                <c:pt idx="10">
                  <c:v>0.611105469991288</c:v>
                </c:pt>
                <c:pt idx="11">
                  <c:v>0.656454102493466</c:v>
                </c:pt>
                <c:pt idx="12">
                  <c:v>0.699215576870099</c:v>
                </c:pt>
                <c:pt idx="13">
                  <c:v>0.740036682652574</c:v>
                </c:pt>
                <c:pt idx="14">
                  <c:v>0.779402511989431</c:v>
                </c:pt>
                <c:pt idx="15">
                  <c:v>0.832676883992073</c:v>
                </c:pt>
                <c:pt idx="16">
                  <c:v>0.892632662994055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OECD!$AA$151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OECD!$AB$151:$AR$151</c:f>
              <c:numCache>
                <c:formatCode>0.00</c:formatCode>
                <c:ptCount val="17"/>
                <c:pt idx="9">
                  <c:v>0.544807293321717</c:v>
                </c:pt>
                <c:pt idx="10">
                  <c:v>0.558605469991288</c:v>
                </c:pt>
                <c:pt idx="11">
                  <c:v>0.568954102493466</c:v>
                </c:pt>
                <c:pt idx="12">
                  <c:v>0.576715576870099</c:v>
                </c:pt>
                <c:pt idx="13">
                  <c:v>0.582536682652574</c:v>
                </c:pt>
                <c:pt idx="14">
                  <c:v>0.586902511989431</c:v>
                </c:pt>
                <c:pt idx="15">
                  <c:v>0.590176883992073</c:v>
                </c:pt>
                <c:pt idx="16">
                  <c:v>0.592632662994055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OECD!$AA$152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OECD!$AB$152:$AR$152</c:f>
              <c:numCache>
                <c:formatCode>0.00</c:formatCode>
                <c:ptCount val="17"/>
                <c:pt idx="9">
                  <c:v>0.547307293321717</c:v>
                </c:pt>
                <c:pt idx="10">
                  <c:v>0.590455469991288</c:v>
                </c:pt>
                <c:pt idx="11">
                  <c:v>0.617954102493466</c:v>
                </c:pt>
                <c:pt idx="12">
                  <c:v>0.642865576870099</c:v>
                </c:pt>
                <c:pt idx="13">
                  <c:v>0.665836682652575</c:v>
                </c:pt>
                <c:pt idx="14">
                  <c:v>0.687352511989431</c:v>
                </c:pt>
                <c:pt idx="15">
                  <c:v>0.712676883992073</c:v>
                </c:pt>
                <c:pt idx="16">
                  <c:v>0.739632662994055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OECD!$AA$153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OECD!$AB$153:$AR$153</c:f>
              <c:numCache>
                <c:formatCode>0.00</c:formatCode>
                <c:ptCount val="17"/>
                <c:pt idx="9">
                  <c:v>0.551057293321717</c:v>
                </c:pt>
                <c:pt idx="10">
                  <c:v>0.610055469991288</c:v>
                </c:pt>
                <c:pt idx="11">
                  <c:v>0.654704102493466</c:v>
                </c:pt>
                <c:pt idx="12">
                  <c:v>0.696765576870099</c:v>
                </c:pt>
                <c:pt idx="13">
                  <c:v>0.736886682652574</c:v>
                </c:pt>
                <c:pt idx="14">
                  <c:v>0.775552511989431</c:v>
                </c:pt>
                <c:pt idx="15">
                  <c:v>0.827826883992073</c:v>
                </c:pt>
                <c:pt idx="16">
                  <c:v>0.886632662994055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993177"/>
        <c:axId val="83843145"/>
      </c:lineChart>
      <c:catAx>
        <c:axId val="71993177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43145"/>
        <c:crosses val="autoZero"/>
        <c:auto val="1"/>
        <c:lblAlgn val="ctr"/>
        <c:lblOffset val="100"/>
        <c:noMultiLvlLbl val="0"/>
      </c:catAx>
      <c:valAx>
        <c:axId val="8384314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9317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6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29745672566"/>
          <c:w val="0.711068448645057"/>
          <c:h val="0.806304999516488"/>
        </c:manualLayout>
      </c:layout>
      <c:lineChart>
        <c:grouping val="standard"/>
        <c:varyColors val="0"/>
        <c:ser>
          <c:idx val="0"/>
          <c:order val="0"/>
          <c:tx>
            <c:strRef>
              <c:f>OECD!$AA$209</c:f>
              <c:strCache>
                <c:ptCount val="1"/>
                <c:pt idx="0">
                  <c:v>Consumption (0 - 28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OECD!$AB$209:$AR$209</c:f>
              <c:numCache>
                <c:formatCode>#,##0.000</c:formatCode>
                <c:ptCount val="17"/>
                <c:pt idx="0">
                  <c:v>0.213645267480125</c:v>
                </c:pt>
                <c:pt idx="1">
                  <c:v>0.266615017171502</c:v>
                </c:pt>
                <c:pt idx="2">
                  <c:v>0.315855835068059</c:v>
                </c:pt>
                <c:pt idx="3">
                  <c:v>0.355366148882972</c:v>
                </c:pt>
                <c:pt idx="4">
                  <c:v>0.416309605715168</c:v>
                </c:pt>
                <c:pt idx="5">
                  <c:v>0.463863563649098</c:v>
                </c:pt>
                <c:pt idx="6">
                  <c:v>0.527175080734625</c:v>
                </c:pt>
                <c:pt idx="7">
                  <c:v>0.586932893361652</c:v>
                </c:pt>
                <c:pt idx="8">
                  <c:v>0.620867323242946</c:v>
                </c:pt>
                <c:pt idx="9">
                  <c:v>0.650504412670499</c:v>
                </c:pt>
                <c:pt idx="10">
                  <c:v>0.661336236674013</c:v>
                </c:pt>
                <c:pt idx="11">
                  <c:v>0.670586408428356</c:v>
                </c:pt>
                <c:pt idx="12">
                  <c:v>0.662967902081999</c:v>
                </c:pt>
                <c:pt idx="13">
                  <c:v>0.644104256753092</c:v>
                </c:pt>
                <c:pt idx="14">
                  <c:v>0.617624333658905</c:v>
                </c:pt>
                <c:pt idx="15">
                  <c:v>0.584607415103364</c:v>
                </c:pt>
                <c:pt idx="16">
                  <c:v>0.546795816344466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OECD!$AA$210</c:f>
              <c:strCache>
                <c:ptCount val="1"/>
                <c:pt idx="0">
                  <c:v>Consumption per person (0 - 26000 $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OECD!$AB$210:$AR$210</c:f>
              <c:numCache>
                <c:formatCode>#,##0.000</c:formatCode>
                <c:ptCount val="17"/>
                <c:pt idx="0">
                  <c:v>0.38644521108024</c:v>
                </c:pt>
                <c:pt idx="1">
                  <c:v>0.461973075744258</c:v>
                </c:pt>
                <c:pt idx="2">
                  <c:v>0.530502581498612</c:v>
                </c:pt>
                <c:pt idx="3">
                  <c:v>0.581783924697207</c:v>
                </c:pt>
                <c:pt idx="4">
                  <c:v>0.665457363456127</c:v>
                </c:pt>
                <c:pt idx="5">
                  <c:v>0.722892804281418</c:v>
                </c:pt>
                <c:pt idx="6">
                  <c:v>0.80779167403572</c:v>
                </c:pt>
                <c:pt idx="7">
                  <c:v>0.878465565792188</c:v>
                </c:pt>
                <c:pt idx="8">
                  <c:v>0.907058316862749</c:v>
                </c:pt>
                <c:pt idx="9">
                  <c:v>0.944442688106066</c:v>
                </c:pt>
                <c:pt idx="10">
                  <c:v>0.961449680758654</c:v>
                </c:pt>
                <c:pt idx="11">
                  <c:v>0.982881038997702</c:v>
                </c:pt>
                <c:pt idx="12">
                  <c:v>0.984169758067882</c:v>
                </c:pt>
                <c:pt idx="13">
                  <c:v>0.971274138254131</c:v>
                </c:pt>
                <c:pt idx="14">
                  <c:v>0.949572090550412</c:v>
                </c:pt>
                <c:pt idx="15">
                  <c:v>0.920712494480109</c:v>
                </c:pt>
                <c:pt idx="16">
                  <c:v>0.886976758779386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OECD!$U$215</c:f>
              <c:strCache>
                <c:ptCount val="1"/>
                <c:pt idx="0">
                  <c:v>Consumption from Your forecast (0 - 28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OECD!$AB$215:$AR$215</c:f>
              <c:numCache>
                <c:formatCode>#,##0.000</c:formatCode>
                <c:ptCount val="17"/>
                <c:pt idx="9">
                  <c:v>0.650504412670499</c:v>
                </c:pt>
                <c:pt idx="10">
                  <c:v>0.646562519435919</c:v>
                </c:pt>
                <c:pt idx="11">
                  <c:v>0.65415420924002</c:v>
                </c:pt>
                <c:pt idx="12">
                  <c:v>0.645521189523532</c:v>
                </c:pt>
                <c:pt idx="13">
                  <c:v>0.626216245194433</c:v>
                </c:pt>
                <c:pt idx="14">
                  <c:v>0.599794647329128</c:v>
                </c:pt>
                <c:pt idx="15">
                  <c:v>0.567418292372342</c:v>
                </c:pt>
                <c:pt idx="16">
                  <c:v>0.530697716752878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OECD!$U$216</c:f>
              <c:strCache>
                <c:ptCount val="1"/>
                <c:pt idx="0">
                  <c:v>Consumption per person from Your forecast (0 - 26000 $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OECD!$AB$216:$AR$216</c:f>
              <c:numCache>
                <c:formatCode>#,##0.000</c:formatCode>
                <c:ptCount val="17"/>
                <c:pt idx="9">
                  <c:v>0.944442688106066</c:v>
                </c:pt>
                <c:pt idx="10">
                  <c:v>0.939946597531262</c:v>
                </c:pt>
                <c:pt idx="11">
                  <c:v>0.958613723686095</c:v>
                </c:pt>
                <c:pt idx="12">
                  <c:v>0.957842247443893</c:v>
                </c:pt>
                <c:pt idx="13">
                  <c:v>0.943580036594154</c:v>
                </c:pt>
                <c:pt idx="14">
                  <c:v>0.921096051296907</c:v>
                </c:pt>
                <c:pt idx="15">
                  <c:v>0.892175373805166</c:v>
                </c:pt>
                <c:pt idx="16">
                  <c:v>0.858936707742972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307679"/>
        <c:axId val="89824983"/>
      </c:lineChart>
      <c:catAx>
        <c:axId val="6430767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24983"/>
        <c:crosses val="autoZero"/>
        <c:auto val="1"/>
        <c:lblAlgn val="ctr"/>
        <c:lblOffset val="100"/>
        <c:noMultiLvlLbl val="0"/>
      </c:catAx>
      <c:valAx>
        <c:axId val="8982498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0767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3"/>
          <c:y val="0.0858401568983478"/>
          <c:w val="0.219816062124666"/>
          <c:h val="0.54448847995995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OECD!$AA$264</c:f>
              <c:strCache>
                <c:ptCount val="1"/>
                <c:pt idx="0">
                  <c:v>Energy use (0 - 3200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OECD!$AB$264:$AR$264</c:f>
              <c:numCache>
                <c:formatCode>0.000</c:formatCode>
                <c:ptCount val="17"/>
                <c:pt idx="0">
                  <c:v>0.558622222798515</c:v>
                </c:pt>
                <c:pt idx="1">
                  <c:v>0.624016256384834</c:v>
                </c:pt>
                <c:pt idx="2">
                  <c:v>0.696412749614974</c:v>
                </c:pt>
                <c:pt idx="3">
                  <c:v>0.714808241531863</c:v>
                </c:pt>
                <c:pt idx="4">
                  <c:v>0.780570846018903</c:v>
                </c:pt>
                <c:pt idx="5">
                  <c:v>0.838759578931586</c:v>
                </c:pt>
                <c:pt idx="6">
                  <c:v>0.904755539928126</c:v>
                </c:pt>
                <c:pt idx="7">
                  <c:v>0.95600078231888</c:v>
                </c:pt>
                <c:pt idx="8">
                  <c:v>0.937593015468589</c:v>
                </c:pt>
                <c:pt idx="9">
                  <c:v>0.945033789250178</c:v>
                </c:pt>
                <c:pt idx="10">
                  <c:v>0.941747287967247</c:v>
                </c:pt>
                <c:pt idx="11">
                  <c:v>0.929488808756226</c:v>
                </c:pt>
                <c:pt idx="12">
                  <c:v>0.893712340992888</c:v>
                </c:pt>
                <c:pt idx="13">
                  <c:v>0.844001341010951</c:v>
                </c:pt>
                <c:pt idx="14">
                  <c:v>0.786428606080557</c:v>
                </c:pt>
                <c:pt idx="15">
                  <c:v>0.729763843374334</c:v>
                </c:pt>
                <c:pt idx="16">
                  <c:v>0.672622581246518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OECD!$AA$265</c:f>
              <c:strCache>
                <c:ptCount val="1"/>
                <c:pt idx="0">
                  <c:v>GDP OECD-less-US (0 - 28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OECD!$AB$265:$AR$265</c:f>
              <c:numCache>
                <c:formatCode>0.000</c:formatCode>
                <c:ptCount val="17"/>
                <c:pt idx="0">
                  <c:v>0.287862584647954</c:v>
                </c:pt>
                <c:pt idx="1">
                  <c:v>0.344434682718306</c:v>
                </c:pt>
                <c:pt idx="2">
                  <c:v>0.409161521577084</c:v>
                </c:pt>
                <c:pt idx="3">
                  <c:v>0.450595789575928</c:v>
                </c:pt>
                <c:pt idx="4">
                  <c:v>0.551877844227198</c:v>
                </c:pt>
                <c:pt idx="5">
                  <c:v>0.605608205047856</c:v>
                </c:pt>
                <c:pt idx="6">
                  <c:v>0.692062785112229</c:v>
                </c:pt>
                <c:pt idx="7">
                  <c:v>0.765908192451434</c:v>
                </c:pt>
                <c:pt idx="8">
                  <c:v>0.786469373770225</c:v>
                </c:pt>
                <c:pt idx="9">
                  <c:v>0.834432446938369</c:v>
                </c:pt>
                <c:pt idx="10">
                  <c:v>0.875295346255996</c:v>
                </c:pt>
                <c:pt idx="11">
                  <c:v>0.909370373332378</c:v>
                </c:pt>
                <c:pt idx="12">
                  <c:v>0.920387656577058</c:v>
                </c:pt>
                <c:pt idx="13">
                  <c:v>0.914939888809545</c:v>
                </c:pt>
                <c:pt idx="14">
                  <c:v>0.897398052075837</c:v>
                </c:pt>
                <c:pt idx="15">
                  <c:v>0.876565870002285</c:v>
                </c:pt>
                <c:pt idx="16">
                  <c:v>0.850452481762797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OECD!$AA$266</c:f>
              <c:strCache>
                <c:ptCount val="1"/>
                <c:pt idx="0">
                  <c:v>Energy intensity (0 - 250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OECD!$AB$266:$AR$266</c:f>
              <c:numCache>
                <c:formatCode>0.000</c:formatCode>
                <c:ptCount val="17"/>
                <c:pt idx="0">
                  <c:v>0.887125220896338</c:v>
                </c:pt>
                <c:pt idx="1">
                  <c:v>0.828210945820038</c:v>
                </c:pt>
                <c:pt idx="2">
                  <c:v>0.778079309321674</c:v>
                </c:pt>
                <c:pt idx="3">
                  <c:v>0.725194263689575</c:v>
                </c:pt>
                <c:pt idx="4">
                  <c:v>0.64657856894251</c:v>
                </c:pt>
                <c:pt idx="5">
                  <c:v>0.633136980596929</c:v>
                </c:pt>
                <c:pt idx="6">
                  <c:v>0.597637297418759</c:v>
                </c:pt>
                <c:pt idx="7">
                  <c:v>0.570602238450102</c:v>
                </c:pt>
                <c:pt idx="8">
                  <c:v>0.544984921502769</c:v>
                </c:pt>
                <c:pt idx="9">
                  <c:v>0.517735675427631</c:v>
                </c:pt>
                <c:pt idx="10">
                  <c:v>0.491848891656249</c:v>
                </c:pt>
                <c:pt idx="11">
                  <c:v>0.467256447073437</c:v>
                </c:pt>
                <c:pt idx="12">
                  <c:v>0.443893624719765</c:v>
                </c:pt>
                <c:pt idx="13">
                  <c:v>0.421698943483777</c:v>
                </c:pt>
                <c:pt idx="14">
                  <c:v>0.400613996309588</c:v>
                </c:pt>
                <c:pt idx="15">
                  <c:v>0.380583296494108</c:v>
                </c:pt>
                <c:pt idx="16">
                  <c:v>0.361554131669403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OECD!$AA$271</c:f>
              <c:strCache>
                <c:ptCount val="1"/>
                <c:pt idx="0">
                  <c:v>Energy use (0 - 3200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OECD!$AB$271:$AR$271</c:f>
              <c:numCache>
                <c:formatCode>0.000</c:formatCode>
                <c:ptCount val="17"/>
                <c:pt idx="9">
                  <c:v>0.945033789250178</c:v>
                </c:pt>
                <c:pt idx="10">
                  <c:v>0.92116652350484</c:v>
                </c:pt>
                <c:pt idx="11">
                  <c:v>0.907760581540758</c:v>
                </c:pt>
                <c:pt idx="12">
                  <c:v>0.87175817036895</c:v>
                </c:pt>
                <c:pt idx="13">
                  <c:v>0.822550051545588</c:v>
                </c:pt>
                <c:pt idx="14">
                  <c:v>0.766039842958377</c:v>
                </c:pt>
                <c:pt idx="15">
                  <c:v>0.710724618946484</c:v>
                </c:pt>
                <c:pt idx="16">
                  <c:v>0.655199774918989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OECD!$AA$270</c:f>
              <c:strCache>
                <c:ptCount val="1"/>
                <c:pt idx="0">
                  <c:v>GDP OECD-less-US calculated from Your forecast (0 - 28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OECD!$AB$270:$AR$270</c:f>
              <c:numCache>
                <c:formatCode>0.000</c:formatCode>
                <c:ptCount val="17"/>
                <c:pt idx="9">
                  <c:v>0.834432446938369</c:v>
                </c:pt>
                <c:pt idx="10">
                  <c:v>0.855266529215197</c:v>
                </c:pt>
                <c:pt idx="11">
                  <c:v>0.886245683041876</c:v>
                </c:pt>
                <c:pt idx="12">
                  <c:v>0.894949072127699</c:v>
                </c:pt>
                <c:pt idx="13">
                  <c:v>0.887941006163695</c:v>
                </c:pt>
                <c:pt idx="14">
                  <c:v>0.869546117668518</c:v>
                </c:pt>
                <c:pt idx="15">
                  <c:v>0.848324684418698</c:v>
                </c:pt>
                <c:pt idx="16">
                  <c:v>0.822344832110175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OECD!$AA$272</c:f>
              <c:strCache>
                <c:ptCount val="1"/>
                <c:pt idx="0">
                  <c:v>Energy intensity (0 - 250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OECD!$AB$272:$AR$272</c:f>
              <c:numCache>
                <c:formatCode>0.000</c:formatCode>
                <c:ptCount val="17"/>
                <c:pt idx="9">
                  <c:v>0.517735675427631</c:v>
                </c:pt>
                <c:pt idx="10">
                  <c:v>0.492366627331677</c:v>
                </c:pt>
                <c:pt idx="11">
                  <c:v>0.468240662592425</c:v>
                </c:pt>
                <c:pt idx="12">
                  <c:v>0.445296870125396</c:v>
                </c:pt>
                <c:pt idx="13">
                  <c:v>0.423477323489251</c:v>
                </c:pt>
                <c:pt idx="14">
                  <c:v>0.402726934638278</c:v>
                </c:pt>
                <c:pt idx="15">
                  <c:v>0.382993314841002</c:v>
                </c:pt>
                <c:pt idx="16">
                  <c:v>0.364226642413793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008451"/>
        <c:axId val="59189255"/>
      </c:lineChart>
      <c:catAx>
        <c:axId val="9200845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189255"/>
        <c:crosses val="autoZero"/>
        <c:auto val="1"/>
        <c:lblAlgn val="ctr"/>
        <c:lblOffset val="100"/>
        <c:noMultiLvlLbl val="0"/>
      </c:catAx>
      <c:valAx>
        <c:axId val="5918925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08451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5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OECD!$A$253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OECD!$B$253:$R$253</c:f>
              <c:numCache>
                <c:formatCode>0.0</c:formatCode>
                <c:ptCount val="17"/>
                <c:pt idx="0">
                  <c:v>53.8806102256626</c:v>
                </c:pt>
                <c:pt idx="1">
                  <c:v>53.7498401993797</c:v>
                </c:pt>
                <c:pt idx="2">
                  <c:v>49.8472844674362</c:v>
                </c:pt>
                <c:pt idx="3">
                  <c:v>41.5573686618247</c:v>
                </c:pt>
                <c:pt idx="4">
                  <c:v>42.8144032641394</c:v>
                </c:pt>
                <c:pt idx="5">
                  <c:v>43.4853827124131</c:v>
                </c:pt>
                <c:pt idx="6">
                  <c:v>41.8058392003893</c:v>
                </c:pt>
                <c:pt idx="7">
                  <c:v>40.4668346671296</c:v>
                </c:pt>
                <c:pt idx="8">
                  <c:v>38.0851703696624</c:v>
                </c:pt>
                <c:pt idx="9">
                  <c:v>34</c:v>
                </c:pt>
                <c:pt idx="10">
                  <c:v>31</c:v>
                </c:pt>
                <c:pt idx="11">
                  <c:v>29</c:v>
                </c:pt>
                <c:pt idx="12">
                  <c:v>26</c:v>
                </c:pt>
                <c:pt idx="13">
                  <c:v>23</c:v>
                </c:pt>
                <c:pt idx="14">
                  <c:v>20</c:v>
                </c:pt>
                <c:pt idx="15">
                  <c:v>17</c:v>
                </c:pt>
                <c:pt idx="16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OECD!$A$254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OECD!$B$254:$R$254</c:f>
              <c:numCache>
                <c:formatCode>0.0</c:formatCode>
                <c:ptCount val="17"/>
                <c:pt idx="0">
                  <c:v>6.42982565785075</c:v>
                </c:pt>
                <c:pt idx="1">
                  <c:v>11.2631465158341</c:v>
                </c:pt>
                <c:pt idx="2">
                  <c:v>13.0560965419081</c:v>
                </c:pt>
                <c:pt idx="3">
                  <c:v>14.4209379169407</c:v>
                </c:pt>
                <c:pt idx="4">
                  <c:v>15.3885390784902</c:v>
                </c:pt>
                <c:pt idx="5">
                  <c:v>17.4402038159647</c:v>
                </c:pt>
                <c:pt idx="6">
                  <c:v>19.8717434996097</c:v>
                </c:pt>
                <c:pt idx="7">
                  <c:v>21.0789753762776</c:v>
                </c:pt>
                <c:pt idx="8">
                  <c:v>22.5968655358628</c:v>
                </c:pt>
                <c:pt idx="9">
                  <c:v>25.5</c:v>
                </c:pt>
                <c:pt idx="10">
                  <c:v>28</c:v>
                </c:pt>
                <c:pt idx="11">
                  <c:v>29</c:v>
                </c:pt>
                <c:pt idx="12">
                  <c:v>30.5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OECD!$A$257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OECD!$B$257:$R$257</c:f>
              <c:numCache>
                <c:formatCode>0.0</c:formatCode>
                <c:ptCount val="17"/>
                <c:pt idx="0">
                  <c:v>31.6977451874896</c:v>
                </c:pt>
                <c:pt idx="1">
                  <c:v>25.6589708887972</c:v>
                </c:pt>
                <c:pt idx="2">
                  <c:v>25.8624996960026</c:v>
                </c:pt>
                <c:pt idx="3">
                  <c:v>27.1227751722759</c:v>
                </c:pt>
                <c:pt idx="4">
                  <c:v>23.6877084915411</c:v>
                </c:pt>
                <c:pt idx="5">
                  <c:v>19.5278708362929</c:v>
                </c:pt>
                <c:pt idx="6">
                  <c:v>18.3552048729209</c:v>
                </c:pt>
                <c:pt idx="7">
                  <c:v>18.6006888909783</c:v>
                </c:pt>
                <c:pt idx="8">
                  <c:v>17.8311959121366</c:v>
                </c:pt>
                <c:pt idx="9">
                  <c:v>17.5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13.6</c:v>
                </c:pt>
                <c:pt idx="14">
                  <c:v>13.1</c:v>
                </c:pt>
                <c:pt idx="15">
                  <c:v>12</c:v>
                </c:pt>
                <c:pt idx="16">
                  <c:v>11.5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OECD!$A$256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OECD!$B$256:$R$256</c:f>
              <c:numCache>
                <c:formatCode>0.0</c:formatCode>
                <c:ptCount val="17"/>
                <c:pt idx="0">
                  <c:v>0.616136426287757</c:v>
                </c:pt>
                <c:pt idx="1">
                  <c:v>1.66056371031616</c:v>
                </c:pt>
                <c:pt idx="2">
                  <c:v>3.59390857129446</c:v>
                </c:pt>
                <c:pt idx="3">
                  <c:v>8.36045900533117</c:v>
                </c:pt>
                <c:pt idx="4">
                  <c:v>9.99420068778261</c:v>
                </c:pt>
                <c:pt idx="5">
                  <c:v>11.1698302943975</c:v>
                </c:pt>
                <c:pt idx="6">
                  <c:v>11.223329838777</c:v>
                </c:pt>
                <c:pt idx="7">
                  <c:v>11.195683011357</c:v>
                </c:pt>
                <c:pt idx="8">
                  <c:v>10.8674625832606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7.5</c:v>
                </c:pt>
                <c:pt idx="13">
                  <c:v>6.4</c:v>
                </c:pt>
                <c:pt idx="14">
                  <c:v>5.9</c:v>
                </c:pt>
                <c:pt idx="15">
                  <c:v>5</c:v>
                </c:pt>
                <c:pt idx="16">
                  <c:v>4.5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OECD!$A$255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OECD!$B$255:$R$255</c:f>
              <c:numCache>
                <c:formatCode>0.0</c:formatCode>
                <c:ptCount val="17"/>
                <c:pt idx="0">
                  <c:v>7.37568250270932</c:v>
                </c:pt>
                <c:pt idx="1">
                  <c:v>7.66747868567286</c:v>
                </c:pt>
                <c:pt idx="2">
                  <c:v>7.64021072335865</c:v>
                </c:pt>
                <c:pt idx="3">
                  <c:v>8.53845924362752</c:v>
                </c:pt>
                <c:pt idx="4">
                  <c:v>8.11514847804668</c:v>
                </c:pt>
                <c:pt idx="5">
                  <c:v>8.37671234093194</c:v>
                </c:pt>
                <c:pt idx="6">
                  <c:v>8.74388258830303</c:v>
                </c:pt>
                <c:pt idx="7">
                  <c:v>8.65781805425745</c:v>
                </c:pt>
                <c:pt idx="8">
                  <c:v>10.6193055990776</c:v>
                </c:pt>
                <c:pt idx="9">
                  <c:v>12</c:v>
                </c:pt>
                <c:pt idx="10">
                  <c:v>15</c:v>
                </c:pt>
                <c:pt idx="11">
                  <c:v>18</c:v>
                </c:pt>
                <c:pt idx="12">
                  <c:v>22</c:v>
                </c:pt>
                <c:pt idx="13">
                  <c:v>26</c:v>
                </c:pt>
                <c:pt idx="14">
                  <c:v>31</c:v>
                </c:pt>
                <c:pt idx="15">
                  <c:v>37</c:v>
                </c:pt>
                <c:pt idx="16">
                  <c:v>44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OECD!$U$269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OECD!$B$269:$R$269</c:f>
              <c:numCache>
                <c:formatCode>#,##0.00</c:formatCode>
                <c:ptCount val="17"/>
                <c:pt idx="9">
                  <c:v>34</c:v>
                </c:pt>
                <c:pt idx="10">
                  <c:v>30.38</c:v>
                </c:pt>
                <c:pt idx="11">
                  <c:v>28.42</c:v>
                </c:pt>
                <c:pt idx="12">
                  <c:v>25.48</c:v>
                </c:pt>
                <c:pt idx="13">
                  <c:v>22.54</c:v>
                </c:pt>
                <c:pt idx="14">
                  <c:v>19.6</c:v>
                </c:pt>
                <c:pt idx="15">
                  <c:v>16.66</c:v>
                </c:pt>
                <c:pt idx="16">
                  <c:v>12.74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OECD!$U$270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OECD!$B$270:$R$270</c:f>
              <c:numCache>
                <c:formatCode>#,##0.00</c:formatCode>
                <c:ptCount val="17"/>
                <c:pt idx="9">
                  <c:v>25.5</c:v>
                </c:pt>
                <c:pt idx="10">
                  <c:v>27.44</c:v>
                </c:pt>
                <c:pt idx="11">
                  <c:v>28.42</c:v>
                </c:pt>
                <c:pt idx="12">
                  <c:v>29.89</c:v>
                </c:pt>
                <c:pt idx="13">
                  <c:v>30.38</c:v>
                </c:pt>
                <c:pt idx="14">
                  <c:v>29.4</c:v>
                </c:pt>
                <c:pt idx="15">
                  <c:v>28.42</c:v>
                </c:pt>
                <c:pt idx="16">
                  <c:v>26.46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OECD!$U$271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OECD!$B$271:$R$271</c:f>
              <c:numCache>
                <c:formatCode>#,##0.00</c:formatCode>
                <c:ptCount val="17"/>
                <c:pt idx="9">
                  <c:v>12</c:v>
                </c:pt>
                <c:pt idx="10">
                  <c:v>14.7</c:v>
                </c:pt>
                <c:pt idx="11">
                  <c:v>17.64</c:v>
                </c:pt>
                <c:pt idx="12">
                  <c:v>21.56</c:v>
                </c:pt>
                <c:pt idx="13">
                  <c:v>25.48</c:v>
                </c:pt>
                <c:pt idx="14">
                  <c:v>30.38</c:v>
                </c:pt>
                <c:pt idx="15">
                  <c:v>36.26</c:v>
                </c:pt>
                <c:pt idx="16">
                  <c:v>43.12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OECD!$U$272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OECD!$B$272:$R$272</c:f>
              <c:numCache>
                <c:formatCode>#,##0.00</c:formatCode>
                <c:ptCount val="17"/>
                <c:pt idx="9">
                  <c:v>11</c:v>
                </c:pt>
                <c:pt idx="10">
                  <c:v>9.8</c:v>
                </c:pt>
                <c:pt idx="11">
                  <c:v>8.82</c:v>
                </c:pt>
                <c:pt idx="12">
                  <c:v>7.35</c:v>
                </c:pt>
                <c:pt idx="13">
                  <c:v>6.272</c:v>
                </c:pt>
                <c:pt idx="14">
                  <c:v>5.782</c:v>
                </c:pt>
                <c:pt idx="15">
                  <c:v>4.9</c:v>
                </c:pt>
                <c:pt idx="16">
                  <c:v>4.41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OECD!$U$273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OECD!$B$273:$R$273</c:f>
              <c:numCache>
                <c:formatCode>#,##0.00</c:formatCode>
                <c:ptCount val="17"/>
                <c:pt idx="9">
                  <c:v>17.5</c:v>
                </c:pt>
                <c:pt idx="10">
                  <c:v>17.68</c:v>
                </c:pt>
                <c:pt idx="11">
                  <c:v>16.7</c:v>
                </c:pt>
                <c:pt idx="12">
                  <c:v>15.72</c:v>
                </c:pt>
                <c:pt idx="13">
                  <c:v>15.328</c:v>
                </c:pt>
                <c:pt idx="14">
                  <c:v>14.838</c:v>
                </c:pt>
                <c:pt idx="15">
                  <c:v>13.76</c:v>
                </c:pt>
                <c:pt idx="16">
                  <c:v>13.27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759423"/>
        <c:axId val="15490878"/>
      </c:lineChart>
      <c:catAx>
        <c:axId val="8675942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90878"/>
        <c:crosses val="autoZero"/>
        <c:auto val="1"/>
        <c:lblAlgn val="ctr"/>
        <c:lblOffset val="100"/>
        <c:noMultiLvlLbl val="0"/>
      </c:catAx>
      <c:valAx>
        <c:axId val="1549087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59423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OECD!$AA$381</c:f>
              <c:strCache>
                <c:ptCount val="1"/>
                <c:pt idx="0">
                  <c:v>CO2 Emissions (0 - 7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OECD!$AB$381:$AR$381</c:f>
              <c:numCache>
                <c:formatCode>#,##0.000</c:formatCode>
                <c:ptCount val="17"/>
                <c:pt idx="0">
                  <c:v>0.742240714285714</c:v>
                </c:pt>
                <c:pt idx="1">
                  <c:v>0.803020428571429</c:v>
                </c:pt>
                <c:pt idx="2">
                  <c:v>0.893781428571429</c:v>
                </c:pt>
                <c:pt idx="3">
                  <c:v>0.853724666666667</c:v>
                </c:pt>
                <c:pt idx="4">
                  <c:v>0.895548761904762</c:v>
                </c:pt>
                <c:pt idx="5">
                  <c:v>0.925352476190476</c:v>
                </c:pt>
                <c:pt idx="6">
                  <c:v>0.942977095238095</c:v>
                </c:pt>
                <c:pt idx="7">
                  <c:v>0.97795080952381</c:v>
                </c:pt>
                <c:pt idx="8">
                  <c:v>0.969645285714286</c:v>
                </c:pt>
                <c:pt idx="9">
                  <c:v>0.954112010595333</c:v>
                </c:pt>
                <c:pt idx="10">
                  <c:v>0.910707927620665</c:v>
                </c:pt>
                <c:pt idx="11">
                  <c:v>0.866511192149718</c:v>
                </c:pt>
                <c:pt idx="12">
                  <c:v>0.794452206929518</c:v>
                </c:pt>
                <c:pt idx="13">
                  <c:v>0.714580186753862</c:v>
                </c:pt>
                <c:pt idx="14">
                  <c:v>0.619832630153617</c:v>
                </c:pt>
                <c:pt idx="15">
                  <c:v>0.524703473059106</c:v>
                </c:pt>
                <c:pt idx="16">
                  <c:v>0.428831842834387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OECD!$AA$382</c:f>
              <c:strCache>
                <c:ptCount val="1"/>
                <c:pt idx="0">
                  <c:v>Energy use (0 - 3.2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OECD!$AB$382:$AR$382</c:f>
              <c:numCache>
                <c:formatCode>#,##0.000</c:formatCode>
                <c:ptCount val="17"/>
                <c:pt idx="0">
                  <c:v>0.558622222798515</c:v>
                </c:pt>
                <c:pt idx="1">
                  <c:v>0.624016256384834</c:v>
                </c:pt>
                <c:pt idx="2">
                  <c:v>0.696412749614974</c:v>
                </c:pt>
                <c:pt idx="3">
                  <c:v>0.714808241531863</c:v>
                </c:pt>
                <c:pt idx="4">
                  <c:v>0.780570846018903</c:v>
                </c:pt>
                <c:pt idx="5">
                  <c:v>0.838759578931586</c:v>
                </c:pt>
                <c:pt idx="6">
                  <c:v>0.904755539928126</c:v>
                </c:pt>
                <c:pt idx="7">
                  <c:v>0.95600078231888</c:v>
                </c:pt>
                <c:pt idx="8">
                  <c:v>0.937593015468589</c:v>
                </c:pt>
                <c:pt idx="9">
                  <c:v>0.945033789250178</c:v>
                </c:pt>
                <c:pt idx="10">
                  <c:v>0.941747287967247</c:v>
                </c:pt>
                <c:pt idx="11">
                  <c:v>0.929488808756226</c:v>
                </c:pt>
                <c:pt idx="12">
                  <c:v>0.893712340992888</c:v>
                </c:pt>
                <c:pt idx="13">
                  <c:v>0.844001341010951</c:v>
                </c:pt>
                <c:pt idx="14">
                  <c:v>0.786428606080557</c:v>
                </c:pt>
                <c:pt idx="15">
                  <c:v>0.729763843374334</c:v>
                </c:pt>
                <c:pt idx="16">
                  <c:v>0.672622581246518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OECD!$AA$383</c:f>
              <c:strCache>
                <c:ptCount val="1"/>
                <c:pt idx="0">
                  <c:v>Climate intensity (0 - 3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OECD!$AB$383:$AR$383</c:f>
              <c:numCache>
                <c:formatCode>#,##0.000</c:formatCode>
                <c:ptCount val="17"/>
                <c:pt idx="0">
                  <c:v>0.968842923556959</c:v>
                </c:pt>
                <c:pt idx="1">
                  <c:v>0.93833409494634</c:v>
                </c:pt>
                <c:pt idx="2">
                  <c:v>0.935818055255758</c:v>
                </c:pt>
                <c:pt idx="3">
                  <c:v>0.870873520023196</c:v>
                </c:pt>
                <c:pt idx="4">
                  <c:v>0.836572758111621</c:v>
                </c:pt>
                <c:pt idx="5">
                  <c:v>0.804445275504378</c:v>
                </c:pt>
                <c:pt idx="6">
                  <c:v>0.759970439454176</c:v>
                </c:pt>
                <c:pt idx="7">
                  <c:v>0.745908523437368</c:v>
                </c:pt>
                <c:pt idx="8">
                  <c:v>0.754093737014426</c:v>
                </c:pt>
                <c:pt idx="9">
                  <c:v>0.736171216633882</c:v>
                </c:pt>
                <c:pt idx="10">
                  <c:v>0.70513382132847</c:v>
                </c:pt>
                <c:pt idx="11">
                  <c:v>0.679761898859912</c:v>
                </c:pt>
                <c:pt idx="12">
                  <c:v>0.648181792934852</c:v>
                </c:pt>
                <c:pt idx="13">
                  <c:v>0.617354531945699</c:v>
                </c:pt>
                <c:pt idx="14">
                  <c:v>0.574700982804852</c:v>
                </c:pt>
                <c:pt idx="15">
                  <c:v>0.524274100330671</c:v>
                </c:pt>
                <c:pt idx="16">
                  <c:v>0.464881635137183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OECD!$AA$384</c:f>
              <c:strCache>
                <c:ptCount val="1"/>
                <c:pt idx="0">
                  <c:v>Fraction renewable (0 - 70 %)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OECD!$AB$384:$AR$384</c:f>
              <c:numCache>
                <c:formatCode>#,##0.000</c:formatCode>
                <c:ptCount val="17"/>
                <c:pt idx="0">
                  <c:v>0.105366892895847</c:v>
                </c:pt>
                <c:pt idx="1">
                  <c:v>0.109535409795327</c:v>
                </c:pt>
                <c:pt idx="2">
                  <c:v>0.109145867476552</c:v>
                </c:pt>
                <c:pt idx="3">
                  <c:v>0.121977989194679</c:v>
                </c:pt>
                <c:pt idx="4">
                  <c:v>0.115930692543524</c:v>
                </c:pt>
                <c:pt idx="5">
                  <c:v>0.119667319156171</c:v>
                </c:pt>
                <c:pt idx="6">
                  <c:v>0.124912608404329</c:v>
                </c:pt>
                <c:pt idx="7">
                  <c:v>0.123683115060821</c:v>
                </c:pt>
                <c:pt idx="8">
                  <c:v>0.151704365701109</c:v>
                </c:pt>
                <c:pt idx="9">
                  <c:v>0.171428571428571</c:v>
                </c:pt>
                <c:pt idx="10">
                  <c:v>0.214285714285714</c:v>
                </c:pt>
                <c:pt idx="11">
                  <c:v>0.257142857142857</c:v>
                </c:pt>
                <c:pt idx="12">
                  <c:v>0.314285714285714</c:v>
                </c:pt>
                <c:pt idx="13">
                  <c:v>0.371428571428571</c:v>
                </c:pt>
                <c:pt idx="14">
                  <c:v>0.442857142857143</c:v>
                </c:pt>
                <c:pt idx="15">
                  <c:v>0.528571428571429</c:v>
                </c:pt>
                <c:pt idx="16">
                  <c:v>0.628571428571429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OECD!$AA$386</c:f>
              <c:strCache>
                <c:ptCount val="1"/>
                <c:pt idx="0">
                  <c:v>CO2 Emissions (0 - 7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OECD!$AB$386:$AR$386</c:f>
              <c:numCache>
                <c:formatCode>#,##0.000</c:formatCode>
                <c:ptCount val="17"/>
                <c:pt idx="9">
                  <c:v>0.954112010595333</c:v>
                </c:pt>
                <c:pt idx="10">
                  <c:v>0.905723253291735</c:v>
                </c:pt>
                <c:pt idx="11">
                  <c:v>0.86158754849355</c:v>
                </c:pt>
                <c:pt idx="12">
                  <c:v>0.790415782234003</c:v>
                </c:pt>
                <c:pt idx="13">
                  <c:v>0.71171943471416</c:v>
                </c:pt>
                <c:pt idx="14">
                  <c:v>0.618909143437671</c:v>
                </c:pt>
                <c:pt idx="15">
                  <c:v>0.526049670237711</c:v>
                </c:pt>
                <c:pt idx="16">
                  <c:v>0.43265210059836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OECD!$AA$387</c:f>
              <c:strCache>
                <c:ptCount val="1"/>
                <c:pt idx="0">
                  <c:v>Energy use (0 - 3.2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OECD!$AB$387:$AR$387</c:f>
              <c:numCache>
                <c:formatCode>#,##0.000</c:formatCode>
                <c:ptCount val="17"/>
                <c:pt idx="9">
                  <c:v>0.945033789250178</c:v>
                </c:pt>
                <c:pt idx="10">
                  <c:v>0.92116652350484</c:v>
                </c:pt>
                <c:pt idx="11">
                  <c:v>0.907760581540758</c:v>
                </c:pt>
                <c:pt idx="12">
                  <c:v>0.87175817036895</c:v>
                </c:pt>
                <c:pt idx="13">
                  <c:v>0.822550051545588</c:v>
                </c:pt>
                <c:pt idx="14">
                  <c:v>0.766039842958377</c:v>
                </c:pt>
                <c:pt idx="15">
                  <c:v>0.710724618946484</c:v>
                </c:pt>
                <c:pt idx="16">
                  <c:v>0.655199774918989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OECD!$AA$388</c:f>
              <c:strCache>
                <c:ptCount val="1"/>
                <c:pt idx="0">
                  <c:v>Climate intensity (0 - 3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OECD!$AB$388:$AR$388</c:f>
              <c:numCache>
                <c:formatCode>#,##0.000</c:formatCode>
                <c:ptCount val="17"/>
                <c:pt idx="9">
                  <c:v>0.736171216633882</c:v>
                </c:pt>
                <c:pt idx="10">
                  <c:v>0.716942256013012</c:v>
                </c:pt>
                <c:pt idx="11">
                  <c:v>0.692077771993825</c:v>
                </c:pt>
                <c:pt idx="12">
                  <c:v>0.661129268187266</c:v>
                </c:pt>
                <c:pt idx="13">
                  <c:v>0.630918552417896</c:v>
                </c:pt>
                <c:pt idx="14">
                  <c:v>0.589118074259866</c:v>
                </c:pt>
                <c:pt idx="15">
                  <c:v>0.539699729435168</c:v>
                </c:pt>
                <c:pt idx="16">
                  <c:v>0.48149511354555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OECD!$AA$389</c:f>
              <c:strCache>
                <c:ptCount val="1"/>
                <c:pt idx="0">
                  <c:v>Fraction renewable (0 - 70 %),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OECD!$AB$389:$AR$389</c:f>
              <c:numCache>
                <c:formatCode>#,##0.000</c:formatCode>
                <c:ptCount val="17"/>
                <c:pt idx="9">
                  <c:v>0.171428571428571</c:v>
                </c:pt>
                <c:pt idx="10">
                  <c:v>0.21</c:v>
                </c:pt>
                <c:pt idx="11">
                  <c:v>0.252</c:v>
                </c:pt>
                <c:pt idx="12">
                  <c:v>0.308</c:v>
                </c:pt>
                <c:pt idx="13">
                  <c:v>0.364</c:v>
                </c:pt>
                <c:pt idx="14">
                  <c:v>0.434</c:v>
                </c:pt>
                <c:pt idx="15">
                  <c:v>0.518</c:v>
                </c:pt>
                <c:pt idx="16">
                  <c:v>0.616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449109"/>
        <c:axId val="38785413"/>
      </c:lineChart>
      <c:catAx>
        <c:axId val="3044910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85413"/>
        <c:crosses val="autoZero"/>
        <c:auto val="1"/>
        <c:lblAlgn val="ctr"/>
        <c:lblOffset val="100"/>
        <c:noMultiLvlLbl val="0"/>
      </c:catAx>
      <c:valAx>
        <c:axId val="3878541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491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392037336889"/>
          <c:w val="0.71107355426556"/>
          <c:h val="0.806362510715306"/>
        </c:manualLayout>
      </c:layout>
      <c:lineChart>
        <c:grouping val="standard"/>
        <c:varyColors val="0"/>
        <c:ser>
          <c:idx val="0"/>
          <c:order val="0"/>
          <c:tx>
            <c:strRef>
              <c:f>OECD!$AA$421</c:f>
              <c:strCache>
                <c:ptCount val="1"/>
                <c:pt idx="0">
                  <c:v>Food production (0 - 1200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OECD!$AB$421:$AR$421</c:f>
              <c:numCache>
                <c:formatCode>#,##0.000</c:formatCode>
                <c:ptCount val="17"/>
                <c:pt idx="0">
                  <c:v>0.552579003333333</c:v>
                </c:pt>
                <c:pt idx="1">
                  <c:v>0.588677164166667</c:v>
                </c:pt>
                <c:pt idx="2">
                  <c:v>0.6212588325</c:v>
                </c:pt>
                <c:pt idx="3">
                  <c:v>0.701248935</c:v>
                </c:pt>
                <c:pt idx="4">
                  <c:v>0.700213220833333</c:v>
                </c:pt>
                <c:pt idx="5">
                  <c:v>0.665350373333333</c:v>
                </c:pt>
                <c:pt idx="6">
                  <c:v>0.723357610833333</c:v>
                </c:pt>
                <c:pt idx="7">
                  <c:v>0.715194251666667</c:v>
                </c:pt>
                <c:pt idx="8">
                  <c:v>0.721551256666667</c:v>
                </c:pt>
                <c:pt idx="9">
                  <c:v>0.750833333333333</c:v>
                </c:pt>
                <c:pt idx="10">
                  <c:v>0.779166666666667</c:v>
                </c:pt>
                <c:pt idx="11">
                  <c:v>0.821666666666667</c:v>
                </c:pt>
                <c:pt idx="12">
                  <c:v>0.864166666666667</c:v>
                </c:pt>
                <c:pt idx="13">
                  <c:v>0.885416666666667</c:v>
                </c:pt>
                <c:pt idx="14">
                  <c:v>0.906666666666667</c:v>
                </c:pt>
                <c:pt idx="15">
                  <c:v>0.89375</c:v>
                </c:pt>
                <c:pt idx="16">
                  <c:v>0.8525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OECD!$AA$422</c:f>
              <c:strCache>
                <c:ptCount val="1"/>
                <c:pt idx="0">
                  <c:v>Cultivated land (0 - 200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OECD!$AB$422:$AR$422</c:f>
              <c:numCache>
                <c:formatCode>#,##0.000</c:formatCode>
                <c:ptCount val="17"/>
                <c:pt idx="0">
                  <c:v>0.845713635</c:v>
                </c:pt>
                <c:pt idx="1">
                  <c:v>0.86708427</c:v>
                </c:pt>
                <c:pt idx="2">
                  <c:v>0.88034783</c:v>
                </c:pt>
                <c:pt idx="3">
                  <c:v>0.91637681</c:v>
                </c:pt>
                <c:pt idx="4">
                  <c:v>0.86376814</c:v>
                </c:pt>
                <c:pt idx="5">
                  <c:v>0.84201333</c:v>
                </c:pt>
                <c:pt idx="6">
                  <c:v>0.867624055</c:v>
                </c:pt>
                <c:pt idx="7">
                  <c:v>0.84205336</c:v>
                </c:pt>
                <c:pt idx="8">
                  <c:v>0.839671145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0.825</c:v>
                </c:pt>
                <c:pt idx="16">
                  <c:v>0.775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OECD!$AA$423</c:f>
              <c:strCache>
                <c:ptCount val="1"/>
                <c:pt idx="0">
                  <c:v>Gross yield (0 - 10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OECD!$AB$423:$AR$423</c:f>
              <c:numCache>
                <c:formatCode>#,##0.000</c:formatCode>
                <c:ptCount val="17"/>
                <c:pt idx="0">
                  <c:v>0.392032702653541</c:v>
                </c:pt>
                <c:pt idx="1">
                  <c:v>0.407349447707084</c:v>
                </c:pt>
                <c:pt idx="2">
                  <c:v>0.423418206755846</c:v>
                </c:pt>
                <c:pt idx="3">
                  <c:v>0.459144487735346</c:v>
                </c:pt>
                <c:pt idx="4">
                  <c:v>0.486389706964649</c:v>
                </c:pt>
                <c:pt idx="5">
                  <c:v>0.474113900310818</c:v>
                </c:pt>
                <c:pt idx="6">
                  <c:v>0.500233440968854</c:v>
                </c:pt>
                <c:pt idx="7">
                  <c:v>0.509607313959296</c:v>
                </c:pt>
                <c:pt idx="8">
                  <c:v>0.51559560737317</c:v>
                </c:pt>
                <c:pt idx="9">
                  <c:v>0.53</c:v>
                </c:pt>
                <c:pt idx="10">
                  <c:v>0.55</c:v>
                </c:pt>
                <c:pt idx="11">
                  <c:v>0.58</c:v>
                </c:pt>
                <c:pt idx="12">
                  <c:v>0.61</c:v>
                </c:pt>
                <c:pt idx="13">
                  <c:v>0.625</c:v>
                </c:pt>
                <c:pt idx="14">
                  <c:v>0.64</c:v>
                </c:pt>
                <c:pt idx="15">
                  <c:v>0.65</c:v>
                </c:pt>
                <c:pt idx="16">
                  <c:v>0.66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OECD!$AA$424</c:f>
              <c:strCache>
                <c:ptCount val="1"/>
                <c:pt idx="0">
                  <c:v>Food per person (0 - 2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OECD!$AB$424:$AR$424</c:f>
              <c:numCache>
                <c:formatCode>#,##0.000</c:formatCode>
                <c:ptCount val="17"/>
                <c:pt idx="0">
                  <c:v>0.556872277912695</c:v>
                </c:pt>
                <c:pt idx="1">
                  <c:v>0.568297589234996</c:v>
                </c:pt>
                <c:pt idx="2">
                  <c:v>0.581350085129497</c:v>
                </c:pt>
                <c:pt idx="3">
                  <c:v>0.63962354627276</c:v>
                </c:pt>
                <c:pt idx="4">
                  <c:v>0.623592203578664</c:v>
                </c:pt>
                <c:pt idx="5">
                  <c:v>0.577697666824116</c:v>
                </c:pt>
                <c:pt idx="6">
                  <c:v>0.617538618103436</c:v>
                </c:pt>
                <c:pt idx="7">
                  <c:v>0.59638522495152</c:v>
                </c:pt>
                <c:pt idx="8">
                  <c:v>0.587313739808015</c:v>
                </c:pt>
                <c:pt idx="9">
                  <c:v>0.607345018414949</c:v>
                </c:pt>
                <c:pt idx="10">
                  <c:v>0.63110434718366</c:v>
                </c:pt>
                <c:pt idx="11">
                  <c:v>0.670978255509214</c:v>
                </c:pt>
                <c:pt idx="12">
                  <c:v>0.714729307560273</c:v>
                </c:pt>
                <c:pt idx="13">
                  <c:v>0.743874918095192</c:v>
                </c:pt>
                <c:pt idx="14">
                  <c:v>0.776636432120659</c:v>
                </c:pt>
                <c:pt idx="15">
                  <c:v>0.784227990482127</c:v>
                </c:pt>
                <c:pt idx="16">
                  <c:v>0.770456302126182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OECD!$AA$428</c:f>
              <c:strCache>
                <c:ptCount val="1"/>
                <c:pt idx="0">
                  <c:v>Food production (0 - 1200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OECD!$AB$428:$AR$428</c:f>
              <c:numCache>
                <c:formatCode>#,##0.000</c:formatCode>
                <c:ptCount val="17"/>
                <c:pt idx="9">
                  <c:v>0.750833333333333</c:v>
                </c:pt>
                <c:pt idx="10">
                  <c:v>0.748311666666667</c:v>
                </c:pt>
                <c:pt idx="11">
                  <c:v>0.789128666666667</c:v>
                </c:pt>
                <c:pt idx="12">
                  <c:v>0.829945666666667</c:v>
                </c:pt>
                <c:pt idx="13">
                  <c:v>0.850354166666667</c:v>
                </c:pt>
                <c:pt idx="14">
                  <c:v>0.870762666666667</c:v>
                </c:pt>
                <c:pt idx="15">
                  <c:v>0.8583575</c:v>
                </c:pt>
                <c:pt idx="16">
                  <c:v>0.818741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OECD!$AA$429</c:f>
              <c:strCache>
                <c:ptCount val="1"/>
                <c:pt idx="0">
                  <c:v>Cultivated land (0 - 200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OECD!$AB$429:$AR$429</c:f>
              <c:numCache>
                <c:formatCode>#,##0.000</c:formatCode>
                <c:ptCount val="17"/>
                <c:pt idx="9">
                  <c:v>0.85</c:v>
                </c:pt>
                <c:pt idx="10">
                  <c:v>0.833</c:v>
                </c:pt>
                <c:pt idx="11">
                  <c:v>0.833</c:v>
                </c:pt>
                <c:pt idx="12">
                  <c:v>0.833</c:v>
                </c:pt>
                <c:pt idx="13">
                  <c:v>0.833</c:v>
                </c:pt>
                <c:pt idx="14">
                  <c:v>0.833</c:v>
                </c:pt>
                <c:pt idx="15">
                  <c:v>0.8085</c:v>
                </c:pt>
                <c:pt idx="16">
                  <c:v>0.7595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OECD!$AA$430</c:f>
              <c:strCache>
                <c:ptCount val="1"/>
                <c:pt idx="0">
                  <c:v>Gross yield (0 - 10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OECD!$AB$430:$AR$430</c:f>
              <c:numCache>
                <c:formatCode>#,##0.000</c:formatCode>
                <c:ptCount val="17"/>
                <c:pt idx="9">
                  <c:v>0.53</c:v>
                </c:pt>
                <c:pt idx="10">
                  <c:v>0.539</c:v>
                </c:pt>
                <c:pt idx="11">
                  <c:v>0.5684</c:v>
                </c:pt>
                <c:pt idx="12">
                  <c:v>0.5978</c:v>
                </c:pt>
                <c:pt idx="13">
                  <c:v>0.6125</c:v>
                </c:pt>
                <c:pt idx="14">
                  <c:v>0.6272</c:v>
                </c:pt>
                <c:pt idx="15">
                  <c:v>0.637</c:v>
                </c:pt>
                <c:pt idx="16">
                  <c:v>0.6468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OECD!$AA$431</c:f>
              <c:strCache>
                <c:ptCount val="1"/>
                <c:pt idx="0">
                  <c:v>Food per person (0 - 2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OECD!$AB$420:$AR$420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OECD!$AB$431:$AR$431</c:f>
              <c:numCache>
                <c:formatCode>#,##0.000</c:formatCode>
                <c:ptCount val="17"/>
                <c:pt idx="9">
                  <c:v>0.607345018414949</c:v>
                </c:pt>
                <c:pt idx="10">
                  <c:v>0.606096446746604</c:v>
                </c:pt>
                <c:pt idx="11">
                  <c:v>0.64428480533633</c:v>
                </c:pt>
                <c:pt idx="12">
                  <c:v>0.686119424233229</c:v>
                </c:pt>
                <c:pt idx="13">
                  <c:v>0.713872784190333</c:v>
                </c:pt>
                <c:pt idx="14">
                  <c:v>0.745021322612993</c:v>
                </c:pt>
                <c:pt idx="15">
                  <c:v>0.751937375575963</c:v>
                </c:pt>
                <c:pt idx="16">
                  <c:v>0.738290109054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03170"/>
        <c:axId val="16638412"/>
      </c:lineChart>
      <c:catAx>
        <c:axId val="5440317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38412"/>
        <c:crosses val="autoZero"/>
        <c:auto val="1"/>
        <c:lblAlgn val="ctr"/>
        <c:lblOffset val="100"/>
        <c:noMultiLvlLbl val="0"/>
      </c:catAx>
      <c:valAx>
        <c:axId val="1663841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031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7"/>
          <c:y val="0.108093212860323"/>
          <c:w val="0.230526795809913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57132054069"/>
          <c:w val="0.711068448645057"/>
          <c:h val="0.806314396445789"/>
        </c:manualLayout>
      </c:layout>
      <c:lineChart>
        <c:grouping val="standard"/>
        <c:varyColors val="0"/>
        <c:ser>
          <c:idx val="0"/>
          <c:order val="0"/>
          <c:tx>
            <c:strRef>
              <c:f>OECD!$AA$474</c:f>
              <c:strCache>
                <c:ptCount val="1"/>
                <c:pt idx="0">
                  <c:v>Total bio-capacity, OECD-less-US (0 - 2500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OECD!$AB$474:$AR$474</c:f>
              <c:numCache>
                <c:formatCode>#,##0.000</c:formatCode>
                <c:ptCount val="17"/>
                <c:pt idx="0">
                  <c:v>0.855881480706779</c:v>
                </c:pt>
                <c:pt idx="1">
                  <c:v>0.879803760248627</c:v>
                </c:pt>
                <c:pt idx="2">
                  <c:v>0.873775358216543</c:v>
                </c:pt>
                <c:pt idx="3">
                  <c:v>0.866316205313153</c:v>
                </c:pt>
                <c:pt idx="4">
                  <c:v>0.856965205240406</c:v>
                </c:pt>
                <c:pt idx="5">
                  <c:v>0.872713163050642</c:v>
                </c:pt>
                <c:pt idx="6">
                  <c:v>0.872659267172787</c:v>
                </c:pt>
                <c:pt idx="7">
                  <c:v>0.843527311883725</c:v>
                </c:pt>
                <c:pt idx="8">
                  <c:v>0.82228442187148</c:v>
                </c:pt>
                <c:pt idx="9">
                  <c:v>0.804</c:v>
                </c:pt>
                <c:pt idx="10">
                  <c:v>0.796</c:v>
                </c:pt>
                <c:pt idx="11">
                  <c:v>0.788</c:v>
                </c:pt>
                <c:pt idx="12">
                  <c:v>0.78</c:v>
                </c:pt>
                <c:pt idx="13">
                  <c:v>0.772</c:v>
                </c:pt>
                <c:pt idx="14">
                  <c:v>0.764</c:v>
                </c:pt>
                <c:pt idx="15">
                  <c:v>0.748</c:v>
                </c:pt>
                <c:pt idx="16">
                  <c:v>0.7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OECD!$AA$476</c:f>
              <c:strCache>
                <c:ptCount val="1"/>
                <c:pt idx="0">
                  <c:v>Nonenergy footprint (0 - 2500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OECD!$AB$476:$AR$476</c:f>
              <c:numCache>
                <c:formatCode>#,##0.000</c:formatCode>
                <c:ptCount val="17"/>
                <c:pt idx="0">
                  <c:v>0.695303993104755</c:v>
                </c:pt>
                <c:pt idx="1">
                  <c:v>0.708503233269351</c:v>
                </c:pt>
                <c:pt idx="2">
                  <c:v>0.713585430856632</c:v>
                </c:pt>
                <c:pt idx="3">
                  <c:v>0.6870957082152</c:v>
                </c:pt>
                <c:pt idx="4">
                  <c:v>0.717303399547268</c:v>
                </c:pt>
                <c:pt idx="5">
                  <c:v>0.72761744549088</c:v>
                </c:pt>
                <c:pt idx="6">
                  <c:v>0.688238484534132</c:v>
                </c:pt>
                <c:pt idx="7">
                  <c:v>0.676655967466436</c:v>
                </c:pt>
                <c:pt idx="8">
                  <c:v>0.667414220171764</c:v>
                </c:pt>
                <c:pt idx="9">
                  <c:v>0.654803687137323</c:v>
                </c:pt>
                <c:pt idx="10">
                  <c:v>0.639218012040464</c:v>
                </c:pt>
                <c:pt idx="11">
                  <c:v>0.621345431427408</c:v>
                </c:pt>
                <c:pt idx="12">
                  <c:v>0.602746039379309</c:v>
                </c:pt>
                <c:pt idx="13">
                  <c:v>0.584470308326598</c:v>
                </c:pt>
                <c:pt idx="14">
                  <c:v>0.566085030193194</c:v>
                </c:pt>
                <c:pt idx="15">
                  <c:v>0.547092411599751</c:v>
                </c:pt>
                <c:pt idx="16">
                  <c:v>0.527185997256639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OECD!$AA$479</c:f>
              <c:strCache>
                <c:ptCount val="1"/>
                <c:pt idx="0">
                  <c:v>Unused bio-capacity (0 - 2500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OECD!$AB$479:$AR$479</c:f>
              <c:numCache>
                <c:formatCode>#,##0.000</c:formatCode>
                <c:ptCount val="17"/>
                <c:pt idx="0">
                  <c:v>0.160577487602024</c:v>
                </c:pt>
                <c:pt idx="1">
                  <c:v>0.171300526979276</c:v>
                </c:pt>
                <c:pt idx="2">
                  <c:v>0.160189927359911</c:v>
                </c:pt>
                <c:pt idx="3">
                  <c:v>0.179220497097954</c:v>
                </c:pt>
                <c:pt idx="4">
                  <c:v>0.139661805693137</c:v>
                </c:pt>
                <c:pt idx="5">
                  <c:v>0.145095717559762</c:v>
                </c:pt>
                <c:pt idx="6">
                  <c:v>0.184420782638655</c:v>
                </c:pt>
                <c:pt idx="7">
                  <c:v>0.16687134441729</c:v>
                </c:pt>
                <c:pt idx="8">
                  <c:v>0.154870201699716</c:v>
                </c:pt>
                <c:pt idx="9">
                  <c:v>0.149196312862677</c:v>
                </c:pt>
                <c:pt idx="10">
                  <c:v>0.156781987959537</c:v>
                </c:pt>
                <c:pt idx="11">
                  <c:v>0.166654568572592</c:v>
                </c:pt>
                <c:pt idx="12">
                  <c:v>0.177253960620691</c:v>
                </c:pt>
                <c:pt idx="13">
                  <c:v>0.187529691673402</c:v>
                </c:pt>
                <c:pt idx="14">
                  <c:v>0.197914969806807</c:v>
                </c:pt>
                <c:pt idx="15">
                  <c:v>0.200907588400249</c:v>
                </c:pt>
                <c:pt idx="16">
                  <c:v>0.172814002743361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OECD!$AA$480</c:f>
              <c:strCache>
                <c:ptCount val="1"/>
                <c:pt idx="0">
                  <c:v>Unused bio-capacity per person (0 - 1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OECD!$AB$480:$AR$480</c:f>
              <c:numCache>
                <c:formatCode>#,##0.000</c:formatCode>
                <c:ptCount val="17"/>
                <c:pt idx="0">
                  <c:v>0.674271241178635</c:v>
                </c:pt>
                <c:pt idx="1">
                  <c:v>0.689042614262773</c:v>
                </c:pt>
                <c:pt idx="2">
                  <c:v>0.62458151522251</c:v>
                </c:pt>
                <c:pt idx="3">
                  <c:v>0.681127890759648</c:v>
                </c:pt>
                <c:pt idx="4">
                  <c:v>0.518246981637901</c:v>
                </c:pt>
                <c:pt idx="5">
                  <c:v>0.5249205334759</c:v>
                </c:pt>
                <c:pt idx="6">
                  <c:v>0.656008830410009</c:v>
                </c:pt>
                <c:pt idx="7">
                  <c:v>0.579793555191186</c:v>
                </c:pt>
                <c:pt idx="8">
                  <c:v>0.525242180791585</c:v>
                </c:pt>
                <c:pt idx="9">
                  <c:v>0.502850373934658</c:v>
                </c:pt>
                <c:pt idx="10">
                  <c:v>0.529121893911015</c:v>
                </c:pt>
                <c:pt idx="11">
                  <c:v>0.567046611021698</c:v>
                </c:pt>
                <c:pt idx="12">
                  <c:v>0.610841854082653</c:v>
                </c:pt>
                <c:pt idx="13">
                  <c:v>0.656464160159852</c:v>
                </c:pt>
                <c:pt idx="14">
                  <c:v>0.706378566240929</c:v>
                </c:pt>
                <c:pt idx="15">
                  <c:v>0.734533120390383</c:v>
                </c:pt>
                <c:pt idx="16">
                  <c:v>0.650760691638679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OECD!$AA$482</c:f>
              <c:strCache>
                <c:ptCount val="1"/>
                <c:pt idx="0">
                  <c:v>Total bio-capacity, OECD-less-US (0 - 2500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OECD!$AB$482:$AR$482</c:f>
              <c:numCache>
                <c:formatCode>#,##0.000</c:formatCode>
                <c:ptCount val="17"/>
                <c:pt idx="9">
                  <c:v>0.804</c:v>
                </c:pt>
                <c:pt idx="10">
                  <c:v>0.78008</c:v>
                </c:pt>
                <c:pt idx="11">
                  <c:v>0.77224</c:v>
                </c:pt>
                <c:pt idx="12">
                  <c:v>0.7644</c:v>
                </c:pt>
                <c:pt idx="13">
                  <c:v>0.75656</c:v>
                </c:pt>
                <c:pt idx="14">
                  <c:v>0.74872</c:v>
                </c:pt>
                <c:pt idx="15">
                  <c:v>0.73304</c:v>
                </c:pt>
                <c:pt idx="16">
                  <c:v>0.686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OECD!$AA$484</c:f>
              <c:strCache>
                <c:ptCount val="1"/>
                <c:pt idx="0">
                  <c:v>Nonenergy footprint (0 - 2500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OECD!$AB$484:$AR$484</c:f>
              <c:numCache>
                <c:formatCode>#,##0.000</c:formatCode>
                <c:ptCount val="17"/>
                <c:pt idx="9">
                  <c:v>0.654803687137323</c:v>
                </c:pt>
                <c:pt idx="10">
                  <c:v>0.639529340894695</c:v>
                </c:pt>
                <c:pt idx="11">
                  <c:v>0.622003644933326</c:v>
                </c:pt>
                <c:pt idx="12">
                  <c:v>0.603754231759886</c:v>
                </c:pt>
                <c:pt idx="13">
                  <c:v>0.585811296621061</c:v>
                </c:pt>
                <c:pt idx="14">
                  <c:v>0.567749630040339</c:v>
                </c:pt>
                <c:pt idx="15">
                  <c:v>0.549079484915856</c:v>
                </c:pt>
                <c:pt idx="16">
                  <c:v>0.529497994434243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OECD!$AA$487</c:f>
              <c:strCache>
                <c:ptCount val="1"/>
                <c:pt idx="0">
                  <c:v>Unused bio-capacity (0 - 2500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OECD!$AB$487:$AR$487</c:f>
              <c:numCache>
                <c:formatCode>#,##0.000</c:formatCode>
                <c:ptCount val="17"/>
                <c:pt idx="9">
                  <c:v>0.149196312862677</c:v>
                </c:pt>
                <c:pt idx="10">
                  <c:v>0.140550659105305</c:v>
                </c:pt>
                <c:pt idx="11">
                  <c:v>0.150236355066674</c:v>
                </c:pt>
                <c:pt idx="12">
                  <c:v>0.160645768240114</c:v>
                </c:pt>
                <c:pt idx="13">
                  <c:v>0.170748703378939</c:v>
                </c:pt>
                <c:pt idx="14">
                  <c:v>0.180970369959661</c:v>
                </c:pt>
                <c:pt idx="15">
                  <c:v>0.183960515084144</c:v>
                </c:pt>
                <c:pt idx="16">
                  <c:v>0.156502005565757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OECD!$AA$488</c:f>
              <c:strCache>
                <c:ptCount val="1"/>
                <c:pt idx="0">
                  <c:v>Unused bio-capacity per person (0 - 1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OECD!$AB$473:$AR$473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OECD!$AB$488:$AR$488</c:f>
              <c:numCache>
                <c:formatCode>#,##0.000</c:formatCode>
                <c:ptCount val="17"/>
                <c:pt idx="9">
                  <c:v>0.502850373934658</c:v>
                </c:pt>
                <c:pt idx="10">
                  <c:v>0.474330298380679</c:v>
                </c:pt>
                <c:pt idx="11">
                  <c:v>0.511085859987408</c:v>
                </c:pt>
                <c:pt idx="12">
                  <c:v>0.553360430875653</c:v>
                </c:pt>
                <c:pt idx="13">
                  <c:v>0.597265121287762</c:v>
                </c:pt>
                <c:pt idx="14">
                  <c:v>0.645156584865017</c:v>
                </c:pt>
                <c:pt idx="15">
                  <c:v>0.67147035142687</c:v>
                </c:pt>
                <c:pt idx="16">
                  <c:v>0.588016045144886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227259"/>
        <c:axId val="17745630"/>
      </c:lineChart>
      <c:catAx>
        <c:axId val="6522725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745630"/>
        <c:crosses val="autoZero"/>
        <c:auto val="1"/>
        <c:lblAlgn val="ctr"/>
        <c:lblOffset val="100"/>
        <c:noMultiLvlLbl val="0"/>
      </c:catAx>
      <c:valAx>
        <c:axId val="1774563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22725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6"/>
          <c:y val="0.0654039109572358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OECD-less-US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411824668705"/>
          <c:w val="0.694223070990488"/>
          <c:h val="0.806320081549439"/>
        </c:manualLayout>
      </c:layout>
      <c:lineChart>
        <c:grouping val="standard"/>
        <c:varyColors val="0"/>
        <c:ser>
          <c:idx val="0"/>
          <c:order val="0"/>
          <c:tx>
            <c:strRef>
              <c:f>OECD!$A$242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OECD!$B$242:$R$242</c:f>
              <c:numCache>
                <c:formatCode>#,##0</c:formatCode>
                <c:ptCount val="17"/>
                <c:pt idx="0">
                  <c:v>963.165</c:v>
                </c:pt>
                <c:pt idx="1">
                  <c:v>1073.30477</c:v>
                </c:pt>
                <c:pt idx="2">
                  <c:v>1110.85710197782</c:v>
                </c:pt>
                <c:pt idx="3">
                  <c:v>950.577587707208</c:v>
                </c:pt>
                <c:pt idx="4">
                  <c:v>1069.42959928588</c:v>
                </c:pt>
                <c:pt idx="5">
                  <c:v>1167.16100139336</c:v>
                </c:pt>
                <c:pt idx="6">
                  <c:v>1210.37006777269</c:v>
                </c:pt>
                <c:pt idx="7">
                  <c:v>1237.96241919183</c:v>
                </c:pt>
                <c:pt idx="8">
                  <c:v>1142.66847140886</c:v>
                </c:pt>
                <c:pt idx="9">
                  <c:v>1028.19676270419</c:v>
                </c:pt>
                <c:pt idx="10">
                  <c:v>934.213309663509</c:v>
                </c:pt>
                <c:pt idx="11">
                  <c:v>862.565614525777</c:v>
                </c:pt>
                <c:pt idx="12">
                  <c:v>743.568667706083</c:v>
                </c:pt>
                <c:pt idx="13">
                  <c:v>621.18498698406</c:v>
                </c:pt>
                <c:pt idx="14">
                  <c:v>503.314307891557</c:v>
                </c:pt>
                <c:pt idx="15">
                  <c:v>396.991530795638</c:v>
                </c:pt>
                <c:pt idx="16">
                  <c:v>279.810993798551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OECD!$A$243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OECD!$B$243:$R$243</c:f>
              <c:numCache>
                <c:formatCode>#,##0</c:formatCode>
                <c:ptCount val="17"/>
                <c:pt idx="0">
                  <c:v>114.938992038256</c:v>
                </c:pt>
                <c:pt idx="1">
                  <c:v>224.908368765589</c:v>
                </c:pt>
                <c:pt idx="2">
                  <c:v>290.957826943642</c:v>
                </c:pt>
                <c:pt idx="3">
                  <c:v>329.862568756754</c:v>
                </c:pt>
                <c:pt idx="4">
                  <c:v>384.379038959746</c:v>
                </c:pt>
                <c:pt idx="5">
                  <c:v>468.100416293106</c:v>
                </c:pt>
                <c:pt idx="6">
                  <c:v>575.330240617684</c:v>
                </c:pt>
                <c:pt idx="7">
                  <c:v>644.848542406456</c:v>
                </c:pt>
                <c:pt idx="8">
                  <c:v>677.973225533051</c:v>
                </c:pt>
                <c:pt idx="9">
                  <c:v>771.147572028145</c:v>
                </c:pt>
                <c:pt idx="10">
                  <c:v>843.805570018653</c:v>
                </c:pt>
                <c:pt idx="11">
                  <c:v>862.565614525777</c:v>
                </c:pt>
                <c:pt idx="12">
                  <c:v>872.263244809059</c:v>
                </c:pt>
                <c:pt idx="13">
                  <c:v>837.249330282863</c:v>
                </c:pt>
                <c:pt idx="14">
                  <c:v>754.971461837335</c:v>
                </c:pt>
                <c:pt idx="15">
                  <c:v>677.220846651382</c:v>
                </c:pt>
                <c:pt idx="16">
                  <c:v>581.145910196991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OECD!$A$244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OECD!$B$244:$R$244</c:f>
              <c:numCache>
                <c:formatCode>#,##0</c:formatCode>
                <c:ptCount val="17"/>
                <c:pt idx="0">
                  <c:v>566.626075978764</c:v>
                </c:pt>
                <c:pt idx="1">
                  <c:v>512.371678614869</c:v>
                </c:pt>
                <c:pt idx="2">
                  <c:v>576.351184806707</c:v>
                </c:pt>
                <c:pt idx="3">
                  <c:v>620.402663243476</c:v>
                </c:pt>
                <c:pt idx="4">
                  <c:v>591.677909039724</c:v>
                </c:pt>
                <c:pt idx="5">
                  <c:v>524.134039042541</c:v>
                </c:pt>
                <c:pt idx="6">
                  <c:v>531.42314544931</c:v>
                </c:pt>
                <c:pt idx="7">
                  <c:v>569.032740206252</c:v>
                </c:pt>
                <c:pt idx="8">
                  <c:v>534.988951829482</c:v>
                </c:pt>
                <c:pt idx="9">
                  <c:v>529.218921980099</c:v>
                </c:pt>
                <c:pt idx="10">
                  <c:v>482.17461143923</c:v>
                </c:pt>
                <c:pt idx="11">
                  <c:v>446.154628202988</c:v>
                </c:pt>
                <c:pt idx="12">
                  <c:v>400.383128764814</c:v>
                </c:pt>
                <c:pt idx="13">
                  <c:v>367.309383607966</c:v>
                </c:pt>
                <c:pt idx="14">
                  <c:v>329.670871668969</c:v>
                </c:pt>
                <c:pt idx="15">
                  <c:v>280.229315855744</c:v>
                </c:pt>
                <c:pt idx="16">
                  <c:v>247.525109898719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OECD!$A$245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OECD!$B$245:$R$245</c:f>
              <c:numCache>
                <c:formatCode>#,##0</c:formatCode>
                <c:ptCount val="17"/>
                <c:pt idx="0">
                  <c:v>11.014</c:v>
                </c:pt>
                <c:pt idx="1">
                  <c:v>33.159</c:v>
                </c:pt>
                <c:pt idx="2">
                  <c:v>80.091</c:v>
                </c:pt>
                <c:pt idx="3">
                  <c:v>191.236</c:v>
                </c:pt>
                <c:pt idx="4">
                  <c:v>249.637813956646</c:v>
                </c:pt>
                <c:pt idx="5">
                  <c:v>299.801668942915</c:v>
                </c:pt>
                <c:pt idx="6">
                  <c:v>324.939835138373</c:v>
                </c:pt>
                <c:pt idx="7">
                  <c:v>342.498614958448</c:v>
                </c:pt>
                <c:pt idx="8">
                  <c:v>326.056224445804</c:v>
                </c:pt>
                <c:pt idx="9">
                  <c:v>332.651893816063</c:v>
                </c:pt>
                <c:pt idx="10">
                  <c:v>301.359132149519</c:v>
                </c:pt>
                <c:pt idx="11">
                  <c:v>267.692776921793</c:v>
                </c:pt>
                <c:pt idx="12">
                  <c:v>214.490961838293</c:v>
                </c:pt>
                <c:pt idx="13">
                  <c:v>172.851474639043</c:v>
                </c:pt>
                <c:pt idx="14">
                  <c:v>148.477720828009</c:v>
                </c:pt>
                <c:pt idx="15">
                  <c:v>116.762214939893</c:v>
                </c:pt>
                <c:pt idx="16">
                  <c:v>96.8576516994986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OECD!$A$249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OECD!$B$249:$R$249</c:f>
              <c:numCache>
                <c:formatCode>#,##0</c:formatCode>
                <c:ptCount val="17"/>
                <c:pt idx="0">
                  <c:v>131.847044938227</c:v>
                </c:pt>
                <c:pt idx="1">
                  <c:v>153.108203051011</c:v>
                </c:pt>
                <c:pt idx="2">
                  <c:v>170.263685039744</c:v>
                </c:pt>
                <c:pt idx="3">
                  <c:v>195.307553194524</c:v>
                </c:pt>
                <c:pt idx="4">
                  <c:v>202.702346018493</c:v>
                </c:pt>
                <c:pt idx="5">
                  <c:v>224.833526909155</c:v>
                </c:pt>
                <c:pt idx="6">
                  <c:v>253.154438791944</c:v>
                </c:pt>
                <c:pt idx="7">
                  <c:v>264.860186657429</c:v>
                </c:pt>
                <c:pt idx="8">
                  <c:v>318.610776282293</c:v>
                </c:pt>
                <c:pt idx="9">
                  <c:v>362.892975072068</c:v>
                </c:pt>
                <c:pt idx="10">
                  <c:v>452.038698224279</c:v>
                </c:pt>
                <c:pt idx="11">
                  <c:v>535.385553843586</c:v>
                </c:pt>
                <c:pt idx="12">
                  <c:v>629.173488058993</c:v>
                </c:pt>
                <c:pt idx="13">
                  <c:v>702.209115721111</c:v>
                </c:pt>
                <c:pt idx="14">
                  <c:v>780.137177231913</c:v>
                </c:pt>
                <c:pt idx="15">
                  <c:v>864.040390555212</c:v>
                </c:pt>
                <c:pt idx="16">
                  <c:v>947.052594395097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OECD!$U$261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OECD!$B$261:$R$261</c:f>
              <c:numCache>
                <c:formatCode>#,##0</c:formatCode>
                <c:ptCount val="17"/>
                <c:pt idx="9">
                  <c:v>1028.19676270419</c:v>
                </c:pt>
                <c:pt idx="10">
                  <c:v>895.521247490465</c:v>
                </c:pt>
                <c:pt idx="11">
                  <c:v>825.553783276427</c:v>
                </c:pt>
                <c:pt idx="12">
                  <c:v>710.796741792027</c:v>
                </c:pt>
                <c:pt idx="13">
                  <c:v>593.288901178802</c:v>
                </c:pt>
                <c:pt idx="14">
                  <c:v>480.460189503494</c:v>
                </c:pt>
                <c:pt idx="15">
                  <c:v>378.90150885275</c:v>
                </c:pt>
                <c:pt idx="16">
                  <c:v>267.111844238974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OECD!$U$262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OECD!$B$262:$R$262</c:f>
              <c:numCache>
                <c:formatCode>#,##0</c:formatCode>
                <c:ptCount val="17"/>
                <c:pt idx="9">
                  <c:v>771.147572028145</c:v>
                </c:pt>
                <c:pt idx="10">
                  <c:v>808.85790095913</c:v>
                </c:pt>
                <c:pt idx="11">
                  <c:v>825.553783276427</c:v>
                </c:pt>
                <c:pt idx="12">
                  <c:v>833.819254794493</c:v>
                </c:pt>
                <c:pt idx="13">
                  <c:v>799.650258110559</c:v>
                </c:pt>
                <c:pt idx="14">
                  <c:v>720.690284255241</c:v>
                </c:pt>
                <c:pt idx="15">
                  <c:v>646.361397454691</c:v>
                </c:pt>
                <c:pt idx="16">
                  <c:v>554.770753419406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OECD!$U$265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OECD!$B$265:$R$265</c:f>
              <c:numCache>
                <c:formatCode>#,##0</c:formatCode>
                <c:ptCount val="17"/>
                <c:pt idx="9">
                  <c:v>362.892975072068</c:v>
                </c:pt>
                <c:pt idx="10">
                  <c:v>433.316732656677</c:v>
                </c:pt>
                <c:pt idx="11">
                  <c:v>512.412693068127</c:v>
                </c:pt>
                <c:pt idx="12">
                  <c:v>601.443396900946</c:v>
                </c:pt>
                <c:pt idx="13">
                  <c:v>670.674410028211</c:v>
                </c:pt>
                <c:pt idx="14">
                  <c:v>744.713293730415</c:v>
                </c:pt>
                <c:pt idx="15">
                  <c:v>824.667989855985</c:v>
                </c:pt>
                <c:pt idx="16">
                  <c:v>904.070857424218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OECD!$U$264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OECD!$B$264:$R$264</c:f>
              <c:numCache>
                <c:formatCode>#,##0</c:formatCode>
                <c:ptCount val="17"/>
                <c:pt idx="9">
                  <c:v>332.651893816063</c:v>
                </c:pt>
                <c:pt idx="10">
                  <c:v>288.877821771118</c:v>
                </c:pt>
                <c:pt idx="11">
                  <c:v>256.206346534064</c:v>
                </c:pt>
                <c:pt idx="12">
                  <c:v>205.037521670777</c:v>
                </c:pt>
                <c:pt idx="13">
                  <c:v>165.089085545406</c:v>
                </c:pt>
                <c:pt idx="14">
                  <c:v>141.735755903531</c:v>
                </c:pt>
                <c:pt idx="15">
                  <c:v>111.441620250809</c:v>
                </c:pt>
                <c:pt idx="16">
                  <c:v>92.4617922365678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OECD!$U$263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OECD!$B$240:$R$240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OECD!$B$263:$R$263</c:f>
              <c:numCache>
                <c:formatCode>#,##0</c:formatCode>
                <c:ptCount val="17"/>
                <c:pt idx="9">
                  <c:v>529.218921980099</c:v>
                </c:pt>
                <c:pt idx="10">
                  <c:v>521.159172338098</c:v>
                </c:pt>
                <c:pt idx="11">
                  <c:v>485.107254775382</c:v>
                </c:pt>
                <c:pt idx="12">
                  <c:v>438.529230022397</c:v>
                </c:pt>
                <c:pt idx="13">
                  <c:v>403.457510082904</c:v>
                </c:pt>
                <c:pt idx="14">
                  <c:v>363.727974074125</c:v>
                </c:pt>
                <c:pt idx="15">
                  <c:v>312.946264214516</c:v>
                </c:pt>
                <c:pt idx="16">
                  <c:v>278.2240324216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46634"/>
        <c:axId val="10697045"/>
      </c:lineChart>
      <c:catAx>
        <c:axId val="334663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697045"/>
        <c:crosses val="autoZero"/>
        <c:auto val="1"/>
        <c:lblAlgn val="ctr"/>
        <c:lblOffset val="100"/>
        <c:noMultiLvlLbl val="0"/>
      </c:catAx>
      <c:valAx>
        <c:axId val="10697045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46634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8"/>
          <c:y val="0.111708569323571"/>
          <c:w val="0.247357948743892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49679685886"/>
          <c:w val="0.693587842846553"/>
          <c:h val="0.806364951436247"/>
        </c:manualLayout>
      </c:layout>
      <c:lineChart>
        <c:grouping val="standard"/>
        <c:varyColors val="0"/>
        <c:ser>
          <c:idx val="0"/>
          <c:order val="0"/>
          <c:tx>
            <c:strRef>
              <c:f>BRISE!$AA$28</c:f>
              <c:strCache>
                <c:ptCount val="1"/>
                <c:pt idx="0">
                  <c:v>Population, BRISE (0 - 3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BRISE!$AB$28:$AR$28</c:f>
              <c:numCache>
                <c:formatCode>#,##0.000</c:formatCode>
                <c:ptCount val="17"/>
                <c:pt idx="0">
                  <c:v>0.402266111</c:v>
                </c:pt>
                <c:pt idx="1">
                  <c:v>0.448125491666667</c:v>
                </c:pt>
                <c:pt idx="2">
                  <c:v>0.498766449</c:v>
                </c:pt>
                <c:pt idx="3">
                  <c:v>0.553994570333333</c:v>
                </c:pt>
                <c:pt idx="4">
                  <c:v>0.610137227333333</c:v>
                </c:pt>
                <c:pt idx="5">
                  <c:v>0.662297338666667</c:v>
                </c:pt>
                <c:pt idx="6">
                  <c:v>0.711431899</c:v>
                </c:pt>
                <c:pt idx="7">
                  <c:v>0.758499288333334</c:v>
                </c:pt>
                <c:pt idx="8">
                  <c:v>0.803977014666667</c:v>
                </c:pt>
                <c:pt idx="9">
                  <c:v>0.84065087558</c:v>
                </c:pt>
                <c:pt idx="10">
                  <c:v>0.869777869495637</c:v>
                </c:pt>
                <c:pt idx="11">
                  <c:v>0.892832305019584</c:v>
                </c:pt>
                <c:pt idx="12">
                  <c:v>0.908265565083854</c:v>
                </c:pt>
                <c:pt idx="13">
                  <c:v>0.91715320243032</c:v>
                </c:pt>
                <c:pt idx="14">
                  <c:v>0.918587541468252</c:v>
                </c:pt>
                <c:pt idx="15">
                  <c:v>0.911975006319108</c:v>
                </c:pt>
                <c:pt idx="16">
                  <c:v>0.89840116997055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BRISE!$AA$31</c:f>
              <c:strCache>
                <c:ptCount val="1"/>
                <c:pt idx="0">
                  <c:v>Crude birth rate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BRISE!$AB$31:$AR$31</c:f>
              <c:numCache>
                <c:formatCode>#,##0.000</c:formatCode>
                <c:ptCount val="17"/>
                <c:pt idx="0">
                  <c:v>0.876099809793158</c:v>
                </c:pt>
                <c:pt idx="1">
                  <c:v>0.840424439143805</c:v>
                </c:pt>
                <c:pt idx="2">
                  <c:v>0.798900642706756</c:v>
                </c:pt>
                <c:pt idx="3">
                  <c:v>0.731031966173103</c:v>
                </c:pt>
                <c:pt idx="4">
                  <c:v>0.647570768727207</c:v>
                </c:pt>
                <c:pt idx="5">
                  <c:v>0.575626076198396</c:v>
                </c:pt>
                <c:pt idx="6">
                  <c:v>0.53064373722532</c:v>
                </c:pt>
                <c:pt idx="7">
                  <c:v>0.495866424379176</c:v>
                </c:pt>
                <c:pt idx="8">
                  <c:v>0.425</c:v>
                </c:pt>
                <c:pt idx="9">
                  <c:v>0.375</c:v>
                </c:pt>
                <c:pt idx="10">
                  <c:v>0.3375</c:v>
                </c:pt>
                <c:pt idx="11">
                  <c:v>0.3</c:v>
                </c:pt>
                <c:pt idx="12">
                  <c:v>0.275</c:v>
                </c:pt>
                <c:pt idx="13">
                  <c:v>0.25</c:v>
                </c:pt>
                <c:pt idx="14">
                  <c:v>0.225</c:v>
                </c:pt>
                <c:pt idx="15">
                  <c:v>0.2075</c:v>
                </c:pt>
                <c:pt idx="16">
                  <c:v>0.1875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BRISE!$AB$32:$AR$32</c:f>
              <c:numCache>
                <c:formatCode>#,##0.000</c:formatCode>
                <c:ptCount val="17"/>
                <c:pt idx="0">
                  <c:v>0.678803771599177</c:v>
                </c:pt>
                <c:pt idx="1">
                  <c:v>0.603991727837993</c:v>
                </c:pt>
                <c:pt idx="2">
                  <c:v>0.557753180654165</c:v>
                </c:pt>
                <c:pt idx="3">
                  <c:v>0.501534187419001</c:v>
                </c:pt>
                <c:pt idx="4">
                  <c:v>0.472141993245867</c:v>
                </c:pt>
                <c:pt idx="5">
                  <c:v>0.447818841102032</c:v>
                </c:pt>
                <c:pt idx="6">
                  <c:v>0.433059440310534</c:v>
                </c:pt>
                <c:pt idx="7">
                  <c:v>0.414497154450198</c:v>
                </c:pt>
                <c:pt idx="8">
                  <c:v>0.393844410420881</c:v>
                </c:pt>
                <c:pt idx="9">
                  <c:v>0.403518544240603</c:v>
                </c:pt>
                <c:pt idx="10">
                  <c:v>0.409938812166888</c:v>
                </c:pt>
                <c:pt idx="11">
                  <c:v>0.427142678669855</c:v>
                </c:pt>
                <c:pt idx="12">
                  <c:v>0.452147150699856</c:v>
                </c:pt>
                <c:pt idx="13">
                  <c:v>0.484360965712913</c:v>
                </c:pt>
                <c:pt idx="14">
                  <c:v>0.52198590064236</c:v>
                </c:pt>
                <c:pt idx="15">
                  <c:v>0.563840003887214</c:v>
                </c:pt>
                <c:pt idx="16">
                  <c:v>0.609369059568336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BRISE!$AA$38</c:f>
              <c:strCache>
                <c:ptCount val="1"/>
                <c:pt idx="0">
                  <c:v>Population, BRISE Your forecast (0 - 3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BRISE!$AB$38:$AR$38</c:f>
              <c:numCache>
                <c:formatCode>#,##0.000</c:formatCode>
                <c:ptCount val="17"/>
                <c:pt idx="9">
                  <c:v>0.84065087558</c:v>
                </c:pt>
                <c:pt idx="10">
                  <c:v>0.869195329617325</c:v>
                </c:pt>
                <c:pt idx="11">
                  <c:v>0.891773544377006</c:v>
                </c:pt>
                <c:pt idx="12">
                  <c:v>0.906880203816188</c:v>
                </c:pt>
                <c:pt idx="13">
                  <c:v>0.915576803384084</c:v>
                </c:pt>
                <c:pt idx="14">
                  <c:v>0.916980039612101</c:v>
                </c:pt>
                <c:pt idx="15">
                  <c:v>0.910511095477892</c:v>
                </c:pt>
                <c:pt idx="16">
                  <c:v>0.897230088928845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BRISE!$AA$41</c:f>
              <c:strCache>
                <c:ptCount val="1"/>
                <c:pt idx="0">
                  <c:v>Crude birth rate Your forecast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BRISE!$AB$41:$AR$41</c:f>
              <c:numCache>
                <c:formatCode>#,##0.000</c:formatCode>
                <c:ptCount val="17"/>
                <c:pt idx="8">
                  <c:v>0.425</c:v>
                </c:pt>
                <c:pt idx="9">
                  <c:v>0.3675</c:v>
                </c:pt>
                <c:pt idx="10">
                  <c:v>0.33075</c:v>
                </c:pt>
                <c:pt idx="11">
                  <c:v>0.294</c:v>
                </c:pt>
                <c:pt idx="12">
                  <c:v>0.2695</c:v>
                </c:pt>
                <c:pt idx="13">
                  <c:v>0.245</c:v>
                </c:pt>
                <c:pt idx="14">
                  <c:v>0.2205</c:v>
                </c:pt>
                <c:pt idx="15">
                  <c:v>0.20335</c:v>
                </c:pt>
                <c:pt idx="16">
                  <c:v>0.18375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BRISE!$AB$42:$AR$42</c:f>
              <c:numCache>
                <c:formatCode>#,##0.000</c:formatCode>
                <c:ptCount val="17"/>
                <c:pt idx="8">
                  <c:v>0.393844410420881</c:v>
                </c:pt>
                <c:pt idx="9">
                  <c:v>0.395448173355791</c:v>
                </c:pt>
                <c:pt idx="10">
                  <c:v>0.40174003592355</c:v>
                </c:pt>
                <c:pt idx="11">
                  <c:v>0.418599825096458</c:v>
                </c:pt>
                <c:pt idx="12">
                  <c:v>0.443104207685858</c:v>
                </c:pt>
                <c:pt idx="13">
                  <c:v>0.474673746398655</c:v>
                </c:pt>
                <c:pt idx="14">
                  <c:v>0.511546182629513</c:v>
                </c:pt>
                <c:pt idx="15">
                  <c:v>0.55256320380947</c:v>
                </c:pt>
                <c:pt idx="16">
                  <c:v>0.597181678376969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BRISE!$AA$36</c:f>
              <c:strCache>
                <c:ptCount val="1"/>
                <c:pt idx="0">
                  <c:v>UN Low Birthrate (0 - 4 %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BRISE!$AB$36:$AR$36</c:f>
              <c:numCache>
                <c:formatCode>#,##0.000</c:formatCode>
                <c:ptCount val="17"/>
                <c:pt idx="8">
                  <c:v>0.406306549450424</c:v>
                </c:pt>
                <c:pt idx="9">
                  <c:v>0.355783188327168</c:v>
                </c:pt>
                <c:pt idx="10">
                  <c:v>0.307036210802095</c:v>
                </c:pt>
                <c:pt idx="11">
                  <c:v>0.283611159000501</c:v>
                </c:pt>
                <c:pt idx="12">
                  <c:v>0.260483637194946</c:v>
                </c:pt>
                <c:pt idx="13">
                  <c:v>0.235680412382722</c:v>
                </c:pt>
                <c:pt idx="14">
                  <c:v>0.211468450196395</c:v>
                </c:pt>
                <c:pt idx="15">
                  <c:v>0.191311096157184</c:v>
                </c:pt>
                <c:pt idx="16">
                  <c:v>0.17689048043637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BRISE!$AB$37:$AR$37</c:f>
              <c:numCache>
                <c:formatCode>#,##0.000</c:formatCode>
                <c:ptCount val="17"/>
                <c:pt idx="8">
                  <c:v>0.393844410420881</c:v>
                </c:pt>
                <c:pt idx="9">
                  <c:v>0.403518544240603</c:v>
                </c:pt>
                <c:pt idx="10">
                  <c:v>0.409938812166888</c:v>
                </c:pt>
                <c:pt idx="11">
                  <c:v>0.427142678669855</c:v>
                </c:pt>
                <c:pt idx="12">
                  <c:v>0.452147150699856</c:v>
                </c:pt>
                <c:pt idx="13">
                  <c:v>0.484360965712913</c:v>
                </c:pt>
                <c:pt idx="14">
                  <c:v>0.52198590064236</c:v>
                </c:pt>
                <c:pt idx="15">
                  <c:v>0.563840003887214</c:v>
                </c:pt>
                <c:pt idx="16">
                  <c:v>0.609369059568336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231685"/>
        <c:axId val="17497706"/>
      </c:lineChart>
      <c:catAx>
        <c:axId val="3723168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497706"/>
        <c:crosses val="autoZero"/>
        <c:auto val="1"/>
        <c:lblAlgn val="ctr"/>
        <c:lblOffset val="100"/>
        <c:noMultiLvlLbl val="0"/>
      </c:catAx>
      <c:valAx>
        <c:axId val="1749770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23168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2601435477"/>
          <c:y val="0.115955647434693"/>
          <c:w val="0.691775303940237"/>
          <c:h val="0.807085134373238"/>
        </c:manualLayout>
      </c:layout>
      <c:lineChart>
        <c:grouping val="standard"/>
        <c:varyColors val="0"/>
        <c:ser>
          <c:idx val="0"/>
          <c:order val="0"/>
          <c:tx>
            <c:strRef>
              <c:f>BRISE!$AA$506</c:f>
              <c:strCache>
                <c:ptCount val="1"/>
                <c:pt idx="0">
                  <c:v>GDP (0 - 50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BRISE!$AB$506:$AR$506</c:f>
              <c:numCache>
                <c:formatCode>#,##0.000</c:formatCode>
                <c:ptCount val="17"/>
                <c:pt idx="0">
                  <c:v>0.0452576307469604</c:v>
                </c:pt>
                <c:pt idx="1">
                  <c:v>0.0613652171771611</c:v>
                </c:pt>
                <c:pt idx="2">
                  <c:v>0.0751204422975044</c:v>
                </c:pt>
                <c:pt idx="3">
                  <c:v>0.0847078744952432</c:v>
                </c:pt>
                <c:pt idx="4">
                  <c:v>0.145159669449308</c:v>
                </c:pt>
                <c:pt idx="5">
                  <c:v>0.158621039408192</c:v>
                </c:pt>
                <c:pt idx="6">
                  <c:v>0.183161964538978</c:v>
                </c:pt>
                <c:pt idx="7">
                  <c:v>0.237977768077993</c:v>
                </c:pt>
                <c:pt idx="8">
                  <c:v>0.284290028654419</c:v>
                </c:pt>
                <c:pt idx="9">
                  <c:v>0.321736002852792</c:v>
                </c:pt>
                <c:pt idx="10">
                  <c:v>0.384838371339543</c:v>
                </c:pt>
                <c:pt idx="11">
                  <c:v>0.464472890920079</c:v>
                </c:pt>
                <c:pt idx="12">
                  <c:v>0.555624962868452</c:v>
                </c:pt>
                <c:pt idx="13">
                  <c:v>0.642655248395208</c:v>
                </c:pt>
                <c:pt idx="14">
                  <c:v>0.72493265865984</c:v>
                </c:pt>
                <c:pt idx="15">
                  <c:v>0.79</c:v>
                </c:pt>
                <c:pt idx="16">
                  <c:v>0.84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BRISE!$AA$505</c:f>
              <c:strCache>
                <c:ptCount val="1"/>
                <c:pt idx="0">
                  <c:v>Population (0 - 3G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BRISE!$AB$505:$AR$505</c:f>
              <c:numCache>
                <c:formatCode>#,##0.000</c:formatCode>
                <c:ptCount val="17"/>
                <c:pt idx="0">
                  <c:v>0.402266111</c:v>
                </c:pt>
                <c:pt idx="1">
                  <c:v>0.448125491666667</c:v>
                </c:pt>
                <c:pt idx="2">
                  <c:v>0.498766449</c:v>
                </c:pt>
                <c:pt idx="3">
                  <c:v>0.553994570333333</c:v>
                </c:pt>
                <c:pt idx="4">
                  <c:v>0.610137227333333</c:v>
                </c:pt>
                <c:pt idx="5">
                  <c:v>0.662297338666667</c:v>
                </c:pt>
                <c:pt idx="6">
                  <c:v>0.711431899</c:v>
                </c:pt>
                <c:pt idx="7">
                  <c:v>0.758499288333334</c:v>
                </c:pt>
                <c:pt idx="8">
                  <c:v>0.803977014666667</c:v>
                </c:pt>
                <c:pt idx="9">
                  <c:v>0.84065087558</c:v>
                </c:pt>
                <c:pt idx="10">
                  <c:v>0.869777869495637</c:v>
                </c:pt>
                <c:pt idx="11">
                  <c:v>0.892832305019584</c:v>
                </c:pt>
                <c:pt idx="12">
                  <c:v>0.908265565083854</c:v>
                </c:pt>
                <c:pt idx="13">
                  <c:v>0.91715320243032</c:v>
                </c:pt>
                <c:pt idx="14">
                  <c:v>0.918587541468252</c:v>
                </c:pt>
                <c:pt idx="15">
                  <c:v>0.911975006319108</c:v>
                </c:pt>
                <c:pt idx="16">
                  <c:v>0.89840116997055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BRISE!$AA$509</c:f>
              <c:strCache>
                <c:ptCount val="1"/>
                <c:pt idx="0">
                  <c:v>Consumption (0 - 50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BRISE!$AB$509:$AR$509</c:f>
              <c:numCache>
                <c:formatCode>#,##0.000</c:formatCode>
                <c:ptCount val="17"/>
                <c:pt idx="0">
                  <c:v>0.0356717306377914</c:v>
                </c:pt>
                <c:pt idx="1">
                  <c:v>0.0457685370671649</c:v>
                </c:pt>
                <c:pt idx="2">
                  <c:v>0.0563354881704414</c:v>
                </c:pt>
                <c:pt idx="3">
                  <c:v>0.0672957575324765</c:v>
                </c:pt>
                <c:pt idx="4">
                  <c:v>0.10481945072516</c:v>
                </c:pt>
                <c:pt idx="5">
                  <c:v>0.12185638648994</c:v>
                </c:pt>
                <c:pt idx="6">
                  <c:v>0.145403529446187</c:v>
                </c:pt>
                <c:pt idx="7">
                  <c:v>0.183105549202714</c:v>
                </c:pt>
                <c:pt idx="8">
                  <c:v>0.215671244071513</c:v>
                </c:pt>
                <c:pt idx="9">
                  <c:v>0.243384692743342</c:v>
                </c:pt>
                <c:pt idx="10">
                  <c:v>0.284099218504754</c:v>
                </c:pt>
                <c:pt idx="11">
                  <c:v>0.336474601625951</c:v>
                </c:pt>
                <c:pt idx="12">
                  <c:v>0.394808683491991</c:v>
                </c:pt>
                <c:pt idx="13">
                  <c:v>0.447721936876437</c:v>
                </c:pt>
                <c:pt idx="14">
                  <c:v>0.494952381109796</c:v>
                </c:pt>
                <c:pt idx="15">
                  <c:v>0.523625641533026</c:v>
                </c:pt>
                <c:pt idx="16">
                  <c:v>0.537484878690894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BRISE!$AA$508</c:f>
              <c:strCache>
                <c:ptCount val="1"/>
                <c:pt idx="0">
                  <c:v>CO2 Emissions (0 - 13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BRISE!$AB$508:$AR$508</c:f>
              <c:numCache>
                <c:formatCode>#,##0.000</c:formatCode>
                <c:ptCount val="17"/>
                <c:pt idx="0">
                  <c:v>0.269988794871795</c:v>
                </c:pt>
                <c:pt idx="1">
                  <c:v>0.318185435897436</c:v>
                </c:pt>
                <c:pt idx="2">
                  <c:v>0.399880461538462</c:v>
                </c:pt>
                <c:pt idx="3">
                  <c:v>0.441022435897436</c:v>
                </c:pt>
                <c:pt idx="4">
                  <c:v>0.472031153846154</c:v>
                </c:pt>
                <c:pt idx="5">
                  <c:v>0.385848128205128</c:v>
                </c:pt>
                <c:pt idx="6">
                  <c:v>0.409192810512821</c:v>
                </c:pt>
                <c:pt idx="7">
                  <c:v>0.473711897435897</c:v>
                </c:pt>
                <c:pt idx="8">
                  <c:v>0.534878948717949</c:v>
                </c:pt>
                <c:pt idx="9">
                  <c:v>0.580301609509998</c:v>
                </c:pt>
                <c:pt idx="10">
                  <c:v>0.64958629420325</c:v>
                </c:pt>
                <c:pt idx="11">
                  <c:v>0.722023099295699</c:v>
                </c:pt>
                <c:pt idx="12">
                  <c:v>0.804025625734196</c:v>
                </c:pt>
                <c:pt idx="13">
                  <c:v>0.844697366059267</c:v>
                </c:pt>
                <c:pt idx="14">
                  <c:v>0.869345466194143</c:v>
                </c:pt>
                <c:pt idx="15">
                  <c:v>0.842430198043849</c:v>
                </c:pt>
                <c:pt idx="16">
                  <c:v>0.785441976188456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BRISE!$AA$507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BRISE!$AB$507:$AR$507</c:f>
              <c:numCache>
                <c:formatCode>#,##0.000</c:formatCode>
                <c:ptCount val="17"/>
                <c:pt idx="0">
                  <c:v>0.153451363139682</c:v>
                </c:pt>
                <c:pt idx="1">
                  <c:v>0.121451363139682</c:v>
                </c:pt>
                <c:pt idx="2">
                  <c:v>0.198118029806349</c:v>
                </c:pt>
                <c:pt idx="3">
                  <c:v>0.176784696473016</c:v>
                </c:pt>
                <c:pt idx="4">
                  <c:v>0.231784696473016</c:v>
                </c:pt>
                <c:pt idx="5">
                  <c:v>0.235784696473016</c:v>
                </c:pt>
                <c:pt idx="6">
                  <c:v>0.237157742182414</c:v>
                </c:pt>
                <c:pt idx="7">
                  <c:v>0.291885077953339</c:v>
                </c:pt>
                <c:pt idx="8">
                  <c:v>0.323311269283295</c:v>
                </c:pt>
                <c:pt idx="9">
                  <c:v>0.363716165224711</c:v>
                </c:pt>
                <c:pt idx="10">
                  <c:v>0.407845457394918</c:v>
                </c:pt>
                <c:pt idx="11">
                  <c:v>0.451553185780843</c:v>
                </c:pt>
                <c:pt idx="12">
                  <c:v>0.494161645571391</c:v>
                </c:pt>
                <c:pt idx="13">
                  <c:v>0.537767728169759</c:v>
                </c:pt>
                <c:pt idx="14">
                  <c:v>0.581482330958049</c:v>
                </c:pt>
                <c:pt idx="15">
                  <c:v>0.62560510635376</c:v>
                </c:pt>
                <c:pt idx="16">
                  <c:v>0.669907410939535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BRISE!$AA$512</c:f>
              <c:strCache>
                <c:ptCount val="1"/>
                <c:pt idx="0">
                  <c:v>GDP (0 - 50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BRISE!$AB$512:$AR$512</c:f>
              <c:numCache>
                <c:formatCode>#,##0.000</c:formatCode>
                <c:ptCount val="17"/>
                <c:pt idx="9">
                  <c:v>0.321736002852792</c:v>
                </c:pt>
                <c:pt idx="10">
                  <c:v>0.374898691290363</c:v>
                </c:pt>
                <c:pt idx="11">
                  <c:v>0.449440298040255</c:v>
                </c:pt>
                <c:pt idx="12">
                  <c:v>0.533736299405108</c:v>
                </c:pt>
                <c:pt idx="13">
                  <c:v>0.613311937580915</c:v>
                </c:pt>
                <c:pt idx="14">
                  <c:v>0.687584508331401</c:v>
                </c:pt>
                <c:pt idx="15">
                  <c:v>0.745411035270572</c:v>
                </c:pt>
                <c:pt idx="16">
                  <c:v>0.788851964364027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BRISE!$AA$511</c:f>
              <c:strCache>
                <c:ptCount val="1"/>
                <c:pt idx="0">
                  <c:v>Population (0 - 3G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BRISE!$AB$511:$AR$511</c:f>
              <c:numCache>
                <c:formatCode>#,##0.000</c:formatCode>
                <c:ptCount val="17"/>
                <c:pt idx="9">
                  <c:v>0.84065087558</c:v>
                </c:pt>
                <c:pt idx="10">
                  <c:v>0.869195329617325</c:v>
                </c:pt>
                <c:pt idx="11">
                  <c:v>0.891773544377006</c:v>
                </c:pt>
                <c:pt idx="12">
                  <c:v>0.906880203816188</c:v>
                </c:pt>
                <c:pt idx="13">
                  <c:v>0.915576803384084</c:v>
                </c:pt>
                <c:pt idx="14">
                  <c:v>0.916980039612101</c:v>
                </c:pt>
                <c:pt idx="15">
                  <c:v>0.910511095477892</c:v>
                </c:pt>
                <c:pt idx="16">
                  <c:v>0.897230088928845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BRISE!$AA$514</c:f>
              <c:strCache>
                <c:ptCount val="1"/>
                <c:pt idx="0">
                  <c:v>Consumption (0 - 50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BRISE!$AB$514:$AR$514</c:f>
              <c:numCache>
                <c:formatCode>#,##0.000</c:formatCode>
                <c:ptCount val="17"/>
                <c:pt idx="9">
                  <c:v>0.243384692743342</c:v>
                </c:pt>
                <c:pt idx="10">
                  <c:v>0.276918906271865</c:v>
                </c:pt>
                <c:pt idx="11">
                  <c:v>0.325899261681471</c:v>
                </c:pt>
                <c:pt idx="12">
                  <c:v>0.379778386266069</c:v>
                </c:pt>
                <c:pt idx="13">
                  <c:v>0.428051954669234</c:v>
                </c:pt>
                <c:pt idx="14">
                  <c:v>0.470511574193029</c:v>
                </c:pt>
                <c:pt idx="15">
                  <c:v>0.495517403167097</c:v>
                </c:pt>
                <c:pt idx="16">
                  <c:v>0.50665039039456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BRISE!$AA$513</c:f>
              <c:strCache>
                <c:ptCount val="1"/>
                <c:pt idx="0">
                  <c:v>CO2 Emissions (0 - 13000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BRISE!$AB$513:$AR$513</c:f>
              <c:numCache>
                <c:formatCode>#,##0.000</c:formatCode>
                <c:ptCount val="17"/>
                <c:pt idx="9">
                  <c:v>0.580301609509998</c:v>
                </c:pt>
                <c:pt idx="10">
                  <c:v>0.641242894875146</c:v>
                </c:pt>
                <c:pt idx="11">
                  <c:v>0.709424729633957</c:v>
                </c:pt>
                <c:pt idx="12">
                  <c:v>0.785612065687171</c:v>
                </c:pt>
                <c:pt idx="13">
                  <c:v>0.822094659562728</c:v>
                </c:pt>
                <c:pt idx="14">
                  <c:v>0.84298750818309</c:v>
                </c:pt>
                <c:pt idx="15">
                  <c:v>0.815526506960858</c:v>
                </c:pt>
                <c:pt idx="16">
                  <c:v>0.760019199668251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729094"/>
        <c:axId val="87048273"/>
      </c:lineChart>
      <c:catAx>
        <c:axId val="9272909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048273"/>
        <c:crosses val="autoZero"/>
        <c:auto val="1"/>
        <c:lblAlgn val="ctr"/>
        <c:lblOffset val="100"/>
        <c:noMultiLvlLbl val="0"/>
      </c:catAx>
      <c:valAx>
        <c:axId val="8704827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72909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8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31863727455"/>
          <c:w val="0.699882249043274"/>
          <c:h val="0.807014028056112"/>
        </c:manualLayout>
      </c:layout>
      <c:lineChart>
        <c:grouping val="standard"/>
        <c:varyColors val="0"/>
        <c:ser>
          <c:idx val="0"/>
          <c:order val="0"/>
          <c:tx>
            <c:strRef>
              <c:f>BRISE!$AA$562</c:f>
              <c:strCache>
                <c:ptCount val="1"/>
                <c:pt idx="0">
                  <c:v>GDP per person (0 - 18 000 $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BRISE!$AB$562:$AR$562</c:f>
              <c:numCache>
                <c:formatCode>0.000</c:formatCode>
                <c:ptCount val="17"/>
                <c:pt idx="0">
                  <c:v>0.104172865942945</c:v>
                </c:pt>
                <c:pt idx="1">
                  <c:v>0.126794048968482</c:v>
                </c:pt>
                <c:pt idx="2">
                  <c:v>0.139455982313441</c:v>
                </c:pt>
                <c:pt idx="3">
                  <c:v>0.141577591776816</c:v>
                </c:pt>
                <c:pt idx="4">
                  <c:v>0.220289953342777</c:v>
                </c:pt>
                <c:pt idx="5">
                  <c:v>0.221760415164952</c:v>
                </c:pt>
                <c:pt idx="6">
                  <c:v>0.238384604132243</c:v>
                </c:pt>
                <c:pt idx="7">
                  <c:v>0.290507570206928</c:v>
                </c:pt>
                <c:pt idx="8">
                  <c:v>0.327411733434305</c:v>
                </c:pt>
                <c:pt idx="9">
                  <c:v>0.354372683118473</c:v>
                </c:pt>
                <c:pt idx="10">
                  <c:v>0.409681411555136</c:v>
                </c:pt>
                <c:pt idx="11">
                  <c:v>0.481688990390231</c:v>
                </c:pt>
                <c:pt idx="12">
                  <c:v>0.566428562293928</c:v>
                </c:pt>
                <c:pt idx="13">
                  <c:v>0.648802353134341</c:v>
                </c:pt>
                <c:pt idx="14">
                  <c:v>0.730723978828048</c:v>
                </c:pt>
                <c:pt idx="15">
                  <c:v>0.80208500936212</c:v>
                </c:pt>
                <c:pt idx="16">
                  <c:v>0.865735490753283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BRISE!$AA$563</c:f>
              <c:strCache>
                <c:ptCount val="1"/>
                <c:pt idx="0">
                  <c:v>Consumption per person (0 - 18 000 $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BRISE!$AB$563:$AR$563</c:f>
              <c:numCache>
                <c:formatCode>0.000</c:formatCode>
                <c:ptCount val="17"/>
                <c:pt idx="0">
                  <c:v>0.0821082843346384</c:v>
                </c:pt>
                <c:pt idx="1">
                  <c:v>0.094567874067098</c:v>
                </c:pt>
                <c:pt idx="2">
                  <c:v>0.104582995009564</c:v>
                </c:pt>
                <c:pt idx="3">
                  <c:v>0.112475626912107</c:v>
                </c:pt>
                <c:pt idx="4">
                  <c:v>0.159070849343072</c:v>
                </c:pt>
                <c:pt idx="5">
                  <c:v>0.170361529336406</c:v>
                </c:pt>
                <c:pt idx="6">
                  <c:v>0.189242143660695</c:v>
                </c:pt>
                <c:pt idx="7">
                  <c:v>0.22352318294225</c:v>
                </c:pt>
                <c:pt idx="8">
                  <c:v>0.248384708417699</c:v>
                </c:pt>
                <c:pt idx="9">
                  <c:v>0.268073469654205</c:v>
                </c:pt>
                <c:pt idx="10">
                  <c:v>0.302439095284621</c:v>
                </c:pt>
                <c:pt idx="11">
                  <c:v>0.348946331029355</c:v>
                </c:pt>
                <c:pt idx="12">
                  <c:v>0.402485363179179</c:v>
                </c:pt>
                <c:pt idx="13">
                  <c:v>0.452004471947705</c:v>
                </c:pt>
                <c:pt idx="14">
                  <c:v>0.498906441770165</c:v>
                </c:pt>
                <c:pt idx="15">
                  <c:v>0.531635794419321</c:v>
                </c:pt>
                <c:pt idx="16">
                  <c:v>0.553952065745155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BRISE!$AA$564</c:f>
              <c:strCache>
                <c:ptCount val="1"/>
                <c:pt idx="0">
                  <c:v>Food per person (0 - 1.5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BRISE!$AB$564:$AR$564</c:f>
              <c:numCache>
                <c:formatCode>0.000</c:formatCode>
                <c:ptCount val="17"/>
                <c:pt idx="0">
                  <c:v>0.536469633434051</c:v>
                </c:pt>
                <c:pt idx="1">
                  <c:v>0.496211765879544</c:v>
                </c:pt>
                <c:pt idx="2">
                  <c:v>0.510458650891866</c:v>
                </c:pt>
                <c:pt idx="3">
                  <c:v>0.53009253309904</c:v>
                </c:pt>
                <c:pt idx="4">
                  <c:v>0.528532174581405</c:v>
                </c:pt>
                <c:pt idx="5">
                  <c:v>0.461028602774354</c:v>
                </c:pt>
                <c:pt idx="6">
                  <c:v>0.472548415581611</c:v>
                </c:pt>
                <c:pt idx="7">
                  <c:v>0.506942296486546</c:v>
                </c:pt>
                <c:pt idx="8">
                  <c:v>0.524309656286619</c:v>
                </c:pt>
                <c:pt idx="9">
                  <c:v>0.569069637331703</c:v>
                </c:pt>
                <c:pt idx="10">
                  <c:v>0.622381130077774</c:v>
                </c:pt>
                <c:pt idx="11">
                  <c:v>0.694419317619114</c:v>
                </c:pt>
                <c:pt idx="12">
                  <c:v>0.7633597044597</c:v>
                </c:pt>
                <c:pt idx="13">
                  <c:v>0.846459818573565</c:v>
                </c:pt>
                <c:pt idx="14">
                  <c:v>0.8763454365093</c:v>
                </c:pt>
                <c:pt idx="15">
                  <c:v>0.873440116270943</c:v>
                </c:pt>
                <c:pt idx="16">
                  <c:v>0.876247993141001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BRISE!$AA$565</c:f>
              <c:strCache>
                <c:ptCount val="1"/>
                <c:pt idx="0">
                  <c:v>Energy use per person (0 - 2.5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BRISE!$AB$565:$AR$565</c:f>
              <c:numCache>
                <c:formatCode>0.000</c:formatCode>
                <c:ptCount val="17"/>
                <c:pt idx="0">
                  <c:v>0.322922983596373</c:v>
                </c:pt>
                <c:pt idx="1">
                  <c:v>0.372679778175844</c:v>
                </c:pt>
                <c:pt idx="2">
                  <c:v>0.404582923773984</c:v>
                </c:pt>
                <c:pt idx="3">
                  <c:v>0.422402035883829</c:v>
                </c:pt>
                <c:pt idx="4">
                  <c:v>0.440285583062295</c:v>
                </c:pt>
                <c:pt idx="5">
                  <c:v>0.385785846131369</c:v>
                </c:pt>
                <c:pt idx="6">
                  <c:v>0.395069959359547</c:v>
                </c:pt>
                <c:pt idx="7">
                  <c:v>0.429994260413632</c:v>
                </c:pt>
                <c:pt idx="8">
                  <c:v>0.475778832214485</c:v>
                </c:pt>
                <c:pt idx="9">
                  <c:v>0.489209316341799</c:v>
                </c:pt>
                <c:pt idx="10">
                  <c:v>0.537284543001685</c:v>
                </c:pt>
                <c:pt idx="11">
                  <c:v>0.600134249889274</c:v>
                </c:pt>
                <c:pt idx="12">
                  <c:v>0.670425373577875</c:v>
                </c:pt>
                <c:pt idx="13">
                  <c:v>0.72952691563769</c:v>
                </c:pt>
                <c:pt idx="14">
                  <c:v>0.780559237320181</c:v>
                </c:pt>
                <c:pt idx="15">
                  <c:v>0.813947724787781</c:v>
                </c:pt>
                <c:pt idx="16">
                  <c:v>0.834612607771733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BRISE!$AA$538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BRISE!$AB$538:$AR$538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BRISE!$AA$567</c:f>
              <c:strCache>
                <c:ptCount val="1"/>
                <c:pt idx="0">
                  <c:v>GDP per person (0 - 18 000$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BRISE!$AB$567:$AR$567</c:f>
              <c:numCache>
                <c:formatCode>0.000</c:formatCode>
                <c:ptCount val="17"/>
                <c:pt idx="9">
                  <c:v>0.354372683118473</c:v>
                </c:pt>
                <c:pt idx="10">
                  <c:v>0.399367559895053</c:v>
                </c:pt>
                <c:pt idx="11">
                  <c:v>0.46665257871276</c:v>
                </c:pt>
                <c:pt idx="12">
                  <c:v>0.544945490206246</c:v>
                </c:pt>
                <c:pt idx="13">
                  <c:v>0.62024444217795</c:v>
                </c:pt>
                <c:pt idx="14">
                  <c:v>0.694292454608271</c:v>
                </c:pt>
                <c:pt idx="15">
                  <c:v>0.758030743893407</c:v>
                </c:pt>
                <c:pt idx="16">
                  <c:v>0.814081576771745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BRISE!$AA$568</c:f>
              <c:strCache>
                <c:ptCount val="1"/>
                <c:pt idx="0">
                  <c:v>Consumption per person (0 - 18 000$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BRISE!$AB$568:$AR$568</c:f>
              <c:numCache>
                <c:formatCode>0.000</c:formatCode>
                <c:ptCount val="17"/>
                <c:pt idx="9">
                  <c:v>0.268073469654205</c:v>
                </c:pt>
                <c:pt idx="10">
                  <c:v>0.294992835280256</c:v>
                </c:pt>
                <c:pt idx="11">
                  <c:v>0.338380273258499</c:v>
                </c:pt>
                <c:pt idx="12">
                  <c:v>0.38775425074924</c:v>
                </c:pt>
                <c:pt idx="13">
                  <c:v>0.432890393254367</c:v>
                </c:pt>
                <c:pt idx="14">
                  <c:v>0.475101797393362</c:v>
                </c:pt>
                <c:pt idx="15">
                  <c:v>0.503906446191182</c:v>
                </c:pt>
                <c:pt idx="16">
                  <c:v>0.522854435707649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BRISE!$AA$569</c:f>
              <c:strCache>
                <c:ptCount val="1"/>
                <c:pt idx="0">
                  <c:v>Food per person (0 - 1.5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BRISE!$AB$569:$AR$569</c:f>
              <c:numCache>
                <c:formatCode>0.000</c:formatCode>
                <c:ptCount val="17"/>
                <c:pt idx="9">
                  <c:v>0.569069637331703</c:v>
                </c:pt>
                <c:pt idx="10">
                  <c:v>0.598135442768917</c:v>
                </c:pt>
                <c:pt idx="11">
                  <c:v>0.667712115653735</c:v>
                </c:pt>
                <c:pt idx="12">
                  <c:v>0.734250599507295</c:v>
                </c:pt>
                <c:pt idx="13">
                  <c:v>0.81433969337967</c:v>
                </c:pt>
                <c:pt idx="14">
                  <c:v>0.843117588826736</c:v>
                </c:pt>
                <c:pt idx="15">
                  <c:v>0.84020058553381</c:v>
                </c:pt>
                <c:pt idx="16">
                  <c:v>0.842646977125821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BRISE!$AA$570</c:f>
              <c:strCache>
                <c:ptCount val="1"/>
                <c:pt idx="0">
                  <c:v>Energy use per person (0 - 2.5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BRISE!$AB$570:$AR$570</c:f>
              <c:numCache>
                <c:formatCode>0.000</c:formatCode>
                <c:ptCount val="17"/>
                <c:pt idx="9">
                  <c:v>0.489209316341799</c:v>
                </c:pt>
                <c:pt idx="10">
                  <c:v>0.52430956893738</c:v>
                </c:pt>
                <c:pt idx="11">
                  <c:v>0.58262509414264</c:v>
                </c:pt>
                <c:pt idx="12">
                  <c:v>0.647036970003994</c:v>
                </c:pt>
                <c:pt idx="13">
                  <c:v>0.700356931557117</c:v>
                </c:pt>
                <c:pt idx="14">
                  <c:v>0.745554699960556</c:v>
                </c:pt>
                <c:pt idx="15">
                  <c:v>0.774113076484718</c:v>
                </c:pt>
                <c:pt idx="16">
                  <c:v>0.790616779373356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078164"/>
        <c:axId val="39666806"/>
      </c:lineChart>
      <c:catAx>
        <c:axId val="8707816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66806"/>
        <c:crosses val="autoZero"/>
        <c:auto val="1"/>
        <c:lblAlgn val="ctr"/>
        <c:lblOffset val="100"/>
        <c:noMultiLvlLbl val="0"/>
      </c:catAx>
      <c:valAx>
        <c:axId val="3966680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0781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BRISE!$AA$536</c:f>
              <c:strCache>
                <c:ptCount val="1"/>
                <c:pt idx="0">
                  <c:v>Food production (0 - 4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BRISE!$AB$536:$AR$536</c:f>
              <c:numCache>
                <c:formatCode>#,##0.000</c:formatCode>
                <c:ptCount val="17"/>
                <c:pt idx="0">
                  <c:v>0.24277899725</c:v>
                </c:pt>
                <c:pt idx="1">
                  <c:v>0.25016078425</c:v>
                </c:pt>
                <c:pt idx="2">
                  <c:v>0.28642460475</c:v>
                </c:pt>
                <c:pt idx="3">
                  <c:v>0.33037693325</c:v>
                </c:pt>
                <c:pt idx="4">
                  <c:v>0.3627868</c:v>
                </c:pt>
                <c:pt idx="5">
                  <c:v>0.34350526875</c:v>
                </c:pt>
                <c:pt idx="6">
                  <c:v>0.37820926875</c:v>
                </c:pt>
                <c:pt idx="7">
                  <c:v>0.4325797925</c:v>
                </c:pt>
                <c:pt idx="8">
                  <c:v>0.47422452625</c:v>
                </c:pt>
                <c:pt idx="9">
                  <c:v>0.5381875</c:v>
                </c:pt>
                <c:pt idx="10">
                  <c:v>0.609</c:v>
                </c:pt>
                <c:pt idx="11">
                  <c:v>0.6975</c:v>
                </c:pt>
                <c:pt idx="12">
                  <c:v>0.78</c:v>
                </c:pt>
                <c:pt idx="13">
                  <c:v>0.873375</c:v>
                </c:pt>
                <c:pt idx="14">
                  <c:v>0.905625</c:v>
                </c:pt>
                <c:pt idx="15">
                  <c:v>0.896125</c:v>
                </c:pt>
                <c:pt idx="16">
                  <c:v>0.885625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BRISE!$AA$535</c:f>
              <c:strCache>
                <c:ptCount val="1"/>
                <c:pt idx="0">
                  <c:v>Energy use (0 - 6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BRISE!$AB$535:$AR$535</c:f>
              <c:numCache>
                <c:formatCode>#,##0.000</c:formatCode>
                <c:ptCount val="17"/>
                <c:pt idx="0">
                  <c:v>0.162376215954787</c:v>
                </c:pt>
                <c:pt idx="1">
                  <c:v>0.208759136036593</c:v>
                </c:pt>
                <c:pt idx="2">
                  <c:v>0.252240485270985</c:v>
                </c:pt>
                <c:pt idx="3">
                  <c:v>0.292510542971734</c:v>
                </c:pt>
                <c:pt idx="4">
                  <c:v>0.335793281105586</c:v>
                </c:pt>
                <c:pt idx="5">
                  <c:v>0.319381173985093</c:v>
                </c:pt>
                <c:pt idx="6">
                  <c:v>0.351331714281269</c:v>
                </c:pt>
                <c:pt idx="7">
                  <c:v>0.407687925638948</c:v>
                </c:pt>
                <c:pt idx="8">
                  <c:v>0.478144056456744</c:v>
                </c:pt>
                <c:pt idx="9">
                  <c:v>0.514067800155783</c:v>
                </c:pt>
                <c:pt idx="10">
                  <c:v>0.584147756406178</c:v>
                </c:pt>
                <c:pt idx="11">
                  <c:v>0.669774057062299</c:v>
                </c:pt>
                <c:pt idx="12">
                  <c:v>0.761155350974079</c:v>
                </c:pt>
                <c:pt idx="13">
                  <c:v>0.836359933670277</c:v>
                </c:pt>
                <c:pt idx="14">
                  <c:v>0.896264988475349</c:v>
                </c:pt>
                <c:pt idx="15">
                  <c:v>0.927874976820951</c:v>
                </c:pt>
                <c:pt idx="16">
                  <c:v>0.937271179117871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BRISE!$AA$534</c:f>
              <c:strCache>
                <c:ptCount val="1"/>
                <c:pt idx="0">
                  <c:v>Investment share of GDP (0 - 40 %)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BRISE!$AB$534:$AR$534</c:f>
              <c:numCache>
                <c:formatCode>#,##0.000</c:formatCode>
                <c:ptCount val="17"/>
                <c:pt idx="0">
                  <c:v>0.529518445340448</c:v>
                </c:pt>
                <c:pt idx="1">
                  <c:v>0.635403931879224</c:v>
                </c:pt>
                <c:pt idx="2">
                  <c:v>0.625161192896993</c:v>
                </c:pt>
                <c:pt idx="3">
                  <c:v>0.513887199582151</c:v>
                </c:pt>
                <c:pt idx="4">
                  <c:v>0.694755969016509</c:v>
                </c:pt>
                <c:pt idx="5">
                  <c:v>0.579441621606743</c:v>
                </c:pt>
                <c:pt idx="6">
                  <c:v>0.515369487161665</c:v>
                </c:pt>
                <c:pt idx="7">
                  <c:v>0.57644270007289</c:v>
                </c:pt>
                <c:pt idx="8">
                  <c:v>0.603422365072806</c:v>
                </c:pt>
                <c:pt idx="9">
                  <c:v>0.608816773804605</c:v>
                </c:pt>
                <c:pt idx="10">
                  <c:v>0.654425080353454</c:v>
                </c:pt>
                <c:pt idx="11">
                  <c:v>0.68894381026509</c:v>
                </c:pt>
                <c:pt idx="12">
                  <c:v>0.723582857698818</c:v>
                </c:pt>
                <c:pt idx="13">
                  <c:v>0.758312143274113</c:v>
                </c:pt>
                <c:pt idx="14">
                  <c:v>0.793109107455585</c:v>
                </c:pt>
                <c:pt idx="15">
                  <c:v>0.842956830591689</c:v>
                </c:pt>
                <c:pt idx="16">
                  <c:v>0.900342622943766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BRISE!$AA$533</c:f>
              <c:strCache>
                <c:ptCount val="1"/>
                <c:pt idx="0">
                  <c:v>Unused bio-capacity (0 - 70 %)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BRISE!$AB$533:$AR$533</c:f>
              <c:numCache>
                <c:formatCode>#,##0.000</c:formatCode>
                <c:ptCount val="17"/>
                <c:pt idx="0">
                  <c:v>0.765832710468577</c:v>
                </c:pt>
                <c:pt idx="1">
                  <c:v>0.743159757775692</c:v>
                </c:pt>
                <c:pt idx="2">
                  <c:v>0.712440316159062</c:v>
                </c:pt>
                <c:pt idx="3">
                  <c:v>0.714311714288367</c:v>
                </c:pt>
                <c:pt idx="4">
                  <c:v>0.670701236059348</c:v>
                </c:pt>
                <c:pt idx="5">
                  <c:v>0.696163637173959</c:v>
                </c:pt>
                <c:pt idx="6">
                  <c:v>0.692993431248214</c:v>
                </c:pt>
                <c:pt idx="7">
                  <c:v>0.687021488363376</c:v>
                </c:pt>
                <c:pt idx="8">
                  <c:v>0.66065898750613</c:v>
                </c:pt>
                <c:pt idx="9">
                  <c:v>0.659376894711537</c:v>
                </c:pt>
                <c:pt idx="10">
                  <c:v>0.650632258732161</c:v>
                </c:pt>
                <c:pt idx="11">
                  <c:v>0.645983297047836</c:v>
                </c:pt>
                <c:pt idx="12">
                  <c:v>0.646387713691715</c:v>
                </c:pt>
                <c:pt idx="13">
                  <c:v>0.650581387254961</c:v>
                </c:pt>
                <c:pt idx="14">
                  <c:v>0.650459077454275</c:v>
                </c:pt>
                <c:pt idx="15">
                  <c:v>0.646204213965172</c:v>
                </c:pt>
                <c:pt idx="16">
                  <c:v>0.636310027695707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BRISE!$AA$537</c:f>
              <c:strCache>
                <c:ptCount val="1"/>
                <c:pt idx="0">
                  <c:v>Fraction renewable (0 - 50 %)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BRISE!$AB$537:$AR$537</c:f>
              <c:numCache>
                <c:formatCode>0.000</c:formatCode>
                <c:ptCount val="17"/>
                <c:pt idx="0">
                  <c:v>0.102470926091541</c:v>
                </c:pt>
                <c:pt idx="1">
                  <c:v>0.103887582044457</c:v>
                </c:pt>
                <c:pt idx="2">
                  <c:v>0.122679628942898</c:v>
                </c:pt>
                <c:pt idx="3">
                  <c:v>0.127994707199136</c:v>
                </c:pt>
                <c:pt idx="4">
                  <c:v>0.132024065398835</c:v>
                </c:pt>
                <c:pt idx="5">
                  <c:v>0.167229596677886</c:v>
                </c:pt>
                <c:pt idx="6">
                  <c:v>0.172007234738871</c:v>
                </c:pt>
                <c:pt idx="7">
                  <c:v>0.172049864223158</c:v>
                </c:pt>
                <c:pt idx="8">
                  <c:v>0.17602199775086</c:v>
                </c:pt>
                <c:pt idx="9">
                  <c:v>0.21</c:v>
                </c:pt>
                <c:pt idx="10">
                  <c:v>0.24</c:v>
                </c:pt>
                <c:pt idx="11">
                  <c:v>0.3</c:v>
                </c:pt>
                <c:pt idx="12">
                  <c:v>0.36</c:v>
                </c:pt>
                <c:pt idx="13">
                  <c:v>0.44</c:v>
                </c:pt>
                <c:pt idx="14">
                  <c:v>0.52</c:v>
                </c:pt>
                <c:pt idx="15">
                  <c:v>0.62</c:v>
                </c:pt>
                <c:pt idx="16">
                  <c:v>0.74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BRISE!$AA$543</c:f>
              <c:strCache>
                <c:ptCount val="1"/>
                <c:pt idx="0">
                  <c:v>Food production (0 - 4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BRISE!$AB$543:$AR$543</c:f>
              <c:numCache>
                <c:formatCode>#,##0.000</c:formatCode>
                <c:ptCount val="17"/>
                <c:pt idx="9">
                  <c:v>0.5381875</c:v>
                </c:pt>
                <c:pt idx="10">
                  <c:v>0.5848836</c:v>
                </c:pt>
                <c:pt idx="11">
                  <c:v>0.669879</c:v>
                </c:pt>
                <c:pt idx="12">
                  <c:v>0.749112</c:v>
                </c:pt>
                <c:pt idx="13">
                  <c:v>0.83878935</c:v>
                </c:pt>
                <c:pt idx="14">
                  <c:v>0.86976225</c:v>
                </c:pt>
                <c:pt idx="15">
                  <c:v>0.86063845</c:v>
                </c:pt>
                <c:pt idx="16">
                  <c:v>0.85055425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BRISE!$AA$542</c:f>
              <c:strCache>
                <c:ptCount val="1"/>
                <c:pt idx="0">
                  <c:v>Energy use (0 - 6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BRISE!$AB$542:$AR$542</c:f>
              <c:numCache>
                <c:formatCode>#,##0.000</c:formatCode>
                <c:ptCount val="17"/>
                <c:pt idx="9">
                  <c:v>0.514067800155783</c:v>
                </c:pt>
                <c:pt idx="10">
                  <c:v>0.569659285742554</c:v>
                </c:pt>
                <c:pt idx="11">
                  <c:v>0.649462056558211</c:v>
                </c:pt>
                <c:pt idx="12">
                  <c:v>0.733481274042288</c:v>
                </c:pt>
                <c:pt idx="13">
                  <c:v>0.801538200778688</c:v>
                </c:pt>
                <c:pt idx="14">
                  <c:v>0.854573472878524</c:v>
                </c:pt>
                <c:pt idx="15">
                  <c:v>0.881048181617327</c:v>
                </c:pt>
                <c:pt idx="16">
                  <c:v>0.886706454082241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BRISE!$AA$541</c:f>
              <c:strCache>
                <c:ptCount val="1"/>
                <c:pt idx="0">
                  <c:v>Investment share of GDP (0 - 40 %),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BRISE!$AB$541:$AR$541</c:f>
              <c:numCache>
                <c:formatCode>#,##0.000</c:formatCode>
                <c:ptCount val="17"/>
                <c:pt idx="9">
                  <c:v>0.608816773804605</c:v>
                </c:pt>
                <c:pt idx="10">
                  <c:v>0.653375080353454</c:v>
                </c:pt>
                <c:pt idx="11">
                  <c:v>0.68719381026509</c:v>
                </c:pt>
                <c:pt idx="12">
                  <c:v>0.721132857698818</c:v>
                </c:pt>
                <c:pt idx="13">
                  <c:v>0.755162143274113</c:v>
                </c:pt>
                <c:pt idx="14">
                  <c:v>0.789259107455585</c:v>
                </c:pt>
                <c:pt idx="15">
                  <c:v>0.838106830591689</c:v>
                </c:pt>
                <c:pt idx="16">
                  <c:v>0.894342622943767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BRISE!$AA$540</c:f>
              <c:strCache>
                <c:ptCount val="1"/>
                <c:pt idx="0">
                  <c:v>Unused bio-capacity (0 - 70 %),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BRISE!$AB$540:$AR$540</c:f>
              <c:numCache>
                <c:formatCode>#,##0.000</c:formatCode>
                <c:ptCount val="17"/>
                <c:pt idx="9">
                  <c:v>0.659376894711537</c:v>
                </c:pt>
                <c:pt idx="10">
                  <c:v>0.634922418078484</c:v>
                </c:pt>
                <c:pt idx="11">
                  <c:v>0.630266184986022</c:v>
                </c:pt>
                <c:pt idx="12">
                  <c:v>0.630665739801664</c:v>
                </c:pt>
                <c:pt idx="13">
                  <c:v>0.634855851828304</c:v>
                </c:pt>
                <c:pt idx="14">
                  <c:v>0.634554894831934</c:v>
                </c:pt>
                <c:pt idx="15">
                  <c:v>0.629935981893604</c:v>
                </c:pt>
                <c:pt idx="16">
                  <c:v>0.619469414187161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BRISE!$AA$544</c:f>
              <c:strCache>
                <c:ptCount val="1"/>
                <c:pt idx="0">
                  <c:v>Fraction renewable (0 - 50 %),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BRISE!$AB$544:$AR$544</c:f>
              <c:numCache>
                <c:formatCode>0.000</c:formatCode>
                <c:ptCount val="17"/>
                <c:pt idx="9">
                  <c:v>0.21</c:v>
                </c:pt>
                <c:pt idx="10">
                  <c:v>0.2352</c:v>
                </c:pt>
                <c:pt idx="11">
                  <c:v>0.294</c:v>
                </c:pt>
                <c:pt idx="12">
                  <c:v>0.3528</c:v>
                </c:pt>
                <c:pt idx="13">
                  <c:v>0.4312</c:v>
                </c:pt>
                <c:pt idx="14">
                  <c:v>0.5096</c:v>
                </c:pt>
                <c:pt idx="15">
                  <c:v>0.6076</c:v>
                </c:pt>
                <c:pt idx="16">
                  <c:v>0.7252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997384"/>
        <c:axId val="44841981"/>
      </c:lineChart>
      <c:catAx>
        <c:axId val="5199738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41981"/>
        <c:crosses val="autoZero"/>
        <c:auto val="1"/>
        <c:lblAlgn val="ctr"/>
        <c:lblOffset val="100"/>
        <c:noMultiLvlLbl val="0"/>
      </c:catAx>
      <c:valAx>
        <c:axId val="4484198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9738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32021374987"/>
          <c:w val="0.711051832092179"/>
          <c:h val="0.806289178912753"/>
        </c:manualLayout>
      </c:layout>
      <c:lineChart>
        <c:grouping val="standard"/>
        <c:varyColors val="0"/>
        <c:ser>
          <c:idx val="0"/>
          <c:order val="0"/>
          <c:tx>
            <c:strRef>
              <c:f>BRISE!$AA$71</c:f>
              <c:strCache>
                <c:ptCount val="1"/>
                <c:pt idx="0">
                  <c:v>People BRISE Age15-64 (0 - 2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BRISE!$AB$71:$AR$71</c:f>
              <c:numCache>
                <c:formatCode>#,##0.000</c:formatCode>
                <c:ptCount val="17"/>
                <c:pt idx="0">
                  <c:v>0.339480181</c:v>
                </c:pt>
                <c:pt idx="1">
                  <c:v>0.383478798</c:v>
                </c:pt>
                <c:pt idx="2">
                  <c:v>0.4321674455</c:v>
                </c:pt>
                <c:pt idx="3">
                  <c:v>0.4863785265</c:v>
                </c:pt>
                <c:pt idx="4">
                  <c:v>0.5441552435</c:v>
                </c:pt>
                <c:pt idx="5">
                  <c:v>0.6042994465</c:v>
                </c:pt>
                <c:pt idx="6">
                  <c:v>0.671182573</c:v>
                </c:pt>
                <c:pt idx="7">
                  <c:v>0.7371346595</c:v>
                </c:pt>
                <c:pt idx="8">
                  <c:v>0.8001867325</c:v>
                </c:pt>
                <c:pt idx="9">
                  <c:v>0.8232593955</c:v>
                </c:pt>
                <c:pt idx="10">
                  <c:v>0.867599994</c:v>
                </c:pt>
                <c:pt idx="11">
                  <c:v>0.906608026</c:v>
                </c:pt>
                <c:pt idx="12">
                  <c:v>0.926947368</c:v>
                </c:pt>
                <c:pt idx="13">
                  <c:v>0.932295407</c:v>
                </c:pt>
                <c:pt idx="14">
                  <c:v>0.9225040895</c:v>
                </c:pt>
                <c:pt idx="15">
                  <c:v>0.9009617705</c:v>
                </c:pt>
                <c:pt idx="16">
                  <c:v>0.8676484625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BRISE!$AA$72</c:f>
              <c:strCache>
                <c:ptCount val="1"/>
                <c:pt idx="0">
                  <c:v>Support burden (pop/age15-64) (0 - 1.8)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BRISE!$AB$72:$AR$72</c:f>
              <c:numCache>
                <c:formatCode>#,##0.000</c:formatCode>
                <c:ptCount val="17"/>
                <c:pt idx="0">
                  <c:v>0.98745605171769</c:v>
                </c:pt>
                <c:pt idx="1">
                  <c:v>0.973816314408658</c:v>
                </c:pt>
                <c:pt idx="2">
                  <c:v>0.961753856816131</c:v>
                </c:pt>
                <c:pt idx="3">
                  <c:v>0.949182821179595</c:v>
                </c:pt>
                <c:pt idx="4">
                  <c:v>0.934379840161265</c:v>
                </c:pt>
                <c:pt idx="5">
                  <c:v>0.913312848597635</c:v>
                </c:pt>
                <c:pt idx="6">
                  <c:v>0.883306479760662</c:v>
                </c:pt>
                <c:pt idx="7">
                  <c:v>0.857486121608392</c:v>
                </c:pt>
                <c:pt idx="8">
                  <c:v>0.837280622564628</c:v>
                </c:pt>
                <c:pt idx="9">
                  <c:v>0.850937626883928</c:v>
                </c:pt>
                <c:pt idx="10">
                  <c:v>0.835425191630839</c:v>
                </c:pt>
                <c:pt idx="11">
                  <c:v>0.82067100611533</c:v>
                </c:pt>
                <c:pt idx="12">
                  <c:v>0.816538238342797</c:v>
                </c:pt>
                <c:pt idx="13">
                  <c:v>0.819798456176026</c:v>
                </c:pt>
                <c:pt idx="14">
                  <c:v>0.82979536524885</c:v>
                </c:pt>
                <c:pt idx="15">
                  <c:v>0.843519888208831</c:v>
                </c:pt>
                <c:pt idx="16">
                  <c:v>0.862869784249891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BRISE!$AA$75</c:f>
              <c:strCache>
                <c:ptCount val="1"/>
                <c:pt idx="0">
                  <c:v>People BRISE Age15-64 (0 - 2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BRISE!$AB$75:$AR$75</c:f>
              <c:numCache>
                <c:formatCode>#,##0.000</c:formatCode>
                <c:ptCount val="17"/>
                <c:pt idx="9">
                  <c:v>0.8232593955</c:v>
                </c:pt>
                <c:pt idx="10">
                  <c:v>0.85024799412</c:v>
                </c:pt>
                <c:pt idx="11">
                  <c:v>0.88847586548</c:v>
                </c:pt>
                <c:pt idx="12">
                  <c:v>0.90840842064</c:v>
                </c:pt>
                <c:pt idx="13">
                  <c:v>0.91364949886</c:v>
                </c:pt>
                <c:pt idx="14">
                  <c:v>0.90405400771</c:v>
                </c:pt>
                <c:pt idx="15">
                  <c:v>0.88294253509</c:v>
                </c:pt>
                <c:pt idx="16">
                  <c:v>0.85029549325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BRISE!$AA$76</c:f>
              <c:strCache>
                <c:ptCount val="1"/>
                <c:pt idx="0">
                  <c:v>Support burden (pop/age15-64) (0 - 1.8)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BRISE!$AB$76:$AR$76</c:f>
              <c:numCache>
                <c:formatCode>#,##0.000</c:formatCode>
                <c:ptCount val="17"/>
                <c:pt idx="9">
                  <c:v>0.850937626883928</c:v>
                </c:pt>
                <c:pt idx="10">
                  <c:v>0.851903734389219</c:v>
                </c:pt>
                <c:pt idx="11">
                  <c:v>0.836426344471031</c:v>
                </c:pt>
                <c:pt idx="12">
                  <c:v>0.831931415439457</c:v>
                </c:pt>
                <c:pt idx="13">
                  <c:v>0.835091214342853</c:v>
                </c:pt>
                <c:pt idx="14">
                  <c:v>0.845248211382529</c:v>
                </c:pt>
                <c:pt idx="15">
                  <c:v>0.859352920577368</c:v>
                </c:pt>
                <c:pt idx="16">
                  <c:v>0.879331652007479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24196"/>
        <c:axId val="54938908"/>
      </c:lineChart>
      <c:catAx>
        <c:axId val="5592419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938908"/>
        <c:crosses val="autoZero"/>
        <c:auto val="1"/>
        <c:lblAlgn val="ctr"/>
        <c:lblOffset val="100"/>
        <c:noMultiLvlLbl val="0"/>
      </c:catAx>
      <c:valAx>
        <c:axId val="5493890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2419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1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BRISE!$AA$109</c:f>
              <c:strCache>
                <c:ptCount val="1"/>
                <c:pt idx="0">
                  <c:v>Labor productivity (0 - 30000 $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BRISE!$AB$109:$AR$109</c:f>
              <c:numCache>
                <c:formatCode>#,##0.000</c:formatCode>
                <c:ptCount val="17"/>
                <c:pt idx="0">
                  <c:v>0.111095417052148</c:v>
                </c:pt>
                <c:pt idx="1">
                  <c:v>0.133352042531873</c:v>
                </c:pt>
                <c:pt idx="2">
                  <c:v>0.144852115153717</c:v>
                </c:pt>
                <c:pt idx="3">
                  <c:v>0.145133659416814</c:v>
                </c:pt>
                <c:pt idx="4">
                  <c:v>0.222301250705042</c:v>
                </c:pt>
                <c:pt idx="5">
                  <c:v>0.218739567398936</c:v>
                </c:pt>
                <c:pt idx="6">
                  <c:v>0.227411998745605</c:v>
                </c:pt>
                <c:pt idx="7">
                  <c:v>0.269034706448586</c:v>
                </c:pt>
                <c:pt idx="8">
                  <c:v>0.296066340005226</c:v>
                </c:pt>
                <c:pt idx="9">
                  <c:v>0.325672974005749</c:v>
                </c:pt>
                <c:pt idx="10">
                  <c:v>0.369638825496525</c:v>
                </c:pt>
                <c:pt idx="11">
                  <c:v>0.426932843448487</c:v>
                </c:pt>
                <c:pt idx="12">
                  <c:v>0.499511426834729</c:v>
                </c:pt>
                <c:pt idx="13">
                  <c:v>0.574438140859939</c:v>
                </c:pt>
                <c:pt idx="14">
                  <c:v>0.65485948058033</c:v>
                </c:pt>
                <c:pt idx="15">
                  <c:v>0.730700630025604</c:v>
                </c:pt>
                <c:pt idx="16">
                  <c:v>0.80677835581366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BRISE!$AA$111</c:f>
              <c:strCache>
                <c:ptCount val="1"/>
                <c:pt idx="0">
                  <c:v>Growth in productivity (0 - 12 %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BRISE!$B$95:$R$95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BRISE!$AB$111:$AR$111</c:f>
              <c:numCache>
                <c:formatCode>#,##0.000</c:formatCode>
                <c:ptCount val="17"/>
                <c:pt idx="1">
                  <c:v>0.333896543924312</c:v>
                </c:pt>
                <c:pt idx="2">
                  <c:v>0.143730739620967</c:v>
                </c:pt>
                <c:pt idx="3">
                  <c:v>0.0032394448503333</c:v>
                </c:pt>
                <c:pt idx="4">
                  <c:v>0.886166948892815</c:v>
                </c:pt>
                <c:pt idx="5">
                  <c:v>-0.0267031284110284</c:v>
                </c:pt>
                <c:pt idx="6">
                  <c:v>0.0660788188269908</c:v>
                </c:pt>
                <c:pt idx="7">
                  <c:v>0.305046259157898</c:v>
                </c:pt>
                <c:pt idx="8">
                  <c:v>0.167460634314148</c:v>
                </c:pt>
                <c:pt idx="9">
                  <c:v>0.166666666666667</c:v>
                </c:pt>
                <c:pt idx="10">
                  <c:v>0.225</c:v>
                </c:pt>
                <c:pt idx="11">
                  <c:v>0.258333333333333</c:v>
                </c:pt>
                <c:pt idx="12">
                  <c:v>0.283333333333333</c:v>
                </c:pt>
                <c:pt idx="13">
                  <c:v>0.25</c:v>
                </c:pt>
                <c:pt idx="14">
                  <c:v>0.233333333333333</c:v>
                </c:pt>
                <c:pt idx="15">
                  <c:v>0.193021433590771</c:v>
                </c:pt>
                <c:pt idx="16">
                  <c:v>0.173526892459798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BRISE!$AA$112</c:f>
              <c:strCache>
                <c:ptCount val="1"/>
                <c:pt idx="0">
                  <c:v>Labor productivity (0 - 30000 $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BRISE!$AB$112:$AR$112</c:f>
              <c:numCache>
                <c:formatCode>#,##0.000</c:formatCode>
                <c:ptCount val="17"/>
                <c:pt idx="9">
                  <c:v>0.325672974005749</c:v>
                </c:pt>
                <c:pt idx="10">
                  <c:v>0.367440532921986</c:v>
                </c:pt>
                <c:pt idx="11">
                  <c:v>0.421546151394749</c:v>
                </c:pt>
                <c:pt idx="12">
                  <c:v>0.489625854845001</c:v>
                </c:pt>
                <c:pt idx="13">
                  <c:v>0.559397539160413</c:v>
                </c:pt>
                <c:pt idx="14">
                  <c:v>0.633797411868748</c:v>
                </c:pt>
                <c:pt idx="15">
                  <c:v>0.703529208344413</c:v>
                </c:pt>
                <c:pt idx="16">
                  <c:v>0.773115513593277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BRISE!$AA$113</c:f>
              <c:strCache>
                <c:ptCount val="1"/>
                <c:pt idx="0">
                  <c:v>Growth in productivity (0 - 12 %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BRISE!$AB$113:$AR$113</c:f>
              <c:numCache>
                <c:formatCode>#,##0.000</c:formatCode>
                <c:ptCount val="17"/>
                <c:pt idx="9">
                  <c:v>0.166666666666667</c:v>
                </c:pt>
                <c:pt idx="10">
                  <c:v>0.21375</c:v>
                </c:pt>
                <c:pt idx="11">
                  <c:v>0.245416666666667</c:v>
                </c:pt>
                <c:pt idx="12">
                  <c:v>0.269166666666667</c:v>
                </c:pt>
                <c:pt idx="13">
                  <c:v>0.2375</c:v>
                </c:pt>
                <c:pt idx="14">
                  <c:v>0.221666666666667</c:v>
                </c:pt>
                <c:pt idx="15">
                  <c:v>0.183370361911233</c:v>
                </c:pt>
                <c:pt idx="16">
                  <c:v>0.164850547836808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958464"/>
        <c:axId val="6039796"/>
      </c:lineChart>
      <c:catAx>
        <c:axId val="9195846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39796"/>
        <c:crosses val="autoZero"/>
        <c:auto val="1"/>
        <c:lblAlgn val="ctr"/>
        <c:lblOffset val="100"/>
        <c:noMultiLvlLbl val="0"/>
      </c:catAx>
      <c:valAx>
        <c:axId val="603979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9584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3"/>
          <c:y val="0.11170855551453"/>
          <c:w val="0.227466586185565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41005802708"/>
          <c:w val="0.7110662506882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BRISE!$AA$135</c:f>
              <c:strCache>
                <c:ptCount val="1"/>
                <c:pt idx="0">
                  <c:v>GDP BRISE (0 - 45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BRISE!$AB$135:$AR$135</c:f>
              <c:numCache>
                <c:formatCode>#,##0.000</c:formatCode>
                <c:ptCount val="17"/>
                <c:pt idx="0">
                  <c:v>0.0502862563855115</c:v>
                </c:pt>
                <c:pt idx="1">
                  <c:v>0.0681835746412901</c:v>
                </c:pt>
                <c:pt idx="2">
                  <c:v>0.0834671581083382</c:v>
                </c:pt>
                <c:pt idx="3">
                  <c:v>0.0941198605502702</c:v>
                </c:pt>
                <c:pt idx="4">
                  <c:v>0.161288521610342</c:v>
                </c:pt>
                <c:pt idx="5">
                  <c:v>0.176245599342435</c:v>
                </c:pt>
                <c:pt idx="6">
                  <c:v>0.203513293932198</c:v>
                </c:pt>
                <c:pt idx="7">
                  <c:v>0.264419742308881</c:v>
                </c:pt>
                <c:pt idx="8">
                  <c:v>0.315877809616021</c:v>
                </c:pt>
                <c:pt idx="9">
                  <c:v>0.357484447614214</c:v>
                </c:pt>
                <c:pt idx="10">
                  <c:v>0.42759819037727</c:v>
                </c:pt>
                <c:pt idx="11">
                  <c:v>0.516080989911199</c:v>
                </c:pt>
                <c:pt idx="12">
                  <c:v>0.617361069853836</c:v>
                </c:pt>
                <c:pt idx="13">
                  <c:v>0.714061387105787</c:v>
                </c:pt>
                <c:pt idx="14">
                  <c:v>0.805480731844267</c:v>
                </c:pt>
                <c:pt idx="15">
                  <c:v>0.877777777777778</c:v>
                </c:pt>
                <c:pt idx="16">
                  <c:v>0.933333333333333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BRISE!$AA$137</c:f>
              <c:strCache>
                <c:ptCount val="1"/>
                <c:pt idx="0">
                  <c:v>Consumption (0 - 45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BRISE!$AB$137:$AR$137</c:f>
              <c:numCache>
                <c:formatCode>#,##0.000</c:formatCode>
                <c:ptCount val="17"/>
                <c:pt idx="0">
                  <c:v>0.0396352562642126</c:v>
                </c:pt>
                <c:pt idx="1">
                  <c:v>0.0508539300746276</c:v>
                </c:pt>
                <c:pt idx="2">
                  <c:v>0.062594986856046</c:v>
                </c:pt>
                <c:pt idx="3">
                  <c:v>0.0747730639249738</c:v>
                </c:pt>
                <c:pt idx="4">
                  <c:v>0.116466056361289</c:v>
                </c:pt>
                <c:pt idx="5">
                  <c:v>0.135395984988822</c:v>
                </c:pt>
                <c:pt idx="6">
                  <c:v>0.161559477162431</c:v>
                </c:pt>
                <c:pt idx="7">
                  <c:v>0.203450610225237</c:v>
                </c:pt>
                <c:pt idx="8">
                  <c:v>0.239634715635015</c:v>
                </c:pt>
                <c:pt idx="9">
                  <c:v>0.270427436381491</c:v>
                </c:pt>
                <c:pt idx="10">
                  <c:v>0.315665798338615</c:v>
                </c:pt>
                <c:pt idx="11">
                  <c:v>0.373860668473279</c:v>
                </c:pt>
                <c:pt idx="12">
                  <c:v>0.438676314991101</c:v>
                </c:pt>
                <c:pt idx="13">
                  <c:v>0.497468818751596</c:v>
                </c:pt>
                <c:pt idx="14">
                  <c:v>0.549947090121996</c:v>
                </c:pt>
                <c:pt idx="15">
                  <c:v>0.581806268370029</c:v>
                </c:pt>
                <c:pt idx="16">
                  <c:v>0.59720542076766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BRISE!$AB$136:$AR$136</c:f>
              <c:numCache>
                <c:formatCode>#,##0.000</c:formatCode>
                <c:ptCount val="17"/>
                <c:pt idx="0">
                  <c:v>0.529518445340448</c:v>
                </c:pt>
                <c:pt idx="1">
                  <c:v>0.635403931879224</c:v>
                </c:pt>
                <c:pt idx="2">
                  <c:v>0.625161192896993</c:v>
                </c:pt>
                <c:pt idx="3">
                  <c:v>0.513887199582151</c:v>
                </c:pt>
                <c:pt idx="4">
                  <c:v>0.694755969016509</c:v>
                </c:pt>
                <c:pt idx="5">
                  <c:v>0.579441621606743</c:v>
                </c:pt>
                <c:pt idx="6">
                  <c:v>0.515369487161665</c:v>
                </c:pt>
                <c:pt idx="7">
                  <c:v>0.57644270007289</c:v>
                </c:pt>
                <c:pt idx="8">
                  <c:v>0.603422365072806</c:v>
                </c:pt>
                <c:pt idx="9">
                  <c:v>0.608816773804605</c:v>
                </c:pt>
                <c:pt idx="10">
                  <c:v>0.654425080353454</c:v>
                </c:pt>
                <c:pt idx="11">
                  <c:v>0.68894381026509</c:v>
                </c:pt>
                <c:pt idx="12">
                  <c:v>0.723582857698818</c:v>
                </c:pt>
                <c:pt idx="13">
                  <c:v>0.758312143274113</c:v>
                </c:pt>
                <c:pt idx="14">
                  <c:v>0.793109107455585</c:v>
                </c:pt>
                <c:pt idx="15">
                  <c:v>0.842956830591689</c:v>
                </c:pt>
                <c:pt idx="16">
                  <c:v>0.900342622943766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BRISE!$U$158</c:f>
              <c:strCache>
                <c:ptCount val="1"/>
                <c:pt idx="0">
                  <c:v>GDP BRISE (0 - 45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BRISE!$AB$148:$AR$148</c:f>
              <c:numCache>
                <c:formatCode>#,##0.000</c:formatCode>
                <c:ptCount val="17"/>
                <c:pt idx="9">
                  <c:v>0.357484447614214</c:v>
                </c:pt>
                <c:pt idx="10">
                  <c:v>0.416554101433737</c:v>
                </c:pt>
                <c:pt idx="11">
                  <c:v>0.499378108933617</c:v>
                </c:pt>
                <c:pt idx="12">
                  <c:v>0.593040332672343</c:v>
                </c:pt>
                <c:pt idx="13">
                  <c:v>0.681457708423239</c:v>
                </c:pt>
                <c:pt idx="14">
                  <c:v>0.76398278703489</c:v>
                </c:pt>
                <c:pt idx="15">
                  <c:v>0.828234483633969</c:v>
                </c:pt>
                <c:pt idx="16">
                  <c:v>0.876502182626696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BRISE!$U$160</c:f>
              <c:strCache>
                <c:ptCount val="1"/>
                <c:pt idx="0">
                  <c:v>Consumption (0 - 45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BRISE!$AB$150:$AR$150</c:f>
              <c:numCache>
                <c:formatCode>#,##0.000</c:formatCode>
                <c:ptCount val="17"/>
                <c:pt idx="9">
                  <c:v>0.270427436381491</c:v>
                </c:pt>
                <c:pt idx="10">
                  <c:v>0.307687673635405</c:v>
                </c:pt>
                <c:pt idx="11">
                  <c:v>0.36211029075719</c:v>
                </c:pt>
                <c:pt idx="12">
                  <c:v>0.421975984740077</c:v>
                </c:pt>
                <c:pt idx="13">
                  <c:v>0.475613282965815</c:v>
                </c:pt>
                <c:pt idx="14">
                  <c:v>0.522790637992255</c:v>
                </c:pt>
                <c:pt idx="15">
                  <c:v>0.550574892407885</c:v>
                </c:pt>
                <c:pt idx="16">
                  <c:v>0.562944878216178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BRISE!$U$159</c:f>
              <c:strCache>
                <c:ptCount val="1"/>
                <c:pt idx="0">
                  <c:v>% Investment share (0 - 40%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BRISE!$AB$149:$AR$149</c:f>
              <c:numCache>
                <c:formatCode>#,##0.000</c:formatCode>
                <c:ptCount val="17"/>
                <c:pt idx="9">
                  <c:v>0.608816773804605</c:v>
                </c:pt>
                <c:pt idx="10">
                  <c:v>0.653375080353454</c:v>
                </c:pt>
                <c:pt idx="11">
                  <c:v>0.68719381026509</c:v>
                </c:pt>
                <c:pt idx="12">
                  <c:v>0.721132857698818</c:v>
                </c:pt>
                <c:pt idx="13">
                  <c:v>0.755162143274113</c:v>
                </c:pt>
                <c:pt idx="14">
                  <c:v>0.789259107455585</c:v>
                </c:pt>
                <c:pt idx="15">
                  <c:v>0.838106830591689</c:v>
                </c:pt>
                <c:pt idx="16">
                  <c:v>0.894342622943767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011902"/>
        <c:axId val="99107931"/>
      </c:lineChart>
      <c:catAx>
        <c:axId val="2201190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07931"/>
        <c:crosses val="autoZero"/>
        <c:auto val="1"/>
        <c:lblAlgn val="ctr"/>
        <c:lblOffset val="100"/>
        <c:noMultiLvlLbl val="0"/>
      </c:catAx>
      <c:valAx>
        <c:axId val="9910793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1190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BRISE!$AA$136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BRISE!$AB$136:$AR$136</c:f>
              <c:numCache>
                <c:formatCode>#,##0.000</c:formatCode>
                <c:ptCount val="17"/>
                <c:pt idx="0">
                  <c:v>0.529518445340448</c:v>
                </c:pt>
                <c:pt idx="1">
                  <c:v>0.635403931879224</c:v>
                </c:pt>
                <c:pt idx="2">
                  <c:v>0.625161192896993</c:v>
                </c:pt>
                <c:pt idx="3">
                  <c:v>0.513887199582151</c:v>
                </c:pt>
                <c:pt idx="4">
                  <c:v>0.694755969016509</c:v>
                </c:pt>
                <c:pt idx="5">
                  <c:v>0.579441621606743</c:v>
                </c:pt>
                <c:pt idx="6">
                  <c:v>0.515369487161665</c:v>
                </c:pt>
                <c:pt idx="7">
                  <c:v>0.57644270007289</c:v>
                </c:pt>
                <c:pt idx="8">
                  <c:v>0.603422365072806</c:v>
                </c:pt>
                <c:pt idx="9">
                  <c:v>0.608816773804605</c:v>
                </c:pt>
                <c:pt idx="10">
                  <c:v>0.654425080353454</c:v>
                </c:pt>
                <c:pt idx="11">
                  <c:v>0.68894381026509</c:v>
                </c:pt>
                <c:pt idx="12">
                  <c:v>0.723582857698818</c:v>
                </c:pt>
                <c:pt idx="13">
                  <c:v>0.758312143274113</c:v>
                </c:pt>
                <c:pt idx="14">
                  <c:v>0.793109107455585</c:v>
                </c:pt>
                <c:pt idx="15">
                  <c:v>0.842956830591689</c:v>
                </c:pt>
                <c:pt idx="16">
                  <c:v>0.900342622943766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BRISE!$AA$138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BRISE!$AB$138:$AR$138</c:f>
              <c:numCache>
                <c:formatCode>0.00</c:formatCode>
                <c:ptCount val="17"/>
                <c:pt idx="9">
                  <c:v>0.602566773804605</c:v>
                </c:pt>
                <c:pt idx="10">
                  <c:v>0.601925080353454</c:v>
                </c:pt>
                <c:pt idx="11">
                  <c:v>0.60144381026509</c:v>
                </c:pt>
                <c:pt idx="12">
                  <c:v>0.601082857698818</c:v>
                </c:pt>
                <c:pt idx="13">
                  <c:v>0.600812143274113</c:v>
                </c:pt>
                <c:pt idx="14">
                  <c:v>0.600609107455585</c:v>
                </c:pt>
                <c:pt idx="15">
                  <c:v>0.600456830591689</c:v>
                </c:pt>
                <c:pt idx="16">
                  <c:v>0.600342622943767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BRISE!$AA$139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BRISE!$AB$139:$AR$139</c:f>
              <c:numCache>
                <c:formatCode>0.00</c:formatCode>
                <c:ptCount val="17"/>
                <c:pt idx="9">
                  <c:v>0.605066773804605</c:v>
                </c:pt>
                <c:pt idx="10">
                  <c:v>0.634425080353454</c:v>
                </c:pt>
                <c:pt idx="11">
                  <c:v>0.65144381026509</c:v>
                </c:pt>
                <c:pt idx="12">
                  <c:v>0.668582857698818</c:v>
                </c:pt>
                <c:pt idx="13">
                  <c:v>0.685812143274113</c:v>
                </c:pt>
                <c:pt idx="14">
                  <c:v>0.703109107455585</c:v>
                </c:pt>
                <c:pt idx="15">
                  <c:v>0.725456830591689</c:v>
                </c:pt>
                <c:pt idx="16">
                  <c:v>0.750342622943767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BRISE!$AA$140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BRISE!$AB$140:$AR$140</c:f>
              <c:numCache>
                <c:formatCode>0.00</c:formatCode>
                <c:ptCount val="17"/>
                <c:pt idx="9">
                  <c:v>0.608816773804605</c:v>
                </c:pt>
                <c:pt idx="10">
                  <c:v>0.654425080353454</c:v>
                </c:pt>
                <c:pt idx="11">
                  <c:v>0.68894381026509</c:v>
                </c:pt>
                <c:pt idx="12">
                  <c:v>0.723582857698818</c:v>
                </c:pt>
                <c:pt idx="13">
                  <c:v>0.758312143274113</c:v>
                </c:pt>
                <c:pt idx="14">
                  <c:v>0.793109107455585</c:v>
                </c:pt>
                <c:pt idx="15">
                  <c:v>0.842956830591689</c:v>
                </c:pt>
                <c:pt idx="16">
                  <c:v>0.900342622943766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BRISE!$AA$151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BRISE!$AB$151:$AR$151</c:f>
              <c:numCache>
                <c:formatCode>0.00</c:formatCode>
                <c:ptCount val="17"/>
                <c:pt idx="9">
                  <c:v>0.602566773804605</c:v>
                </c:pt>
                <c:pt idx="10">
                  <c:v>0.601925080353454</c:v>
                </c:pt>
                <c:pt idx="11">
                  <c:v>0.60144381026509</c:v>
                </c:pt>
                <c:pt idx="12">
                  <c:v>0.601082857698818</c:v>
                </c:pt>
                <c:pt idx="13">
                  <c:v>0.600812143274113</c:v>
                </c:pt>
                <c:pt idx="14">
                  <c:v>0.600609107455585</c:v>
                </c:pt>
                <c:pt idx="15">
                  <c:v>0.600456830591689</c:v>
                </c:pt>
                <c:pt idx="16">
                  <c:v>0.600342622943767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BRISE!$AA$152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BRISE!$AB$152:$AR$152</c:f>
              <c:numCache>
                <c:formatCode>0.00</c:formatCode>
                <c:ptCount val="17"/>
                <c:pt idx="9">
                  <c:v>0.605066773804605</c:v>
                </c:pt>
                <c:pt idx="10">
                  <c:v>0.633775080353454</c:v>
                </c:pt>
                <c:pt idx="11">
                  <c:v>0.65044381026509</c:v>
                </c:pt>
                <c:pt idx="12">
                  <c:v>0.667232857698818</c:v>
                </c:pt>
                <c:pt idx="13">
                  <c:v>0.684112143274113</c:v>
                </c:pt>
                <c:pt idx="14">
                  <c:v>0.701059107455585</c:v>
                </c:pt>
                <c:pt idx="15">
                  <c:v>0.722956830591689</c:v>
                </c:pt>
                <c:pt idx="16">
                  <c:v>0.747342622943767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BRISE!$AA$153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BRISE!$AB$153:$AR$153</c:f>
              <c:numCache>
                <c:formatCode>0.00</c:formatCode>
                <c:ptCount val="17"/>
                <c:pt idx="9">
                  <c:v>0.608816773804605</c:v>
                </c:pt>
                <c:pt idx="10">
                  <c:v>0.653375080353454</c:v>
                </c:pt>
                <c:pt idx="11">
                  <c:v>0.68719381026509</c:v>
                </c:pt>
                <c:pt idx="12">
                  <c:v>0.721132857698818</c:v>
                </c:pt>
                <c:pt idx="13">
                  <c:v>0.755162143274113</c:v>
                </c:pt>
                <c:pt idx="14">
                  <c:v>0.789259107455585</c:v>
                </c:pt>
                <c:pt idx="15">
                  <c:v>0.838106830591689</c:v>
                </c:pt>
                <c:pt idx="16">
                  <c:v>0.894342622943767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797684"/>
        <c:axId val="26996056"/>
      </c:lineChart>
      <c:catAx>
        <c:axId val="6879768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96056"/>
        <c:crosses val="autoZero"/>
        <c:auto val="1"/>
        <c:lblAlgn val="ctr"/>
        <c:lblOffset val="100"/>
        <c:noMultiLvlLbl val="0"/>
      </c:catAx>
      <c:valAx>
        <c:axId val="2699605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79768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6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29745672566"/>
          <c:w val="0.711068448645057"/>
          <c:h val="0.806304999516488"/>
        </c:manualLayout>
      </c:layout>
      <c:lineChart>
        <c:grouping val="standard"/>
        <c:varyColors val="0"/>
        <c:ser>
          <c:idx val="0"/>
          <c:order val="0"/>
          <c:tx>
            <c:strRef>
              <c:f>BRISE!$AA$209</c:f>
              <c:strCache>
                <c:ptCount val="1"/>
                <c:pt idx="0">
                  <c:v>Consumption (0 - 30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BRISE!$AB$209:$AR$209</c:f>
              <c:numCache>
                <c:formatCode>#,##0.000</c:formatCode>
                <c:ptCount val="17"/>
                <c:pt idx="0">
                  <c:v>0.0594528843963189</c:v>
                </c:pt>
                <c:pt idx="1">
                  <c:v>0.0762808951119415</c:v>
                </c:pt>
                <c:pt idx="2">
                  <c:v>0.0938924802840689</c:v>
                </c:pt>
                <c:pt idx="3">
                  <c:v>0.112159595887461</c:v>
                </c:pt>
                <c:pt idx="4">
                  <c:v>0.174699084541933</c:v>
                </c:pt>
                <c:pt idx="5">
                  <c:v>0.203093977483233</c:v>
                </c:pt>
                <c:pt idx="6">
                  <c:v>0.242339215743646</c:v>
                </c:pt>
                <c:pt idx="7">
                  <c:v>0.305175915337856</c:v>
                </c:pt>
                <c:pt idx="8">
                  <c:v>0.359452073452522</c:v>
                </c:pt>
                <c:pt idx="9">
                  <c:v>0.405641154572236</c:v>
                </c:pt>
                <c:pt idx="10">
                  <c:v>0.473498697507923</c:v>
                </c:pt>
                <c:pt idx="11">
                  <c:v>0.560791002709918</c:v>
                </c:pt>
                <c:pt idx="12">
                  <c:v>0.658014472486651</c:v>
                </c:pt>
                <c:pt idx="13">
                  <c:v>0.746203228127395</c:v>
                </c:pt>
                <c:pt idx="14">
                  <c:v>0.824920635182994</c:v>
                </c:pt>
                <c:pt idx="15">
                  <c:v>0.872709402555044</c:v>
                </c:pt>
                <c:pt idx="16">
                  <c:v>0.895808131151491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BRISE!$AA$210</c:f>
              <c:strCache>
                <c:ptCount val="1"/>
                <c:pt idx="0">
                  <c:v>Consumption per person (0 - 12000 $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BRISE!$AB$210:$AR$210</c:f>
              <c:numCache>
                <c:formatCode>#,##0.000</c:formatCode>
                <c:ptCount val="17"/>
                <c:pt idx="0">
                  <c:v>0.123162426501958</c:v>
                </c:pt>
                <c:pt idx="1">
                  <c:v>0.141851811100647</c:v>
                </c:pt>
                <c:pt idx="2">
                  <c:v>0.156874492514346</c:v>
                </c:pt>
                <c:pt idx="3">
                  <c:v>0.16871344036816</c:v>
                </c:pt>
                <c:pt idx="4">
                  <c:v>0.238606274014608</c:v>
                </c:pt>
                <c:pt idx="5">
                  <c:v>0.25554229400461</c:v>
                </c:pt>
                <c:pt idx="6">
                  <c:v>0.283863215491042</c:v>
                </c:pt>
                <c:pt idx="7">
                  <c:v>0.335284774413375</c:v>
                </c:pt>
                <c:pt idx="8">
                  <c:v>0.372577062626548</c:v>
                </c:pt>
                <c:pt idx="9">
                  <c:v>0.402110204481307</c:v>
                </c:pt>
                <c:pt idx="10">
                  <c:v>0.453658642926932</c:v>
                </c:pt>
                <c:pt idx="11">
                  <c:v>0.523419496544032</c:v>
                </c:pt>
                <c:pt idx="12">
                  <c:v>0.603728044768768</c:v>
                </c:pt>
                <c:pt idx="13">
                  <c:v>0.678006707921558</c:v>
                </c:pt>
                <c:pt idx="14">
                  <c:v>0.748359662655248</c:v>
                </c:pt>
                <c:pt idx="15">
                  <c:v>0.797453691628982</c:v>
                </c:pt>
                <c:pt idx="16">
                  <c:v>0.830928098617732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BRISE!$U$215</c:f>
              <c:strCache>
                <c:ptCount val="1"/>
                <c:pt idx="0">
                  <c:v>Consumption from Your forecast (0 - 30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BRISE!$AB$215:$AR$215</c:f>
              <c:numCache>
                <c:formatCode>#,##0.000</c:formatCode>
                <c:ptCount val="17"/>
                <c:pt idx="9">
                  <c:v>0.405641154572236</c:v>
                </c:pt>
                <c:pt idx="10">
                  <c:v>0.461531510453108</c:v>
                </c:pt>
                <c:pt idx="11">
                  <c:v>0.543165436135785</c:v>
                </c:pt>
                <c:pt idx="12">
                  <c:v>0.632963977110116</c:v>
                </c:pt>
                <c:pt idx="13">
                  <c:v>0.713419924448723</c:v>
                </c:pt>
                <c:pt idx="14">
                  <c:v>0.784185956988382</c:v>
                </c:pt>
                <c:pt idx="15">
                  <c:v>0.825862338611828</c:v>
                </c:pt>
                <c:pt idx="16">
                  <c:v>0.844417317324267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BRISE!$U$216</c:f>
              <c:strCache>
                <c:ptCount val="1"/>
                <c:pt idx="0">
                  <c:v>Consumption per person from Your forecast (0 - 12000 $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BRISE!$AB$216:$AR$216</c:f>
              <c:numCache>
                <c:formatCode>#,##0.000</c:formatCode>
                <c:ptCount val="17"/>
                <c:pt idx="9">
                  <c:v>0.402110204481307</c:v>
                </c:pt>
                <c:pt idx="10">
                  <c:v>0.442489252920384</c:v>
                </c:pt>
                <c:pt idx="11">
                  <c:v>0.507570409887749</c:v>
                </c:pt>
                <c:pt idx="12">
                  <c:v>0.581631376123861</c:v>
                </c:pt>
                <c:pt idx="13">
                  <c:v>0.649335589881551</c:v>
                </c:pt>
                <c:pt idx="14">
                  <c:v>0.712652696090043</c:v>
                </c:pt>
                <c:pt idx="15">
                  <c:v>0.755859669286773</c:v>
                </c:pt>
                <c:pt idx="16">
                  <c:v>0.784281653561474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15461"/>
        <c:axId val="35717567"/>
      </c:lineChart>
      <c:catAx>
        <c:axId val="8641546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17567"/>
        <c:crosses val="autoZero"/>
        <c:auto val="1"/>
        <c:lblAlgn val="ctr"/>
        <c:lblOffset val="100"/>
        <c:noMultiLvlLbl val="0"/>
      </c:catAx>
      <c:valAx>
        <c:axId val="3571756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1546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3"/>
          <c:y val="0.0858401568983478"/>
          <c:w val="0.219816062124666"/>
          <c:h val="0.54448847995995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BRISE!$AA$264</c:f>
              <c:strCache>
                <c:ptCount val="1"/>
                <c:pt idx="0">
                  <c:v>Energy use (0 - 6500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BRISE!$AB$264:$AR$264</c:f>
              <c:numCache>
                <c:formatCode>0.000</c:formatCode>
                <c:ptCount val="17"/>
                <c:pt idx="0">
                  <c:v>0.149885737804419</c:v>
                </c:pt>
                <c:pt idx="1">
                  <c:v>0.192700740956855</c:v>
                </c:pt>
                <c:pt idx="2">
                  <c:v>0.23283737101937</c:v>
                </c:pt>
                <c:pt idx="3">
                  <c:v>0.270009731973908</c:v>
                </c:pt>
                <c:pt idx="4">
                  <c:v>0.309963028712849</c:v>
                </c:pt>
                <c:pt idx="5">
                  <c:v>0.294813391370855</c:v>
                </c:pt>
                <c:pt idx="6">
                  <c:v>0.324306197798095</c:v>
                </c:pt>
                <c:pt idx="7">
                  <c:v>0.376327315974413</c:v>
                </c:pt>
                <c:pt idx="8">
                  <c:v>0.44136374442161</c:v>
                </c:pt>
                <c:pt idx="9">
                  <c:v>0.474524123220723</c:v>
                </c:pt>
                <c:pt idx="10">
                  <c:v>0.539213313605703</c:v>
                </c:pt>
                <c:pt idx="11">
                  <c:v>0.618252975749815</c:v>
                </c:pt>
                <c:pt idx="12">
                  <c:v>0.702604939360688</c:v>
                </c:pt>
                <c:pt idx="13">
                  <c:v>0.772024554157179</c:v>
                </c:pt>
                <c:pt idx="14">
                  <c:v>0.827321527823399</c:v>
                </c:pt>
                <c:pt idx="15">
                  <c:v>0.856499978603954</c:v>
                </c:pt>
                <c:pt idx="16">
                  <c:v>0.865173396108804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BRISE!$AA$265</c:f>
              <c:strCache>
                <c:ptCount val="1"/>
                <c:pt idx="0">
                  <c:v>GDP BRISE (0 - 45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BRISE!$AB$265:$AR$265</c:f>
              <c:numCache>
                <c:formatCode>0.000</c:formatCode>
                <c:ptCount val="17"/>
                <c:pt idx="0">
                  <c:v>0.0502862563855115</c:v>
                </c:pt>
                <c:pt idx="1">
                  <c:v>0.0681835746412901</c:v>
                </c:pt>
                <c:pt idx="2">
                  <c:v>0.0834671581083382</c:v>
                </c:pt>
                <c:pt idx="3">
                  <c:v>0.0941198605502702</c:v>
                </c:pt>
                <c:pt idx="4">
                  <c:v>0.161288521610342</c:v>
                </c:pt>
                <c:pt idx="5">
                  <c:v>0.176245599342435</c:v>
                </c:pt>
                <c:pt idx="6">
                  <c:v>0.203513293932198</c:v>
                </c:pt>
                <c:pt idx="7">
                  <c:v>0.264419742308881</c:v>
                </c:pt>
                <c:pt idx="8">
                  <c:v>0.315877809616021</c:v>
                </c:pt>
                <c:pt idx="9">
                  <c:v>0.357484447614214</c:v>
                </c:pt>
                <c:pt idx="10">
                  <c:v>0.42759819037727</c:v>
                </c:pt>
                <c:pt idx="11">
                  <c:v>0.516080989911199</c:v>
                </c:pt>
                <c:pt idx="12">
                  <c:v>0.617361069853836</c:v>
                </c:pt>
                <c:pt idx="13">
                  <c:v>0.714061387105787</c:v>
                </c:pt>
                <c:pt idx="14">
                  <c:v>0.805480731844267</c:v>
                </c:pt>
                <c:pt idx="15">
                  <c:v>0.877777777777778</c:v>
                </c:pt>
                <c:pt idx="16">
                  <c:v>0.933333333333333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BRISE!$AA$266</c:f>
              <c:strCache>
                <c:ptCount val="1"/>
                <c:pt idx="0">
                  <c:v>Energy intensity (0 - 450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BRISE!$AB$266:$AR$266</c:f>
              <c:numCache>
                <c:formatCode>0.000</c:formatCode>
                <c:ptCount val="17"/>
                <c:pt idx="0">
                  <c:v>0.956751901059647</c:v>
                </c:pt>
                <c:pt idx="1">
                  <c:v>0.907176825959485</c:v>
                </c:pt>
                <c:pt idx="2">
                  <c:v>0.895417110820585</c:v>
                </c:pt>
                <c:pt idx="3">
                  <c:v>0.920844867421498</c:v>
                </c:pt>
                <c:pt idx="4">
                  <c:v>0.616871582177033</c:v>
                </c:pt>
                <c:pt idx="5">
                  <c:v>0.536929485397716</c:v>
                </c:pt>
                <c:pt idx="6">
                  <c:v>0.511506072658084</c:v>
                </c:pt>
                <c:pt idx="7">
                  <c:v>0.456835867688094</c:v>
                </c:pt>
                <c:pt idx="8">
                  <c:v>0.44850353114844</c:v>
                </c:pt>
                <c:pt idx="9">
                  <c:v>0.426078354591018</c:v>
                </c:pt>
                <c:pt idx="10">
                  <c:v>0.404774436861467</c:v>
                </c:pt>
                <c:pt idx="11">
                  <c:v>0.384535715018394</c:v>
                </c:pt>
                <c:pt idx="12">
                  <c:v>0.365308929267474</c:v>
                </c:pt>
                <c:pt idx="13">
                  <c:v>0.3470434828041</c:v>
                </c:pt>
                <c:pt idx="14">
                  <c:v>0.329691308663895</c:v>
                </c:pt>
                <c:pt idx="15">
                  <c:v>0.313206743230701</c:v>
                </c:pt>
                <c:pt idx="16">
                  <c:v>0.297546406069166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BRISE!$AA$271</c:f>
              <c:strCache>
                <c:ptCount val="1"/>
                <c:pt idx="0">
                  <c:v>Energy use (0 - 6500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BRISE!$AB$271:$AR$271</c:f>
              <c:numCache>
                <c:formatCode>0.000</c:formatCode>
                <c:ptCount val="17"/>
                <c:pt idx="9">
                  <c:v>0.474524123220723</c:v>
                </c:pt>
                <c:pt idx="10">
                  <c:v>0.525839340685435</c:v>
                </c:pt>
                <c:pt idx="11">
                  <c:v>0.599503436822964</c:v>
                </c:pt>
                <c:pt idx="12">
                  <c:v>0.677059637577496</c:v>
                </c:pt>
                <c:pt idx="13">
                  <c:v>0.739881416103405</c:v>
                </c:pt>
                <c:pt idx="14">
                  <c:v>0.788837051887868</c:v>
                </c:pt>
                <c:pt idx="15">
                  <c:v>0.813275244569841</c:v>
                </c:pt>
                <c:pt idx="16">
                  <c:v>0.818498265306684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BRISE!$AA$270</c:f>
              <c:strCache>
                <c:ptCount val="1"/>
                <c:pt idx="0">
                  <c:v>GDP BRISE calculated from Your forecast (0 - 45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BRISE!$AB$270:$AR$270</c:f>
              <c:numCache>
                <c:formatCode>0.000</c:formatCode>
                <c:ptCount val="17"/>
                <c:pt idx="9">
                  <c:v>0.357484447614214</c:v>
                </c:pt>
                <c:pt idx="10">
                  <c:v>0.416554101433737</c:v>
                </c:pt>
                <c:pt idx="11">
                  <c:v>0.499378108933617</c:v>
                </c:pt>
                <c:pt idx="12">
                  <c:v>0.593040332672343</c:v>
                </c:pt>
                <c:pt idx="13">
                  <c:v>0.681457708423239</c:v>
                </c:pt>
                <c:pt idx="14">
                  <c:v>0.76398278703489</c:v>
                </c:pt>
                <c:pt idx="15">
                  <c:v>0.828234483633969</c:v>
                </c:pt>
                <c:pt idx="16">
                  <c:v>0.876502182626696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BRISE!$AA$272</c:f>
              <c:strCache>
                <c:ptCount val="1"/>
                <c:pt idx="0">
                  <c:v>Energy intensity (0 - 450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BRISE!$AB$272:$AR$272</c:f>
              <c:numCache>
                <c:formatCode>0.000</c:formatCode>
                <c:ptCount val="17"/>
                <c:pt idx="9">
                  <c:v>0.426078354591018</c:v>
                </c:pt>
                <c:pt idx="10">
                  <c:v>0.405200515216058</c:v>
                </c:pt>
                <c:pt idx="11">
                  <c:v>0.385345689970471</c:v>
                </c:pt>
                <c:pt idx="12">
                  <c:v>0.366463751161918</c:v>
                </c:pt>
                <c:pt idx="13">
                  <c:v>0.348507027354984</c:v>
                </c:pt>
                <c:pt idx="14">
                  <c:v>0.33143018301459</c:v>
                </c:pt>
                <c:pt idx="15">
                  <c:v>0.315190104046875</c:v>
                </c:pt>
                <c:pt idx="16">
                  <c:v>0.299745788948578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966766"/>
        <c:axId val="54782594"/>
      </c:lineChart>
      <c:catAx>
        <c:axId val="6996676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782594"/>
        <c:crosses val="autoZero"/>
        <c:auto val="1"/>
        <c:lblAlgn val="ctr"/>
        <c:lblOffset val="100"/>
        <c:noMultiLvlLbl val="0"/>
      </c:catAx>
      <c:valAx>
        <c:axId val="5478259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966766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6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BRISE!$A$253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BRISE!$B$253:$R$253</c:f>
              <c:numCache>
                <c:formatCode>0.0</c:formatCode>
                <c:ptCount val="17"/>
                <c:pt idx="0">
                  <c:v>41.829292825593</c:v>
                </c:pt>
                <c:pt idx="1">
                  <c:v>43.2227017749887</c:v>
                </c:pt>
                <c:pt idx="2">
                  <c:v>42.335473538947</c:v>
                </c:pt>
                <c:pt idx="3">
                  <c:v>37.6735979968388</c:v>
                </c:pt>
                <c:pt idx="4">
                  <c:v>36.6165885796213</c:v>
                </c:pt>
                <c:pt idx="5">
                  <c:v>36.0625138755319</c:v>
                </c:pt>
                <c:pt idx="6">
                  <c:v>36.2014962703198</c:v>
                </c:pt>
                <c:pt idx="7">
                  <c:v>34.4597466243315</c:v>
                </c:pt>
                <c:pt idx="8">
                  <c:v>33.8446042985223</c:v>
                </c:pt>
                <c:pt idx="9">
                  <c:v>32</c:v>
                </c:pt>
                <c:pt idx="10">
                  <c:v>29</c:v>
                </c:pt>
                <c:pt idx="11">
                  <c:v>27.5</c:v>
                </c:pt>
                <c:pt idx="12">
                  <c:v>26</c:v>
                </c:pt>
                <c:pt idx="13">
                  <c:v>24</c:v>
                </c:pt>
                <c:pt idx="14">
                  <c:v>21.5</c:v>
                </c:pt>
                <c:pt idx="15">
                  <c:v>19</c:v>
                </c:pt>
                <c:pt idx="16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BRISE!$A$254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BRISE!$B$254:$R$254</c:f>
              <c:numCache>
                <c:formatCode>0.0</c:formatCode>
                <c:ptCount val="17"/>
                <c:pt idx="0">
                  <c:v>17.6425869774477</c:v>
                </c:pt>
                <c:pt idx="1">
                  <c:v>21.9572413750299</c:v>
                </c:pt>
                <c:pt idx="2">
                  <c:v>24.5762935210569</c:v>
                </c:pt>
                <c:pt idx="3">
                  <c:v>28.4982564538711</c:v>
                </c:pt>
                <c:pt idx="4">
                  <c:v>31.2594970444182</c:v>
                </c:pt>
                <c:pt idx="5">
                  <c:v>31.7411533935921</c:v>
                </c:pt>
                <c:pt idx="6">
                  <c:v>31.7911365335511</c:v>
                </c:pt>
                <c:pt idx="7">
                  <c:v>34.0267569566683</c:v>
                </c:pt>
                <c:pt idx="8">
                  <c:v>33.1270772696949</c:v>
                </c:pt>
                <c:pt idx="9">
                  <c:v>34</c:v>
                </c:pt>
                <c:pt idx="10">
                  <c:v>35.5</c:v>
                </c:pt>
                <c:pt idx="11">
                  <c:v>35</c:v>
                </c:pt>
                <c:pt idx="12">
                  <c:v>33</c:v>
                </c:pt>
                <c:pt idx="13">
                  <c:v>31</c:v>
                </c:pt>
                <c:pt idx="14">
                  <c:v>28.5</c:v>
                </c:pt>
                <c:pt idx="15">
                  <c:v>26.5</c:v>
                </c:pt>
                <c:pt idx="16">
                  <c:v>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BRISE!$A$257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BRISE!$B$257:$R$257</c:f>
              <c:numCache>
                <c:formatCode>0.0</c:formatCode>
                <c:ptCount val="17"/>
                <c:pt idx="0">
                  <c:v>35.277020352054</c:v>
                </c:pt>
                <c:pt idx="1">
                  <c:v>29.0489193292261</c:v>
                </c:pt>
                <c:pt idx="2">
                  <c:v>25.9930831016726</c:v>
                </c:pt>
                <c:pt idx="3">
                  <c:v>25.2124786651285</c:v>
                </c:pt>
                <c:pt idx="4">
                  <c:v>23.0265325129264</c:v>
                </c:pt>
                <c:pt idx="5">
                  <c:v>21.3850111496724</c:v>
                </c:pt>
                <c:pt idx="6">
                  <c:v>20.6398674701709</c:v>
                </c:pt>
                <c:pt idx="7">
                  <c:v>20.1854869852618</c:v>
                </c:pt>
                <c:pt idx="8">
                  <c:v>21.6758064539881</c:v>
                </c:pt>
                <c:pt idx="9">
                  <c:v>20.5</c:v>
                </c:pt>
                <c:pt idx="10">
                  <c:v>21</c:v>
                </c:pt>
                <c:pt idx="11">
                  <c:v>20.5</c:v>
                </c:pt>
                <c:pt idx="12">
                  <c:v>21.5</c:v>
                </c:pt>
                <c:pt idx="13">
                  <c:v>21.5</c:v>
                </c:pt>
                <c:pt idx="14">
                  <c:v>22.5</c:v>
                </c:pt>
                <c:pt idx="15">
                  <c:v>22</c:v>
                </c:pt>
                <c:pt idx="16">
                  <c:v>21.5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BRISE!$A$256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BRISE!$B$256:$R$256</c:f>
              <c:numCache>
                <c:formatCode>0.0</c:formatCode>
                <c:ptCount val="17"/>
                <c:pt idx="0">
                  <c:v>0.127553540328329</c:v>
                </c:pt>
                <c:pt idx="1">
                  <c:v>0.576758418532569</c:v>
                </c:pt>
                <c:pt idx="2">
                  <c:v>0.96116839117864</c:v>
                </c:pt>
                <c:pt idx="3">
                  <c:v>2.21593152420482</c:v>
                </c:pt>
                <c:pt idx="4">
                  <c:v>2.49617859309233</c:v>
                </c:pt>
                <c:pt idx="5">
                  <c:v>2.4498417473093</c:v>
                </c:pt>
                <c:pt idx="6">
                  <c:v>2.76713798901463</c:v>
                </c:pt>
                <c:pt idx="7">
                  <c:v>2.72551622258043</c:v>
                </c:pt>
                <c:pt idx="8">
                  <c:v>2.55141209025182</c:v>
                </c:pt>
                <c:pt idx="9">
                  <c:v>3</c:v>
                </c:pt>
                <c:pt idx="10">
                  <c:v>2.5</c:v>
                </c:pt>
                <c:pt idx="11">
                  <c:v>2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BRISE!$A$255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BRISE!$B$255:$R$255</c:f>
              <c:numCache>
                <c:formatCode>0.0</c:formatCode>
                <c:ptCount val="17"/>
                <c:pt idx="0">
                  <c:v>5.12354630457706</c:v>
                </c:pt>
                <c:pt idx="1">
                  <c:v>5.19437910222285</c:v>
                </c:pt>
                <c:pt idx="2">
                  <c:v>6.13398144714488</c:v>
                </c:pt>
                <c:pt idx="3">
                  <c:v>6.39973535995679</c:v>
                </c:pt>
                <c:pt idx="4">
                  <c:v>6.60120326994177</c:v>
                </c:pt>
                <c:pt idx="5">
                  <c:v>8.3614798338943</c:v>
                </c:pt>
                <c:pt idx="6">
                  <c:v>8.60036173694356</c:v>
                </c:pt>
                <c:pt idx="7">
                  <c:v>8.60249321115791</c:v>
                </c:pt>
                <c:pt idx="8">
                  <c:v>8.801099887543</c:v>
                </c:pt>
                <c:pt idx="9">
                  <c:v>10.5</c:v>
                </c:pt>
                <c:pt idx="10">
                  <c:v>12</c:v>
                </c:pt>
                <c:pt idx="11">
                  <c:v>15</c:v>
                </c:pt>
                <c:pt idx="12">
                  <c:v>18</c:v>
                </c:pt>
                <c:pt idx="13">
                  <c:v>22</c:v>
                </c:pt>
                <c:pt idx="14">
                  <c:v>26</c:v>
                </c:pt>
                <c:pt idx="15">
                  <c:v>31</c:v>
                </c:pt>
                <c:pt idx="16">
                  <c:v>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BRISE!$U$269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BRISE!$B$269:$R$269</c:f>
              <c:numCache>
                <c:formatCode>#,##0.00</c:formatCode>
                <c:ptCount val="17"/>
                <c:pt idx="9">
                  <c:v>32</c:v>
                </c:pt>
                <c:pt idx="10">
                  <c:v>28.42</c:v>
                </c:pt>
                <c:pt idx="11">
                  <c:v>26.95</c:v>
                </c:pt>
                <c:pt idx="12">
                  <c:v>25.48</c:v>
                </c:pt>
                <c:pt idx="13">
                  <c:v>23.52</c:v>
                </c:pt>
                <c:pt idx="14">
                  <c:v>21.07</c:v>
                </c:pt>
                <c:pt idx="15">
                  <c:v>18.62</c:v>
                </c:pt>
                <c:pt idx="16">
                  <c:v>16.66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BRISE!$U$270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BRISE!$B$270:$R$270</c:f>
              <c:numCache>
                <c:formatCode>#,##0.00</c:formatCode>
                <c:ptCount val="17"/>
                <c:pt idx="9">
                  <c:v>34</c:v>
                </c:pt>
                <c:pt idx="10">
                  <c:v>34.79</c:v>
                </c:pt>
                <c:pt idx="11">
                  <c:v>34.3</c:v>
                </c:pt>
                <c:pt idx="12">
                  <c:v>32.34</c:v>
                </c:pt>
                <c:pt idx="13">
                  <c:v>30.38</c:v>
                </c:pt>
                <c:pt idx="14">
                  <c:v>27.93</c:v>
                </c:pt>
                <c:pt idx="15">
                  <c:v>25.97</c:v>
                </c:pt>
                <c:pt idx="16">
                  <c:v>22.54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BRISE!$U$271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BRISE!$B$271:$R$271</c:f>
              <c:numCache>
                <c:formatCode>#,##0.00</c:formatCode>
                <c:ptCount val="17"/>
                <c:pt idx="9">
                  <c:v>10.5</c:v>
                </c:pt>
                <c:pt idx="10">
                  <c:v>11.76</c:v>
                </c:pt>
                <c:pt idx="11">
                  <c:v>14.7</c:v>
                </c:pt>
                <c:pt idx="12">
                  <c:v>17.64</c:v>
                </c:pt>
                <c:pt idx="13">
                  <c:v>21.56</c:v>
                </c:pt>
                <c:pt idx="14">
                  <c:v>25.48</c:v>
                </c:pt>
                <c:pt idx="15">
                  <c:v>30.38</c:v>
                </c:pt>
                <c:pt idx="16">
                  <c:v>36.26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BRISE!$U$272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BRISE!$B$272:$R$272</c:f>
              <c:numCache>
                <c:formatCode>#,##0.00</c:formatCode>
                <c:ptCount val="17"/>
                <c:pt idx="9">
                  <c:v>3</c:v>
                </c:pt>
                <c:pt idx="10">
                  <c:v>2.45</c:v>
                </c:pt>
                <c:pt idx="11">
                  <c:v>1.96</c:v>
                </c:pt>
                <c:pt idx="12">
                  <c:v>1.47</c:v>
                </c:pt>
                <c:pt idx="13">
                  <c:v>1.47</c:v>
                </c:pt>
                <c:pt idx="14">
                  <c:v>1.47</c:v>
                </c:pt>
                <c:pt idx="15">
                  <c:v>1.47</c:v>
                </c:pt>
                <c:pt idx="16">
                  <c:v>1.47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BRISE!$U$273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BRISE!$B$273:$R$273</c:f>
              <c:numCache>
                <c:formatCode>#,##0.00</c:formatCode>
                <c:ptCount val="17"/>
                <c:pt idx="9">
                  <c:v>20.5</c:v>
                </c:pt>
                <c:pt idx="10">
                  <c:v>22.58</c:v>
                </c:pt>
                <c:pt idx="11">
                  <c:v>22.09</c:v>
                </c:pt>
                <c:pt idx="12">
                  <c:v>23.07</c:v>
                </c:pt>
                <c:pt idx="13">
                  <c:v>23.07</c:v>
                </c:pt>
                <c:pt idx="14">
                  <c:v>24.05</c:v>
                </c:pt>
                <c:pt idx="15">
                  <c:v>23.56</c:v>
                </c:pt>
                <c:pt idx="16">
                  <c:v>23.07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648717"/>
        <c:axId val="79320028"/>
      </c:lineChart>
      <c:catAx>
        <c:axId val="65648717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320028"/>
        <c:crosses val="autoZero"/>
        <c:auto val="1"/>
        <c:lblAlgn val="ctr"/>
        <c:lblOffset val="100"/>
        <c:noMultiLvlLbl val="0"/>
      </c:catAx>
      <c:valAx>
        <c:axId val="7932002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48717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BRISE!$AA$381</c:f>
              <c:strCache>
                <c:ptCount val="1"/>
                <c:pt idx="0">
                  <c:v>CO2 Emissions (0 - 13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BRISE!$AB$381:$AR$381</c:f>
              <c:numCache>
                <c:formatCode>#,##0.000</c:formatCode>
                <c:ptCount val="17"/>
                <c:pt idx="0">
                  <c:v>0.269988794871795</c:v>
                </c:pt>
                <c:pt idx="1">
                  <c:v>0.318185435897436</c:v>
                </c:pt>
                <c:pt idx="2">
                  <c:v>0.399880461538462</c:v>
                </c:pt>
                <c:pt idx="3">
                  <c:v>0.441022435897436</c:v>
                </c:pt>
                <c:pt idx="4">
                  <c:v>0.472031153846154</c:v>
                </c:pt>
                <c:pt idx="5">
                  <c:v>0.385848128205128</c:v>
                </c:pt>
                <c:pt idx="6">
                  <c:v>0.409192810512821</c:v>
                </c:pt>
                <c:pt idx="7">
                  <c:v>0.473711897435897</c:v>
                </c:pt>
                <c:pt idx="8">
                  <c:v>0.534878948717949</c:v>
                </c:pt>
                <c:pt idx="9">
                  <c:v>0.580301609509998</c:v>
                </c:pt>
                <c:pt idx="10">
                  <c:v>0.64958629420325</c:v>
                </c:pt>
                <c:pt idx="11">
                  <c:v>0.722023099295699</c:v>
                </c:pt>
                <c:pt idx="12">
                  <c:v>0.804025625734196</c:v>
                </c:pt>
                <c:pt idx="13">
                  <c:v>0.844697366059267</c:v>
                </c:pt>
                <c:pt idx="14">
                  <c:v>0.869345466194143</c:v>
                </c:pt>
                <c:pt idx="15">
                  <c:v>0.842430198043849</c:v>
                </c:pt>
                <c:pt idx="16">
                  <c:v>0.785441976188456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BRISE!$AA$382</c:f>
              <c:strCache>
                <c:ptCount val="1"/>
                <c:pt idx="0">
                  <c:v>Energy use (0 - 7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BRISE!$AB$382:$AR$382</c:f>
              <c:numCache>
                <c:formatCode>#,##0.000</c:formatCode>
                <c:ptCount val="17"/>
                <c:pt idx="0">
                  <c:v>0.139179613675532</c:v>
                </c:pt>
                <c:pt idx="1">
                  <c:v>0.17893640231708</c:v>
                </c:pt>
                <c:pt idx="2">
                  <c:v>0.216206130232272</c:v>
                </c:pt>
                <c:pt idx="3">
                  <c:v>0.250723322547201</c:v>
                </c:pt>
                <c:pt idx="4">
                  <c:v>0.287822812376217</c:v>
                </c:pt>
                <c:pt idx="5">
                  <c:v>0.273755291987222</c:v>
                </c:pt>
                <c:pt idx="6">
                  <c:v>0.301141469383945</c:v>
                </c:pt>
                <c:pt idx="7">
                  <c:v>0.349446793404812</c:v>
                </c:pt>
                <c:pt idx="8">
                  <c:v>0.409837762677209</c:v>
                </c:pt>
                <c:pt idx="9">
                  <c:v>0.440629542990671</c:v>
                </c:pt>
                <c:pt idx="10">
                  <c:v>0.500698076919582</c:v>
                </c:pt>
                <c:pt idx="11">
                  <c:v>0.574092048910542</c:v>
                </c:pt>
                <c:pt idx="12">
                  <c:v>0.652418872263496</c:v>
                </c:pt>
                <c:pt idx="13">
                  <c:v>0.716879943145952</c:v>
                </c:pt>
                <c:pt idx="14">
                  <c:v>0.768227132978871</c:v>
                </c:pt>
                <c:pt idx="15">
                  <c:v>0.795321408703672</c:v>
                </c:pt>
                <c:pt idx="16">
                  <c:v>0.803375296386747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BRISE!$AA$383</c:f>
              <c:strCache>
                <c:ptCount val="1"/>
                <c:pt idx="0">
                  <c:v>Climate intensity (0 - 4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BRISE!$AB$383:$AR$383</c:f>
              <c:numCache>
                <c:formatCode>#,##0.000</c:formatCode>
                <c:ptCount val="17"/>
                <c:pt idx="0">
                  <c:v>0.900648716904923</c:v>
                </c:pt>
                <c:pt idx="1">
                  <c:v>0.825594739069208</c:v>
                </c:pt>
                <c:pt idx="2">
                  <c:v>0.858711940844742</c:v>
                </c:pt>
                <c:pt idx="3">
                  <c:v>0.81667877797096</c:v>
                </c:pt>
                <c:pt idx="4">
                  <c:v>0.761431380713869</c:v>
                </c:pt>
                <c:pt idx="5">
                  <c:v>0.654393829281246</c:v>
                </c:pt>
                <c:pt idx="6">
                  <c:v>0.630874175842261</c:v>
                </c:pt>
                <c:pt idx="7">
                  <c:v>0.629388138101707</c:v>
                </c:pt>
                <c:pt idx="8">
                  <c:v>0.605938928466913</c:v>
                </c:pt>
                <c:pt idx="9">
                  <c:v>0.611456384526181</c:v>
                </c:pt>
                <c:pt idx="10">
                  <c:v>0.602346305082386</c:v>
                </c:pt>
                <c:pt idx="11">
                  <c:v>0.583922057487902</c:v>
                </c:pt>
                <c:pt idx="12">
                  <c:v>0.572174760446313</c:v>
                </c:pt>
                <c:pt idx="13">
                  <c:v>0.547066386367352</c:v>
                </c:pt>
                <c:pt idx="14">
                  <c:v>0.525397585435317</c:v>
                </c:pt>
                <c:pt idx="15">
                  <c:v>0.491786467652318</c:v>
                </c:pt>
                <c:pt idx="16">
                  <c:v>0.453921710792919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BRISE!$AA$384</c:f>
              <c:strCache>
                <c:ptCount val="1"/>
                <c:pt idx="0">
                  <c:v>Fraction renewable (0 - 50 %)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BRISE!$AB$384:$AR$384</c:f>
              <c:numCache>
                <c:formatCode>#,##0.000</c:formatCode>
                <c:ptCount val="17"/>
                <c:pt idx="0">
                  <c:v>0.102470926091541</c:v>
                </c:pt>
                <c:pt idx="1">
                  <c:v>0.103887582044457</c:v>
                </c:pt>
                <c:pt idx="2">
                  <c:v>0.122679628942898</c:v>
                </c:pt>
                <c:pt idx="3">
                  <c:v>0.127994707199136</c:v>
                </c:pt>
                <c:pt idx="4">
                  <c:v>0.132024065398835</c:v>
                </c:pt>
                <c:pt idx="5">
                  <c:v>0.167229596677886</c:v>
                </c:pt>
                <c:pt idx="6">
                  <c:v>0.172007234738871</c:v>
                </c:pt>
                <c:pt idx="7">
                  <c:v>0.172049864223158</c:v>
                </c:pt>
                <c:pt idx="8">
                  <c:v>0.17602199775086</c:v>
                </c:pt>
                <c:pt idx="9">
                  <c:v>0.21</c:v>
                </c:pt>
                <c:pt idx="10">
                  <c:v>0.24</c:v>
                </c:pt>
                <c:pt idx="11">
                  <c:v>0.3</c:v>
                </c:pt>
                <c:pt idx="12">
                  <c:v>0.36</c:v>
                </c:pt>
                <c:pt idx="13">
                  <c:v>0.44</c:v>
                </c:pt>
                <c:pt idx="14">
                  <c:v>0.52</c:v>
                </c:pt>
                <c:pt idx="15">
                  <c:v>0.62</c:v>
                </c:pt>
                <c:pt idx="16">
                  <c:v>0.74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BRISE!$AA$386</c:f>
              <c:strCache>
                <c:ptCount val="1"/>
                <c:pt idx="0">
                  <c:v>CO2 Emissions (0 - 13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BRISE!$AB$386:$AR$386</c:f>
              <c:numCache>
                <c:formatCode>#,##0.000</c:formatCode>
                <c:ptCount val="17"/>
                <c:pt idx="9">
                  <c:v>0.580301609509998</c:v>
                </c:pt>
                <c:pt idx="10">
                  <c:v>0.641242894875146</c:v>
                </c:pt>
                <c:pt idx="11">
                  <c:v>0.709424729633957</c:v>
                </c:pt>
                <c:pt idx="12">
                  <c:v>0.785612065687171</c:v>
                </c:pt>
                <c:pt idx="13">
                  <c:v>0.822094659562728</c:v>
                </c:pt>
                <c:pt idx="14">
                  <c:v>0.84298750818309</c:v>
                </c:pt>
                <c:pt idx="15">
                  <c:v>0.815526506960858</c:v>
                </c:pt>
                <c:pt idx="16">
                  <c:v>0.760019199668251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BRISE!$AA$387</c:f>
              <c:strCache>
                <c:ptCount val="1"/>
                <c:pt idx="0">
                  <c:v>Energy use (0 - 7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BRISE!$AB$387:$AR$387</c:f>
              <c:numCache>
                <c:formatCode>#,##0.000</c:formatCode>
                <c:ptCount val="17"/>
                <c:pt idx="9">
                  <c:v>0.440629542990671</c:v>
                </c:pt>
                <c:pt idx="10">
                  <c:v>0.488279387779332</c:v>
                </c:pt>
                <c:pt idx="11">
                  <c:v>0.556681762764181</c:v>
                </c:pt>
                <c:pt idx="12">
                  <c:v>0.62869823489339</c:v>
                </c:pt>
                <c:pt idx="13">
                  <c:v>0.68703274352459</c:v>
                </c:pt>
                <c:pt idx="14">
                  <c:v>0.732491548181592</c:v>
                </c:pt>
                <c:pt idx="15">
                  <c:v>0.755184155671995</c:v>
                </c:pt>
                <c:pt idx="16">
                  <c:v>0.760034103499064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BRISE!$AA$388</c:f>
              <c:strCache>
                <c:ptCount val="1"/>
                <c:pt idx="0">
                  <c:v>Climate intensity (0 - 4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BRISE!$AB$388:$AR$388</c:f>
              <c:numCache>
                <c:formatCode>#,##0.000</c:formatCode>
                <c:ptCount val="17"/>
                <c:pt idx="9">
                  <c:v>0.611456384526181</c:v>
                </c:pt>
                <c:pt idx="10">
                  <c:v>0.609732712314072</c:v>
                </c:pt>
                <c:pt idx="11">
                  <c:v>0.591676949671477</c:v>
                </c:pt>
                <c:pt idx="12">
                  <c:v>0.58016459857072</c:v>
                </c:pt>
                <c:pt idx="13">
                  <c:v>0.555558391973338</c:v>
                </c:pt>
                <c:pt idx="14">
                  <c:v>0.534322967059944</c:v>
                </c:pt>
                <c:pt idx="15">
                  <c:v>0.501384071632605</c:v>
                </c:pt>
                <c:pt idx="16">
                  <c:v>0.464276609910394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BRISE!$AA$389</c:f>
              <c:strCache>
                <c:ptCount val="1"/>
                <c:pt idx="0">
                  <c:v>Fraction renewable (0 - 50 %),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BRISE!$AB$389:$AR$389</c:f>
              <c:numCache>
                <c:formatCode>#,##0.000</c:formatCode>
                <c:ptCount val="17"/>
                <c:pt idx="9">
                  <c:v>0.21</c:v>
                </c:pt>
                <c:pt idx="10">
                  <c:v>0.2352</c:v>
                </c:pt>
                <c:pt idx="11">
                  <c:v>0.294</c:v>
                </c:pt>
                <c:pt idx="12">
                  <c:v>0.3528</c:v>
                </c:pt>
                <c:pt idx="13">
                  <c:v>0.4312</c:v>
                </c:pt>
                <c:pt idx="14">
                  <c:v>0.5096</c:v>
                </c:pt>
                <c:pt idx="15">
                  <c:v>0.6076</c:v>
                </c:pt>
                <c:pt idx="16">
                  <c:v>0.7252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472358"/>
        <c:axId val="76721031"/>
      </c:lineChart>
      <c:catAx>
        <c:axId val="5847235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21031"/>
        <c:crosses val="autoZero"/>
        <c:auto val="1"/>
        <c:lblAlgn val="ctr"/>
        <c:lblOffset val="100"/>
        <c:noMultiLvlLbl val="0"/>
      </c:catAx>
      <c:valAx>
        <c:axId val="7672103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47235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BRISE!$AA$422</c:f>
              <c:strCache>
                <c:ptCount val="1"/>
                <c:pt idx="0">
                  <c:v>Food production (0 - 4000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BRISE!$AB$422:$AR$422</c:f>
              <c:numCache>
                <c:formatCode>#,##0.000</c:formatCode>
                <c:ptCount val="17"/>
                <c:pt idx="0">
                  <c:v>0.24277899725</c:v>
                </c:pt>
                <c:pt idx="1">
                  <c:v>0.25016078425</c:v>
                </c:pt>
                <c:pt idx="2">
                  <c:v>0.28642460475</c:v>
                </c:pt>
                <c:pt idx="3">
                  <c:v>0.33037693325</c:v>
                </c:pt>
                <c:pt idx="4">
                  <c:v>0.3627868</c:v>
                </c:pt>
                <c:pt idx="5">
                  <c:v>0.34350526875</c:v>
                </c:pt>
                <c:pt idx="6">
                  <c:v>0.37820926875</c:v>
                </c:pt>
                <c:pt idx="7">
                  <c:v>0.4325797925</c:v>
                </c:pt>
                <c:pt idx="8">
                  <c:v>0.47422452625</c:v>
                </c:pt>
                <c:pt idx="9">
                  <c:v>0.5381875</c:v>
                </c:pt>
                <c:pt idx="10">
                  <c:v>0.609</c:v>
                </c:pt>
                <c:pt idx="11">
                  <c:v>0.6975</c:v>
                </c:pt>
                <c:pt idx="12">
                  <c:v>0.78</c:v>
                </c:pt>
                <c:pt idx="13">
                  <c:v>0.873375</c:v>
                </c:pt>
                <c:pt idx="14">
                  <c:v>0.905625</c:v>
                </c:pt>
                <c:pt idx="15">
                  <c:v>0.896125</c:v>
                </c:pt>
                <c:pt idx="16">
                  <c:v>0.885625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BRISE!$AA$423</c:f>
              <c:strCache>
                <c:ptCount val="1"/>
                <c:pt idx="0">
                  <c:v>Cultivated land (0 - 700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BRISE!$AB$423:$AR$423</c:f>
              <c:numCache>
                <c:formatCode>#,##0.000</c:formatCode>
                <c:ptCount val="17"/>
                <c:pt idx="0">
                  <c:v>0.777790092857143</c:v>
                </c:pt>
                <c:pt idx="1">
                  <c:v>0.823716594285714</c:v>
                </c:pt>
                <c:pt idx="2">
                  <c:v>0.838976232857143</c:v>
                </c:pt>
                <c:pt idx="3">
                  <c:v>0.850344921428571</c:v>
                </c:pt>
                <c:pt idx="4">
                  <c:v>0.82563078</c:v>
                </c:pt>
                <c:pt idx="5">
                  <c:v>0.73478129</c:v>
                </c:pt>
                <c:pt idx="6">
                  <c:v>0.704335451428571</c:v>
                </c:pt>
                <c:pt idx="7">
                  <c:v>0.731931197142857</c:v>
                </c:pt>
                <c:pt idx="8">
                  <c:v>0.73053871</c:v>
                </c:pt>
                <c:pt idx="9">
                  <c:v>0.778571428571429</c:v>
                </c:pt>
                <c:pt idx="10">
                  <c:v>0.828571428571429</c:v>
                </c:pt>
                <c:pt idx="11">
                  <c:v>0.885714285714286</c:v>
                </c:pt>
                <c:pt idx="12">
                  <c:v>0.928571428571429</c:v>
                </c:pt>
                <c:pt idx="13">
                  <c:v>0.978571428571429</c:v>
                </c:pt>
                <c:pt idx="14">
                  <c:v>0.985714285714286</c:v>
                </c:pt>
                <c:pt idx="15">
                  <c:v>0.957142857142857</c:v>
                </c:pt>
                <c:pt idx="16">
                  <c:v>0.928571428571429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BRISE!$AA$424</c:f>
              <c:strCache>
                <c:ptCount val="1"/>
                <c:pt idx="0">
                  <c:v>Gross yield (0 - 6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BRISE!$AB$424:$AR$424</c:f>
              <c:numCache>
                <c:formatCode>#,##0.000</c:formatCode>
                <c:ptCount val="17"/>
                <c:pt idx="0">
                  <c:v>0.297275697829589</c:v>
                </c:pt>
                <c:pt idx="1">
                  <c:v>0.289235845927055</c:v>
                </c:pt>
                <c:pt idx="2">
                  <c:v>0.325140721720053</c:v>
                </c:pt>
                <c:pt idx="3">
                  <c:v>0.370020082914981</c:v>
                </c:pt>
                <c:pt idx="4">
                  <c:v>0.418481537346801</c:v>
                </c:pt>
                <c:pt idx="5">
                  <c:v>0.445231634844703</c:v>
                </c:pt>
                <c:pt idx="6">
                  <c:v>0.511403057791359</c:v>
                </c:pt>
                <c:pt idx="7">
                  <c:v>0.562868144396768</c:v>
                </c:pt>
                <c:pt idx="8">
                  <c:v>0.61823199752465</c:v>
                </c:pt>
                <c:pt idx="9">
                  <c:v>0.658333333333333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0.875</c:v>
                </c:pt>
                <c:pt idx="15">
                  <c:v>0.891666666666667</c:v>
                </c:pt>
                <c:pt idx="16">
                  <c:v>0.908333333333333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BRISE!$AA$425</c:f>
              <c:strCache>
                <c:ptCount val="1"/>
                <c:pt idx="0">
                  <c:v>Food per person (0 - 2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BRISE!$AB$425:$AR$425</c:f>
              <c:numCache>
                <c:formatCode>#,##0.000</c:formatCode>
                <c:ptCount val="17"/>
                <c:pt idx="0">
                  <c:v>0.402352225075538</c:v>
                </c:pt>
                <c:pt idx="1">
                  <c:v>0.372158824409658</c:v>
                </c:pt>
                <c:pt idx="2">
                  <c:v>0.3828439881689</c:v>
                </c:pt>
                <c:pt idx="3">
                  <c:v>0.39756939982428</c:v>
                </c:pt>
                <c:pt idx="4">
                  <c:v>0.396399130936054</c:v>
                </c:pt>
                <c:pt idx="5">
                  <c:v>0.345771452080766</c:v>
                </c:pt>
                <c:pt idx="6">
                  <c:v>0.354411311686208</c:v>
                </c:pt>
                <c:pt idx="7">
                  <c:v>0.38020672236491</c:v>
                </c:pt>
                <c:pt idx="8">
                  <c:v>0.393232242214964</c:v>
                </c:pt>
                <c:pt idx="9">
                  <c:v>0.426802227998777</c:v>
                </c:pt>
                <c:pt idx="10">
                  <c:v>0.466785847558331</c:v>
                </c:pt>
                <c:pt idx="11">
                  <c:v>0.520814488214335</c:v>
                </c:pt>
                <c:pt idx="12">
                  <c:v>0.572519778344775</c:v>
                </c:pt>
                <c:pt idx="13">
                  <c:v>0.634844863930174</c:v>
                </c:pt>
                <c:pt idx="14">
                  <c:v>0.657259077381975</c:v>
                </c:pt>
                <c:pt idx="15">
                  <c:v>0.655080087203207</c:v>
                </c:pt>
                <c:pt idx="16">
                  <c:v>0.657185994855751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BRISE!$AA$429</c:f>
              <c:strCache>
                <c:ptCount val="1"/>
                <c:pt idx="0">
                  <c:v>Food production (0 - 4000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BRISE!$AB$429:$AR$429</c:f>
              <c:numCache>
                <c:formatCode>#,##0.000</c:formatCode>
                <c:ptCount val="17"/>
                <c:pt idx="9">
                  <c:v>0.5381875</c:v>
                </c:pt>
                <c:pt idx="10">
                  <c:v>0.5848836</c:v>
                </c:pt>
                <c:pt idx="11">
                  <c:v>0.669879</c:v>
                </c:pt>
                <c:pt idx="12">
                  <c:v>0.749112</c:v>
                </c:pt>
                <c:pt idx="13">
                  <c:v>0.83878935</c:v>
                </c:pt>
                <c:pt idx="14">
                  <c:v>0.86976225</c:v>
                </c:pt>
                <c:pt idx="15">
                  <c:v>0.86063845</c:v>
                </c:pt>
                <c:pt idx="16">
                  <c:v>0.85055425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BRISE!$AA$430</c:f>
              <c:strCache>
                <c:ptCount val="1"/>
                <c:pt idx="0">
                  <c:v>Cultivated land (0 - 700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BRISE!$AB$430:$AR$430</c:f>
              <c:numCache>
                <c:formatCode>#,##0.000</c:formatCode>
                <c:ptCount val="17"/>
                <c:pt idx="9">
                  <c:v>0.778571428571429</c:v>
                </c:pt>
                <c:pt idx="10">
                  <c:v>0.812</c:v>
                </c:pt>
                <c:pt idx="11">
                  <c:v>0.868</c:v>
                </c:pt>
                <c:pt idx="12">
                  <c:v>0.91</c:v>
                </c:pt>
                <c:pt idx="13">
                  <c:v>0.959</c:v>
                </c:pt>
                <c:pt idx="14">
                  <c:v>0.966</c:v>
                </c:pt>
                <c:pt idx="15">
                  <c:v>0.938</c:v>
                </c:pt>
                <c:pt idx="16">
                  <c:v>0.91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BRISE!$AA$431</c:f>
              <c:strCache>
                <c:ptCount val="1"/>
                <c:pt idx="0">
                  <c:v>Gross yield (0 - 6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BRISE!$AB$431:$AR$431</c:f>
              <c:numCache>
                <c:formatCode>#,##0.000</c:formatCode>
                <c:ptCount val="17"/>
                <c:pt idx="9">
                  <c:v>0.658333333333333</c:v>
                </c:pt>
                <c:pt idx="10">
                  <c:v>0.686</c:v>
                </c:pt>
                <c:pt idx="11">
                  <c:v>0.735</c:v>
                </c:pt>
                <c:pt idx="12">
                  <c:v>0.784</c:v>
                </c:pt>
                <c:pt idx="13">
                  <c:v>0.833</c:v>
                </c:pt>
                <c:pt idx="14">
                  <c:v>0.8575</c:v>
                </c:pt>
                <c:pt idx="15">
                  <c:v>0.873833333333333</c:v>
                </c:pt>
                <c:pt idx="16">
                  <c:v>0.890166666666667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BRISE!$AA$432</c:f>
              <c:strCache>
                <c:ptCount val="1"/>
                <c:pt idx="0">
                  <c:v>Food per person (0 - 2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BRISE!$AB$432:$AR$432</c:f>
              <c:numCache>
                <c:formatCode>#,##0.000</c:formatCode>
                <c:ptCount val="17"/>
                <c:pt idx="9">
                  <c:v>0.426802227998777</c:v>
                </c:pt>
                <c:pt idx="10">
                  <c:v>0.448601582076688</c:v>
                </c:pt>
                <c:pt idx="11">
                  <c:v>0.500784086740301</c:v>
                </c:pt>
                <c:pt idx="12">
                  <c:v>0.550687949630471</c:v>
                </c:pt>
                <c:pt idx="13">
                  <c:v>0.610754770034752</c:v>
                </c:pt>
                <c:pt idx="14">
                  <c:v>0.632338191620052</c:v>
                </c:pt>
                <c:pt idx="15">
                  <c:v>0.630150439150357</c:v>
                </c:pt>
                <c:pt idx="16">
                  <c:v>0.631985232844366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151094"/>
        <c:axId val="93769841"/>
      </c:lineChart>
      <c:catAx>
        <c:axId val="1915109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769841"/>
        <c:crosses val="autoZero"/>
        <c:auto val="1"/>
        <c:lblAlgn val="ctr"/>
        <c:lblOffset val="100"/>
        <c:noMultiLvlLbl val="0"/>
      </c:catAx>
      <c:valAx>
        <c:axId val="93769841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5109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7"/>
          <c:y val="0.108093212860323"/>
          <c:w val="0.230526795809913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373605596521"/>
          <c:w val="0.711068448645057"/>
          <c:h val="0.806296086216676"/>
        </c:manualLayout>
      </c:layout>
      <c:lineChart>
        <c:grouping val="standard"/>
        <c:varyColors val="0"/>
        <c:ser>
          <c:idx val="0"/>
          <c:order val="0"/>
          <c:tx>
            <c:strRef>
              <c:f>BRISE!$AA$475</c:f>
              <c:strCache>
                <c:ptCount val="1"/>
                <c:pt idx="0">
                  <c:v>Total bio-capacity, BRISE (0 - 5000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BRISE!$AB$475:$AR$475</c:f>
              <c:numCache>
                <c:formatCode>#,##0.000</c:formatCode>
                <c:ptCount val="17"/>
                <c:pt idx="0">
                  <c:v>0.924201129284</c:v>
                </c:pt>
                <c:pt idx="1">
                  <c:v>0.9009473148</c:v>
                </c:pt>
                <c:pt idx="2">
                  <c:v>0.92373097364</c:v>
                </c:pt>
                <c:pt idx="3">
                  <c:v>0.926907114214</c:v>
                </c:pt>
                <c:pt idx="4">
                  <c:v>0.953169281962</c:v>
                </c:pt>
                <c:pt idx="5">
                  <c:v>0.885816344002</c:v>
                </c:pt>
                <c:pt idx="6">
                  <c:v>0.877959058014</c:v>
                </c:pt>
                <c:pt idx="7">
                  <c:v>0.875555589878</c:v>
                </c:pt>
                <c:pt idx="8">
                  <c:v>0.884281099088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0.89</c:v>
                </c:pt>
                <c:pt idx="15">
                  <c:v>0.87</c:v>
                </c:pt>
                <c:pt idx="16">
                  <c:v>0.84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BRISE!$AA$477</c:f>
              <c:strCache>
                <c:ptCount val="1"/>
                <c:pt idx="0">
                  <c:v>Nonenergy footprint (0 - 5000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BRISE!$AB$477:$AR$477</c:f>
              <c:numCache>
                <c:formatCode>#,##0.000</c:formatCode>
                <c:ptCount val="17"/>
                <c:pt idx="0">
                  <c:v>0.42875271018362</c:v>
                </c:pt>
                <c:pt idx="1">
                  <c:v>0.4322638630352</c:v>
                </c:pt>
                <c:pt idx="2">
                  <c:v>0.4630587428058</c:v>
                </c:pt>
                <c:pt idx="3">
                  <c:v>0.4634366873958</c:v>
                </c:pt>
                <c:pt idx="4">
                  <c:v>0.505665011052</c:v>
                </c:pt>
                <c:pt idx="5">
                  <c:v>0.454145154466</c:v>
                </c:pt>
                <c:pt idx="6">
                  <c:v>0.452065155938</c:v>
                </c:pt>
                <c:pt idx="7">
                  <c:v>0.454487736726</c:v>
                </c:pt>
                <c:pt idx="8">
                  <c:v>0.475335320172</c:v>
                </c:pt>
                <c:pt idx="9">
                  <c:v>0.484592556331732</c:v>
                </c:pt>
                <c:pt idx="10">
                  <c:v>0.490101676998738</c:v>
                </c:pt>
                <c:pt idx="11">
                  <c:v>0.493030522859864</c:v>
                </c:pt>
                <c:pt idx="12">
                  <c:v>0.492775740374219</c:v>
                </c:pt>
                <c:pt idx="13">
                  <c:v>0.490133726029374</c:v>
                </c:pt>
                <c:pt idx="14">
                  <c:v>0.484763994745987</c:v>
                </c:pt>
                <c:pt idx="15">
                  <c:v>0.47646163369521</c:v>
                </c:pt>
                <c:pt idx="16">
                  <c:v>0.465849703714924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BRISE!$AA$480</c:f>
              <c:strCache>
                <c:ptCount val="1"/>
                <c:pt idx="0">
                  <c:v>Unused bio-capacity (0 - 5000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BRISE!$AB$480:$AR$480</c:f>
              <c:numCache>
                <c:formatCode>#,##0.000</c:formatCode>
                <c:ptCount val="17"/>
                <c:pt idx="0">
                  <c:v>0.49544841910038</c:v>
                </c:pt>
                <c:pt idx="1">
                  <c:v>0.4686834517648</c:v>
                </c:pt>
                <c:pt idx="2">
                  <c:v>0.4606722308342</c:v>
                </c:pt>
                <c:pt idx="3">
                  <c:v>0.4634704268182</c:v>
                </c:pt>
                <c:pt idx="4">
                  <c:v>0.44750427091</c:v>
                </c:pt>
                <c:pt idx="5">
                  <c:v>0.431671189536</c:v>
                </c:pt>
                <c:pt idx="6">
                  <c:v>0.425893902076</c:v>
                </c:pt>
                <c:pt idx="7">
                  <c:v>0.421067853152</c:v>
                </c:pt>
                <c:pt idx="8">
                  <c:v>0.408945778916</c:v>
                </c:pt>
                <c:pt idx="9">
                  <c:v>0.415407443668268</c:v>
                </c:pt>
                <c:pt idx="10">
                  <c:v>0.409898323001262</c:v>
                </c:pt>
                <c:pt idx="11">
                  <c:v>0.406969477140136</c:v>
                </c:pt>
                <c:pt idx="12">
                  <c:v>0.407224259625781</c:v>
                </c:pt>
                <c:pt idx="13">
                  <c:v>0.409866273970626</c:v>
                </c:pt>
                <c:pt idx="14">
                  <c:v>0.405236005254013</c:v>
                </c:pt>
                <c:pt idx="15">
                  <c:v>0.39353836630479</c:v>
                </c:pt>
                <c:pt idx="16">
                  <c:v>0.374150296285076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BRISE!$AA$481</c:f>
              <c:strCache>
                <c:ptCount val="1"/>
                <c:pt idx="0">
                  <c:v>Unused bio-capacity per person (0 - 2.5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BRISE!$AB$481:$AR$481</c:f>
              <c:numCache>
                <c:formatCode>#,##0.000</c:formatCode>
                <c:ptCount val="17"/>
                <c:pt idx="0">
                  <c:v>0.821095630566105</c:v>
                </c:pt>
                <c:pt idx="1">
                  <c:v>0.697250302248557</c:v>
                </c:pt>
                <c:pt idx="2">
                  <c:v>0.615748756099939</c:v>
                </c:pt>
                <c:pt idx="3">
                  <c:v>0.557731611628533</c:v>
                </c:pt>
                <c:pt idx="4">
                  <c:v>0.488965706797756</c:v>
                </c:pt>
                <c:pt idx="5">
                  <c:v>0.434519023741449</c:v>
                </c:pt>
                <c:pt idx="6">
                  <c:v>0.399095498036793</c:v>
                </c:pt>
                <c:pt idx="7">
                  <c:v>0.370088550403452</c:v>
                </c:pt>
                <c:pt idx="8">
                  <c:v>0.339102380172358</c:v>
                </c:pt>
                <c:pt idx="9">
                  <c:v>0.329433185432388</c:v>
                </c:pt>
                <c:pt idx="10">
                  <c:v>0.314178548628707</c:v>
                </c:pt>
                <c:pt idx="11">
                  <c:v>0.303878996352109</c:v>
                </c:pt>
                <c:pt idx="12">
                  <c:v>0.298902490843035</c:v>
                </c:pt>
                <c:pt idx="13">
                  <c:v>0.297926433580592</c:v>
                </c:pt>
                <c:pt idx="14">
                  <c:v>0.294100806553717</c:v>
                </c:pt>
                <c:pt idx="15">
                  <c:v>0.287682128404798</c:v>
                </c:pt>
                <c:pt idx="16">
                  <c:v>0.277641591745583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BRISE!$AA$483</c:f>
              <c:strCache>
                <c:ptCount val="1"/>
                <c:pt idx="0">
                  <c:v>Total bio-capacity, BRISE (0 - 5000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BRISE!$AB$483:$AR$483</c:f>
              <c:numCache>
                <c:formatCode>#,##0.000</c:formatCode>
                <c:ptCount val="17"/>
                <c:pt idx="9">
                  <c:v>0.9</c:v>
                </c:pt>
                <c:pt idx="10">
                  <c:v>0.882</c:v>
                </c:pt>
                <c:pt idx="11">
                  <c:v>0.882</c:v>
                </c:pt>
                <c:pt idx="12">
                  <c:v>0.882</c:v>
                </c:pt>
                <c:pt idx="13">
                  <c:v>0.882</c:v>
                </c:pt>
                <c:pt idx="14">
                  <c:v>0.8722</c:v>
                </c:pt>
                <c:pt idx="15">
                  <c:v>0.8526</c:v>
                </c:pt>
                <c:pt idx="16">
                  <c:v>0.8232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BRISE!$AA$485</c:f>
              <c:strCache>
                <c:ptCount val="1"/>
                <c:pt idx="0">
                  <c:v>Nonenergy footprint (0 - 5000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BRISE!$AB$485:$AR$485</c:f>
              <c:numCache>
                <c:formatCode>#,##0.000</c:formatCode>
                <c:ptCount val="17"/>
                <c:pt idx="9">
                  <c:v>0.484592556331732</c:v>
                </c:pt>
                <c:pt idx="10">
                  <c:v>0.489998899078344</c:v>
                </c:pt>
                <c:pt idx="11">
                  <c:v>0.49287365738963</c:v>
                </c:pt>
                <c:pt idx="12">
                  <c:v>0.492626972246452</c:v>
                </c:pt>
                <c:pt idx="13">
                  <c:v>0.490039997081205</c:v>
                </c:pt>
                <c:pt idx="14">
                  <c:v>0.484778854509311</c:v>
                </c:pt>
                <c:pt idx="15">
                  <c:v>0.476641607286259</c:v>
                </c:pt>
                <c:pt idx="16">
                  <c:v>0.46623694476879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BRISE!$AA$488</c:f>
              <c:strCache>
                <c:ptCount val="1"/>
                <c:pt idx="0">
                  <c:v>Unused bio-capacity (0 - 5000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BRISE!$AB$488:$AR$488</c:f>
              <c:numCache>
                <c:formatCode>#,##0.000</c:formatCode>
                <c:ptCount val="17"/>
                <c:pt idx="9">
                  <c:v>0.415407443668268</c:v>
                </c:pt>
                <c:pt idx="10">
                  <c:v>0.392001100921656</c:v>
                </c:pt>
                <c:pt idx="11">
                  <c:v>0.38912634261037</c:v>
                </c:pt>
                <c:pt idx="12">
                  <c:v>0.389373027753548</c:v>
                </c:pt>
                <c:pt idx="13">
                  <c:v>0.391960002918795</c:v>
                </c:pt>
                <c:pt idx="14">
                  <c:v>0.387421145490689</c:v>
                </c:pt>
                <c:pt idx="15">
                  <c:v>0.375958392713741</c:v>
                </c:pt>
                <c:pt idx="16">
                  <c:v>0.35696305523121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BRISE!$AA$489</c:f>
              <c:strCache>
                <c:ptCount val="1"/>
                <c:pt idx="0">
                  <c:v>Unused bio-capacity per person (0 - 2.5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BRISE!$AB$489:$AR$489</c:f>
              <c:numCache>
                <c:formatCode>#,##0.000</c:formatCode>
                <c:ptCount val="17"/>
                <c:pt idx="9">
                  <c:v>0.329433185432388</c:v>
                </c:pt>
                <c:pt idx="10">
                  <c:v>0.300662070280751</c:v>
                </c:pt>
                <c:pt idx="11">
                  <c:v>0.290900715070524</c:v>
                </c:pt>
                <c:pt idx="12">
                  <c:v>0.28623628281887</c:v>
                </c:pt>
                <c:pt idx="13">
                  <c:v>0.285401145645793</c:v>
                </c:pt>
                <c:pt idx="14">
                  <c:v>0.281664542850591</c:v>
                </c:pt>
                <c:pt idx="15">
                  <c:v>0.27527278878933</c:v>
                </c:pt>
                <c:pt idx="16">
                  <c:v>0.265233381147801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399296"/>
        <c:axId val="48162592"/>
      </c:lineChart>
      <c:catAx>
        <c:axId val="8139929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62592"/>
        <c:crosses val="autoZero"/>
        <c:auto val="1"/>
        <c:lblAlgn val="ctr"/>
        <c:lblOffset val="100"/>
        <c:noMultiLvlLbl val="0"/>
      </c:catAx>
      <c:valAx>
        <c:axId val="4816259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9929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5"/>
          <c:y val="0.0654039109572359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BRISE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411824668705"/>
          <c:w val="0.694223070990488"/>
          <c:h val="0.806320081549439"/>
        </c:manualLayout>
      </c:layout>
      <c:lineChart>
        <c:grouping val="standard"/>
        <c:varyColors val="0"/>
        <c:ser>
          <c:idx val="0"/>
          <c:order val="0"/>
          <c:tx>
            <c:strRef>
              <c:f>BRISE!$A$242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BRISE!$B$242:$R$242</c:f>
              <c:numCache>
                <c:formatCode>#,##0</c:formatCode>
                <c:ptCount val="17"/>
                <c:pt idx="0">
                  <c:v>407.524937105071</c:v>
                </c:pt>
                <c:pt idx="1">
                  <c:v>541.388032782837</c:v>
                </c:pt>
                <c:pt idx="2">
                  <c:v>640.723223378454</c:v>
                </c:pt>
                <c:pt idx="3">
                  <c:v>661.195476345249</c:v>
                </c:pt>
                <c:pt idx="4">
                  <c:v>737.736265322663</c:v>
                </c:pt>
                <c:pt idx="5">
                  <c:v>691.061281105264</c:v>
                </c:pt>
                <c:pt idx="6">
                  <c:v>763.124024651906</c:v>
                </c:pt>
                <c:pt idx="7">
                  <c:v>842.929357159047</c:v>
                </c:pt>
                <c:pt idx="8">
                  <c:v>970.955783308127</c:v>
                </c:pt>
                <c:pt idx="9">
                  <c:v>987.010176299103</c:v>
                </c:pt>
                <c:pt idx="10">
                  <c:v>1016.41709614675</c:v>
                </c:pt>
                <c:pt idx="11">
                  <c:v>1105.12719415279</c:v>
                </c:pt>
                <c:pt idx="12">
                  <c:v>1187.40234751956</c:v>
                </c:pt>
                <c:pt idx="13">
                  <c:v>1204.3583044852</c:v>
                </c:pt>
                <c:pt idx="14">
                  <c:v>1156.1818351332</c:v>
                </c:pt>
                <c:pt idx="15">
                  <c:v>1057.77747357588</c:v>
                </c:pt>
                <c:pt idx="16">
                  <c:v>956.016602700229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BRISE!$A$243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BRISE!$B$243:$R$243</c:f>
              <c:numCache>
                <c:formatCode>#,##0</c:formatCode>
                <c:ptCount val="17"/>
                <c:pt idx="0">
                  <c:v>171.884190783069</c:v>
                </c:pt>
                <c:pt idx="1">
                  <c:v>275.02648435189</c:v>
                </c:pt>
                <c:pt idx="2">
                  <c:v>371.948172234813</c:v>
                </c:pt>
                <c:pt idx="3">
                  <c:v>500.162428144173</c:v>
                </c:pt>
                <c:pt idx="4">
                  <c:v>629.803744695334</c:v>
                </c:pt>
                <c:pt idx="5">
                  <c:v>608.251610069182</c:v>
                </c:pt>
                <c:pt idx="6">
                  <c:v>670.154069836943</c:v>
                </c:pt>
                <c:pt idx="7">
                  <c:v>832.337877593084</c:v>
                </c:pt>
                <c:pt idx="8">
                  <c:v>950.370906257273</c:v>
                </c:pt>
                <c:pt idx="9">
                  <c:v>1048.6983123178</c:v>
                </c:pt>
                <c:pt idx="10">
                  <c:v>1244.23472114516</c:v>
                </c:pt>
                <c:pt idx="11">
                  <c:v>1406.52551983083</c:v>
                </c:pt>
                <c:pt idx="12">
                  <c:v>1507.08759492868</c:v>
                </c:pt>
                <c:pt idx="13">
                  <c:v>1555.62947662672</c:v>
                </c:pt>
                <c:pt idx="14">
                  <c:v>1532.61313029285</c:v>
                </c:pt>
                <c:pt idx="15">
                  <c:v>1475.32121314531</c:v>
                </c:pt>
                <c:pt idx="16">
                  <c:v>1293.43422718266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BRISE!$A$244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BRISE!$B$244:$R$244</c:f>
              <c:numCache>
                <c:formatCode>#,##0</c:formatCode>
                <c:ptCount val="17"/>
                <c:pt idx="0">
                  <c:v>343.688944495592</c:v>
                </c:pt>
                <c:pt idx="1">
                  <c:v>363.853638117955</c:v>
                </c:pt>
                <c:pt idx="2">
                  <c:v>393.390473715295</c:v>
                </c:pt>
                <c:pt idx="3">
                  <c:v>442.49494944</c:v>
                </c:pt>
                <c:pt idx="4">
                  <c:v>463.9292943</c:v>
                </c:pt>
                <c:pt idx="5">
                  <c:v>409.798198</c:v>
                </c:pt>
                <c:pt idx="6">
                  <c:v>435.08640125</c:v>
                </c:pt>
                <c:pt idx="7">
                  <c:v>493.762759022002</c:v>
                </c:pt>
                <c:pt idx="8">
                  <c:v>621.849481492867</c:v>
                </c:pt>
                <c:pt idx="9">
                  <c:v>632.303394191613</c:v>
                </c:pt>
                <c:pt idx="10">
                  <c:v>736.026173071785</c:v>
                </c:pt>
                <c:pt idx="11">
                  <c:v>823.822090186628</c:v>
                </c:pt>
                <c:pt idx="12">
                  <c:v>981.890402756562</c:v>
                </c:pt>
                <c:pt idx="13">
                  <c:v>1078.90431443466</c:v>
                </c:pt>
                <c:pt idx="14">
                  <c:v>1209.95773444172</c:v>
                </c:pt>
                <c:pt idx="15">
                  <c:v>1224.79496940366</c:v>
                </c:pt>
                <c:pt idx="16">
                  <c:v>1209.07982106205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BRISE!$A$245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BRISE!$B$245:$R$245</c:f>
              <c:numCache>
                <c:formatCode>#,##0</c:formatCode>
                <c:ptCount val="17"/>
                <c:pt idx="0">
                  <c:v>1.24269967260902</c:v>
                </c:pt>
                <c:pt idx="1">
                  <c:v>7.22421534928145</c:v>
                </c:pt>
                <c:pt idx="2">
                  <c:v>14.5467348850819</c:v>
                </c:pt>
                <c:pt idx="3">
                  <c:v>38.891</c:v>
                </c:pt>
                <c:pt idx="4">
                  <c:v>50.292</c:v>
                </c:pt>
                <c:pt idx="5">
                  <c:v>46.946</c:v>
                </c:pt>
                <c:pt idx="6">
                  <c:v>58.331</c:v>
                </c:pt>
                <c:pt idx="7">
                  <c:v>66.6696033047469</c:v>
                </c:pt>
                <c:pt idx="8">
                  <c:v>73.1965515915471</c:v>
                </c:pt>
                <c:pt idx="9">
                  <c:v>92.5322040280409</c:v>
                </c:pt>
                <c:pt idx="10">
                  <c:v>87.6221634609268</c:v>
                </c:pt>
                <c:pt idx="11">
                  <c:v>80.3728868474759</c:v>
                </c:pt>
                <c:pt idx="12">
                  <c:v>68.5039815876671</c:v>
                </c:pt>
                <c:pt idx="13">
                  <c:v>75.2723940303249</c:v>
                </c:pt>
                <c:pt idx="14">
                  <c:v>80.6638489627814</c:v>
                </c:pt>
                <c:pt idx="15">
                  <c:v>83.5087479138856</c:v>
                </c:pt>
                <c:pt idx="16">
                  <c:v>84.3544061206084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BRISE!$A$249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BRISE!$B$249:$R$249</c:f>
              <c:numCache>
                <c:formatCode>#,##0</c:formatCode>
                <c:ptCount val="17"/>
                <c:pt idx="0">
                  <c:v>49.9165236723813</c:v>
                </c:pt>
                <c:pt idx="1">
                  <c:v>65.0624456175946</c:v>
                </c:pt>
                <c:pt idx="2">
                  <c:v>92.8343074122624</c:v>
                </c:pt>
                <c:pt idx="3">
                  <c:v>112.319403900982</c:v>
                </c:pt>
                <c:pt idx="4">
                  <c:v>132.99838231552</c:v>
                </c:pt>
                <c:pt idx="5">
                  <c:v>160.22995473611</c:v>
                </c:pt>
                <c:pt idx="6">
                  <c:v>181.294789948765</c:v>
                </c:pt>
                <c:pt idx="7">
                  <c:v>210.427956754806</c:v>
                </c:pt>
                <c:pt idx="8">
                  <c:v>252.491616090648</c:v>
                </c:pt>
                <c:pt idx="9">
                  <c:v>323.862714098143</c:v>
                </c:pt>
                <c:pt idx="10">
                  <c:v>420.586384612448</c:v>
                </c:pt>
                <c:pt idx="11">
                  <c:v>602.796651356069</c:v>
                </c:pt>
                <c:pt idx="12">
                  <c:v>822.047779052005</c:v>
                </c:pt>
                <c:pt idx="13">
                  <c:v>1103.99511244477</c:v>
                </c:pt>
                <c:pt idx="14">
                  <c:v>1398.17338202154</c:v>
                </c:pt>
                <c:pt idx="15">
                  <c:v>1725.84745688697</c:v>
                </c:pt>
                <c:pt idx="16">
                  <c:v>2080.74201764167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BRISE!$U$261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BRISE!$B$261:$R$261</c:f>
              <c:numCache>
                <c:formatCode>#,##0</c:formatCode>
                <c:ptCount val="17"/>
                <c:pt idx="9">
                  <c:v>987.010176299103</c:v>
                </c:pt>
                <c:pt idx="10">
                  <c:v>971.383014048203</c:v>
                </c:pt>
                <c:pt idx="11">
                  <c:v>1050.18014545463</c:v>
                </c:pt>
                <c:pt idx="12">
                  <c:v>1121.34617175585</c:v>
                </c:pt>
                <c:pt idx="13">
                  <c:v>1131.13070893888</c:v>
                </c:pt>
                <c:pt idx="14">
                  <c:v>1080.35178441303</c:v>
                </c:pt>
                <c:pt idx="15">
                  <c:v>984.307028502878</c:v>
                </c:pt>
                <c:pt idx="16">
                  <c:v>886.351771500608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BRISE!$U$262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BRISE!$B$262:$R$262</c:f>
              <c:numCache>
                <c:formatCode>#,##0</c:formatCode>
                <c:ptCount val="17"/>
                <c:pt idx="9">
                  <c:v>1048.6983123178</c:v>
                </c:pt>
                <c:pt idx="10">
                  <c:v>1189.10679305901</c:v>
                </c:pt>
                <c:pt idx="11">
                  <c:v>1336.5929123968</c:v>
                </c:pt>
                <c:pt idx="12">
                  <c:v>1423.24706415166</c:v>
                </c:pt>
                <c:pt idx="13">
                  <c:v>1461.04383237939</c:v>
                </c:pt>
                <c:pt idx="14">
                  <c:v>1432.09422584983</c:v>
                </c:pt>
                <c:pt idx="15">
                  <c:v>1372.84927659612</c:v>
                </c:pt>
                <c:pt idx="16">
                  <c:v>1199.18180850082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BRISE!$U$265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BRISE!$B$265:$R$265</c:f>
              <c:numCache>
                <c:formatCode>#,##0</c:formatCode>
                <c:ptCount val="17"/>
                <c:pt idx="9">
                  <c:v>323.862714098143</c:v>
                </c:pt>
                <c:pt idx="10">
                  <c:v>401.951592019946</c:v>
                </c:pt>
                <c:pt idx="11">
                  <c:v>572.825533884342</c:v>
                </c:pt>
                <c:pt idx="12">
                  <c:v>776.316580446357</c:v>
                </c:pt>
                <c:pt idx="13">
                  <c:v>1036.86981652731</c:v>
                </c:pt>
                <c:pt idx="14">
                  <c:v>1306.47192533669</c:v>
                </c:pt>
                <c:pt idx="15">
                  <c:v>1605.97462545206</c:v>
                </c:pt>
                <c:pt idx="16">
                  <c:v>1929.11856150132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BRISE!$U$264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BRISE!$B$264:$R$264</c:f>
              <c:numCache>
                <c:formatCode>#,##0</c:formatCode>
                <c:ptCount val="17"/>
                <c:pt idx="9">
                  <c:v>92.5322040280409</c:v>
                </c:pt>
                <c:pt idx="10">
                  <c:v>83.7399150041555</c:v>
                </c:pt>
                <c:pt idx="11">
                  <c:v>76.3767378512457</c:v>
                </c:pt>
                <c:pt idx="12">
                  <c:v>64.6930483705298</c:v>
                </c:pt>
                <c:pt idx="13">
                  <c:v>70.6956693086803</c:v>
                </c:pt>
                <c:pt idx="14">
                  <c:v>75.3733803078858</c:v>
                </c:pt>
                <c:pt idx="15">
                  <c:v>77.7084496186483</c:v>
                </c:pt>
                <c:pt idx="16">
                  <c:v>78.2075092500537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BRISE!$U$263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BRISE!$B$240:$R$240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BRISE!$B$263:$R$263</c:f>
              <c:numCache>
                <c:formatCode>#,##0</c:formatCode>
                <c:ptCount val="17"/>
                <c:pt idx="9">
                  <c:v>632.303394191613</c:v>
                </c:pt>
                <c:pt idx="10">
                  <c:v>771.774400324012</c:v>
                </c:pt>
                <c:pt idx="11">
                  <c:v>860.797009762254</c:v>
                </c:pt>
                <c:pt idx="12">
                  <c:v>1015.28477952934</c:v>
                </c:pt>
                <c:pt idx="13">
                  <c:v>1109.48917751786</c:v>
                </c:pt>
                <c:pt idx="14">
                  <c:v>1233.14952136371</c:v>
                </c:pt>
                <c:pt idx="15">
                  <c:v>1245.44970953425</c:v>
                </c:pt>
                <c:pt idx="16">
                  <c:v>1227.37907374064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65518"/>
        <c:axId val="64384758"/>
      </c:lineChart>
      <c:catAx>
        <c:axId val="446551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84758"/>
        <c:crosses val="autoZero"/>
        <c:auto val="1"/>
        <c:lblAlgn val="ctr"/>
        <c:lblOffset val="100"/>
        <c:noMultiLvlLbl val="0"/>
      </c:catAx>
      <c:valAx>
        <c:axId val="6438475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5518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8"/>
          <c:y val="0.111708569323571"/>
          <c:w val="0.247357948743892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49679685886"/>
          <c:w val="0.693587842846553"/>
          <c:h val="0.806364951436247"/>
        </c:manualLayout>
      </c:layout>
      <c:lineChart>
        <c:grouping val="standard"/>
        <c:varyColors val="0"/>
        <c:ser>
          <c:idx val="0"/>
          <c:order val="0"/>
          <c:tx>
            <c:strRef>
              <c:f>ROW!$AA$28</c:f>
              <c:strCache>
                <c:ptCount val="1"/>
                <c:pt idx="0">
                  <c:v>Population, ROW (0 - 3.5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ROW!$AB$28:$AR$28</c:f>
              <c:numCache>
                <c:formatCode>#,##0.000</c:formatCode>
                <c:ptCount val="17"/>
                <c:pt idx="0">
                  <c:v>0.246553812285714</c:v>
                </c:pt>
                <c:pt idx="1">
                  <c:v>0.276785386571429</c:v>
                </c:pt>
                <c:pt idx="2">
                  <c:v>0.312551210571429</c:v>
                </c:pt>
                <c:pt idx="3">
                  <c:v>0.353315582571429</c:v>
                </c:pt>
                <c:pt idx="4">
                  <c:v>0.398277508</c:v>
                </c:pt>
                <c:pt idx="5">
                  <c:v>0.445042573428571</c:v>
                </c:pt>
                <c:pt idx="6">
                  <c:v>0.492259938285714</c:v>
                </c:pt>
                <c:pt idx="7">
                  <c:v>0.541721652</c:v>
                </c:pt>
                <c:pt idx="8">
                  <c:v>0.595327672</c:v>
                </c:pt>
                <c:pt idx="9">
                  <c:v>0.651595574937143</c:v>
                </c:pt>
                <c:pt idx="10">
                  <c:v>0.703723220932114</c:v>
                </c:pt>
                <c:pt idx="11">
                  <c:v>0.749817091903168</c:v>
                </c:pt>
                <c:pt idx="12">
                  <c:v>0.791806849049745</c:v>
                </c:pt>
                <c:pt idx="13">
                  <c:v>0.827438157256984</c:v>
                </c:pt>
                <c:pt idx="14">
                  <c:v>0.855571054603721</c:v>
                </c:pt>
                <c:pt idx="15">
                  <c:v>0.875249188859607</c:v>
                </c:pt>
                <c:pt idx="16">
                  <c:v>0.885752179125922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ROW!$AA$31</c:f>
              <c:strCache>
                <c:ptCount val="1"/>
                <c:pt idx="0">
                  <c:v>Crude birth rate (0 - 5 %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ROW!$AB$31:$AR$31</c:f>
              <c:numCache>
                <c:formatCode>#,##0.000</c:formatCode>
                <c:ptCount val="17"/>
                <c:pt idx="0">
                  <c:v>0.887826967262248</c:v>
                </c:pt>
                <c:pt idx="1">
                  <c:v>0.86775914045908</c:v>
                </c:pt>
                <c:pt idx="2">
                  <c:v>0.851851359742019</c:v>
                </c:pt>
                <c:pt idx="3">
                  <c:v>0.817335864558071</c:v>
                </c:pt>
                <c:pt idx="4">
                  <c:v>0.762377082492513</c:v>
                </c:pt>
                <c:pt idx="5">
                  <c:v>0.708868433798578</c:v>
                </c:pt>
                <c:pt idx="6">
                  <c:v>0.665995117478537</c:v>
                </c:pt>
                <c:pt idx="7">
                  <c:v>0.634735921539278</c:v>
                </c:pt>
                <c:pt idx="8">
                  <c:v>0.56</c:v>
                </c:pt>
                <c:pt idx="9">
                  <c:v>0.5</c:v>
                </c:pt>
                <c:pt idx="10">
                  <c:v>0.44</c:v>
                </c:pt>
                <c:pt idx="11">
                  <c:v>0.4</c:v>
                </c:pt>
                <c:pt idx="12">
                  <c:v>0.36</c:v>
                </c:pt>
                <c:pt idx="13">
                  <c:v>0.32</c:v>
                </c:pt>
                <c:pt idx="14">
                  <c:v>0.28</c:v>
                </c:pt>
                <c:pt idx="15">
                  <c:v>0.24</c:v>
                </c:pt>
                <c:pt idx="16">
                  <c:v>0.2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ROW!$AB$32:$AR$32</c:f>
              <c:numCache>
                <c:formatCode>#,##0.000</c:formatCode>
                <c:ptCount val="17"/>
                <c:pt idx="0">
                  <c:v>0.844919913357009</c:v>
                </c:pt>
                <c:pt idx="1">
                  <c:v>0.747729267246936</c:v>
                </c:pt>
                <c:pt idx="2">
                  <c:v>0.690573607916103</c:v>
                </c:pt>
                <c:pt idx="3">
                  <c:v>0.641654259688917</c:v>
                </c:pt>
                <c:pt idx="4">
                  <c:v>0.611640127351318</c:v>
                </c:pt>
                <c:pt idx="5">
                  <c:v>0.579049128492142</c:v>
                </c:pt>
                <c:pt idx="6">
                  <c:v>0.534015964471417</c:v>
                </c:pt>
                <c:pt idx="7">
                  <c:v>0.494642240049455</c:v>
                </c:pt>
                <c:pt idx="8">
                  <c:v>0.454841466580729</c:v>
                </c:pt>
                <c:pt idx="9">
                  <c:v>0.45</c:v>
                </c:pt>
                <c:pt idx="10">
                  <c:v>0.445</c:v>
                </c:pt>
                <c:pt idx="11">
                  <c:v>0.44</c:v>
                </c:pt>
                <c:pt idx="12">
                  <c:v>0.45</c:v>
                </c:pt>
                <c:pt idx="13">
                  <c:v>0.46</c:v>
                </c:pt>
                <c:pt idx="14">
                  <c:v>0.47</c:v>
                </c:pt>
                <c:pt idx="15">
                  <c:v>0.48</c:v>
                </c:pt>
                <c:pt idx="16">
                  <c:v>0.49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ROW!$AA$38</c:f>
              <c:strCache>
                <c:ptCount val="1"/>
                <c:pt idx="0">
                  <c:v>Population, ROW Your forecast (0 - 3.5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ROW!$AB$38:$AR$38</c:f>
              <c:numCache>
                <c:formatCode>#,##0.000</c:formatCode>
                <c:ptCount val="17"/>
                <c:pt idx="9">
                  <c:v>0.651595574937143</c:v>
                </c:pt>
                <c:pt idx="10">
                  <c:v>0.702680668012215</c:v>
                </c:pt>
                <c:pt idx="11">
                  <c:v>0.747785740091919</c:v>
                </c:pt>
                <c:pt idx="12">
                  <c:v>0.788824221508163</c:v>
                </c:pt>
                <c:pt idx="13">
                  <c:v>0.823611369676673</c:v>
                </c:pt>
                <c:pt idx="14">
                  <c:v>0.8510541005143</c:v>
                </c:pt>
                <c:pt idx="15">
                  <c:v>0.870236859939892</c:v>
                </c:pt>
                <c:pt idx="16">
                  <c:v>0.880470845412786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ROW!$AA$41</c:f>
              <c:strCache>
                <c:ptCount val="1"/>
                <c:pt idx="0">
                  <c:v>Crude birth rate Your forecast (0 - 5 %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ROW!$AB$41:$AR$41</c:f>
              <c:numCache>
                <c:formatCode>#,##0.000</c:formatCode>
                <c:ptCount val="17"/>
                <c:pt idx="8">
                  <c:v>0.56</c:v>
                </c:pt>
                <c:pt idx="9">
                  <c:v>0.49</c:v>
                </c:pt>
                <c:pt idx="10">
                  <c:v>0.4312</c:v>
                </c:pt>
                <c:pt idx="11">
                  <c:v>0.392</c:v>
                </c:pt>
                <c:pt idx="12">
                  <c:v>0.3528</c:v>
                </c:pt>
                <c:pt idx="13">
                  <c:v>0.3136</c:v>
                </c:pt>
                <c:pt idx="14">
                  <c:v>0.2744</c:v>
                </c:pt>
                <c:pt idx="15">
                  <c:v>0.2352</c:v>
                </c:pt>
                <c:pt idx="16">
                  <c:v>0.196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ROW!$AB$42:$AR$42</c:f>
              <c:numCache>
                <c:formatCode>#,##0.000</c:formatCode>
                <c:ptCount val="17"/>
                <c:pt idx="8">
                  <c:v>0.454841466580729</c:v>
                </c:pt>
                <c:pt idx="9">
                  <c:v>0.441</c:v>
                </c:pt>
                <c:pt idx="10">
                  <c:v>0.4361</c:v>
                </c:pt>
                <c:pt idx="11">
                  <c:v>0.4312</c:v>
                </c:pt>
                <c:pt idx="12">
                  <c:v>0.441</c:v>
                </c:pt>
                <c:pt idx="13">
                  <c:v>0.4508</c:v>
                </c:pt>
                <c:pt idx="14">
                  <c:v>0.4606</c:v>
                </c:pt>
                <c:pt idx="15">
                  <c:v>0.4704</c:v>
                </c:pt>
                <c:pt idx="16">
                  <c:v>0.4802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ROW!$AA$36</c:f>
              <c:strCache>
                <c:ptCount val="1"/>
                <c:pt idx="0">
                  <c:v>UN Low Birthrate (0 - 5 %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ROW!$AB$36:$AR$36</c:f>
              <c:numCache>
                <c:formatCode>#,##0.000</c:formatCode>
                <c:ptCount val="17"/>
                <c:pt idx="8">
                  <c:v>0.562045367177221</c:v>
                </c:pt>
                <c:pt idx="9">
                  <c:v>0.488266485484482</c:v>
                </c:pt>
                <c:pt idx="10">
                  <c:v>0.442747135030727</c:v>
                </c:pt>
                <c:pt idx="11">
                  <c:v>0.416437670382248</c:v>
                </c:pt>
                <c:pt idx="12">
                  <c:v>0.390105788739305</c:v>
                </c:pt>
                <c:pt idx="13">
                  <c:v>0.362815931856171</c:v>
                </c:pt>
                <c:pt idx="14">
                  <c:v>0.335528353805459</c:v>
                </c:pt>
                <c:pt idx="15">
                  <c:v>0.311074558150572</c:v>
                </c:pt>
                <c:pt idx="16">
                  <c:v>0.290894481635678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ROW!$AB$37:$AR$37</c:f>
              <c:numCache>
                <c:formatCode>#,##0.000</c:formatCode>
                <c:ptCount val="17"/>
                <c:pt idx="8">
                  <c:v>0.454841466580729</c:v>
                </c:pt>
                <c:pt idx="9">
                  <c:v>0.414365452801166</c:v>
                </c:pt>
                <c:pt idx="10">
                  <c:v>0.400857409091321</c:v>
                </c:pt>
                <c:pt idx="11">
                  <c:v>0.395407427359488</c:v>
                </c:pt>
                <c:pt idx="12">
                  <c:v>0.395741258144787</c:v>
                </c:pt>
                <c:pt idx="13">
                  <c:v>0.401335222875211</c:v>
                </c:pt>
                <c:pt idx="14">
                  <c:v>0.411694572275528</c:v>
                </c:pt>
                <c:pt idx="15">
                  <c:v>0.42663370097759</c:v>
                </c:pt>
                <c:pt idx="16">
                  <c:v>0.44609719907608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07749"/>
        <c:axId val="34023453"/>
      </c:lineChart>
      <c:catAx>
        <c:axId val="4210774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23453"/>
        <c:crosses val="autoZero"/>
        <c:auto val="1"/>
        <c:lblAlgn val="ctr"/>
        <c:lblOffset val="100"/>
        <c:noMultiLvlLbl val="0"/>
      </c:catAx>
      <c:valAx>
        <c:axId val="3402345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10774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2601435477"/>
          <c:y val="0.115955647434693"/>
          <c:w val="0.691775303940237"/>
          <c:h val="0.807085134373238"/>
        </c:manualLayout>
      </c:layout>
      <c:lineChart>
        <c:grouping val="standard"/>
        <c:varyColors val="0"/>
        <c:ser>
          <c:idx val="0"/>
          <c:order val="0"/>
          <c:tx>
            <c:strRef>
              <c:f>ROW!$AA$506</c:f>
              <c:strCache>
                <c:ptCount val="1"/>
                <c:pt idx="0">
                  <c:v>GDP (0 - 25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ROW!$AB$506:$AR$506</c:f>
              <c:numCache>
                <c:formatCode>#,##0.000</c:formatCode>
                <c:ptCount val="17"/>
                <c:pt idx="0">
                  <c:v>0.0686691849303309</c:v>
                </c:pt>
                <c:pt idx="1">
                  <c:v>0.0885080885844211</c:v>
                </c:pt>
                <c:pt idx="2">
                  <c:v>0.111086700931979</c:v>
                </c:pt>
                <c:pt idx="3">
                  <c:v>0.128429304760921</c:v>
                </c:pt>
                <c:pt idx="4">
                  <c:v>0.157730859858456</c:v>
                </c:pt>
                <c:pt idx="5">
                  <c:v>0.192261921609581</c:v>
                </c:pt>
                <c:pt idx="6">
                  <c:v>0.215663231395357</c:v>
                </c:pt>
                <c:pt idx="7">
                  <c:v>0.277337081460033</c:v>
                </c:pt>
                <c:pt idx="8">
                  <c:v>0.331271254649414</c:v>
                </c:pt>
                <c:pt idx="9">
                  <c:v>0.409731241230445</c:v>
                </c:pt>
                <c:pt idx="10">
                  <c:v>0.478583530203676</c:v>
                </c:pt>
                <c:pt idx="11">
                  <c:v>0.555289591821272</c:v>
                </c:pt>
                <c:pt idx="12">
                  <c:v>0.633314449134568</c:v>
                </c:pt>
                <c:pt idx="13">
                  <c:v>0.713291839756414</c:v>
                </c:pt>
                <c:pt idx="14">
                  <c:v>0.793836905427625</c:v>
                </c:pt>
                <c:pt idx="15">
                  <c:v>0.875603400756288</c:v>
                </c:pt>
                <c:pt idx="16">
                  <c:v>0.955802632465729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ROW!$AA$505</c:f>
              <c:strCache>
                <c:ptCount val="1"/>
                <c:pt idx="0">
                  <c:v>Population (0 - 3.5G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ROW!$AB$505:$AR$505</c:f>
              <c:numCache>
                <c:formatCode>#,##0.000</c:formatCode>
                <c:ptCount val="17"/>
                <c:pt idx="0">
                  <c:v>0.246553812285714</c:v>
                </c:pt>
                <c:pt idx="1">
                  <c:v>0.276785386571429</c:v>
                </c:pt>
                <c:pt idx="2">
                  <c:v>0.312551210571429</c:v>
                </c:pt>
                <c:pt idx="3">
                  <c:v>0.353315582571429</c:v>
                </c:pt>
                <c:pt idx="4">
                  <c:v>0.398277508</c:v>
                </c:pt>
                <c:pt idx="5">
                  <c:v>0.445042573428571</c:v>
                </c:pt>
                <c:pt idx="6">
                  <c:v>0.492259938285714</c:v>
                </c:pt>
                <c:pt idx="7">
                  <c:v>0.541721652</c:v>
                </c:pt>
                <c:pt idx="8">
                  <c:v>0.595327672</c:v>
                </c:pt>
                <c:pt idx="9">
                  <c:v>0.651595574937143</c:v>
                </c:pt>
                <c:pt idx="10">
                  <c:v>0.703723220932114</c:v>
                </c:pt>
                <c:pt idx="11">
                  <c:v>0.749817091903168</c:v>
                </c:pt>
                <c:pt idx="12">
                  <c:v>0.791806849049745</c:v>
                </c:pt>
                <c:pt idx="13">
                  <c:v>0.827438157256984</c:v>
                </c:pt>
                <c:pt idx="14">
                  <c:v>0.855571054603721</c:v>
                </c:pt>
                <c:pt idx="15">
                  <c:v>0.875249188859607</c:v>
                </c:pt>
                <c:pt idx="16">
                  <c:v>0.885752179125922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ROW!$AA$509</c:f>
              <c:strCache>
                <c:ptCount val="1"/>
                <c:pt idx="0">
                  <c:v>Consumption (0 - 25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ROW!$AB$509:$AR$509</c:f>
              <c:numCache>
                <c:formatCode>#,##0.000</c:formatCode>
                <c:ptCount val="17"/>
                <c:pt idx="0">
                  <c:v>0.0511825052398397</c:v>
                </c:pt>
                <c:pt idx="1">
                  <c:v>0.0638120410238226</c:v>
                </c:pt>
                <c:pt idx="2">
                  <c:v>0.0782782930109879</c:v>
                </c:pt>
                <c:pt idx="3">
                  <c:v>0.0923979018205732</c:v>
                </c:pt>
                <c:pt idx="4">
                  <c:v>0.117222100968851</c:v>
                </c:pt>
                <c:pt idx="5">
                  <c:v>0.14592640417447</c:v>
                </c:pt>
                <c:pt idx="6">
                  <c:v>0.163823209139054</c:v>
                </c:pt>
                <c:pt idx="7">
                  <c:v>0.221604892351641</c:v>
                </c:pt>
                <c:pt idx="8">
                  <c:v>0.280214575694223</c:v>
                </c:pt>
                <c:pt idx="9">
                  <c:v>0.337170865984138</c:v>
                </c:pt>
                <c:pt idx="10">
                  <c:v>0.383013051474884</c:v>
                </c:pt>
                <c:pt idx="11">
                  <c:v>0.433808419382123</c:v>
                </c:pt>
                <c:pt idx="12">
                  <c:v>0.484594399637407</c:v>
                </c:pt>
                <c:pt idx="13">
                  <c:v>0.53595243827822</c:v>
                </c:pt>
                <c:pt idx="14">
                  <c:v>0.586871061999972</c:v>
                </c:pt>
                <c:pt idx="15">
                  <c:v>0.634342381681938</c:v>
                </c:pt>
                <c:pt idx="16">
                  <c:v>0.677279211188738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ROW!$AA$508</c:f>
              <c:strCache>
                <c:ptCount val="1"/>
                <c:pt idx="0">
                  <c:v>CO2 Emissions (0 - 4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ROW!$AB$508:$AR$508</c:f>
              <c:numCache>
                <c:formatCode>#,##0.000</c:formatCode>
                <c:ptCount val="17"/>
                <c:pt idx="0">
                  <c:v>0.210562733333333</c:v>
                </c:pt>
                <c:pt idx="1">
                  <c:v>0.266717</c:v>
                </c:pt>
                <c:pt idx="2">
                  <c:v>0.338382</c:v>
                </c:pt>
                <c:pt idx="3">
                  <c:v>0.363592533333333</c:v>
                </c:pt>
                <c:pt idx="4">
                  <c:v>0.4136374</c:v>
                </c:pt>
                <c:pt idx="5">
                  <c:v>0.5507942</c:v>
                </c:pt>
                <c:pt idx="6">
                  <c:v>0.564080733333333</c:v>
                </c:pt>
                <c:pt idx="7">
                  <c:v>0.664442533333333</c:v>
                </c:pt>
                <c:pt idx="8">
                  <c:v>0.739208066666667</c:v>
                </c:pt>
                <c:pt idx="9">
                  <c:v>0.763854716759175</c:v>
                </c:pt>
                <c:pt idx="10">
                  <c:v>0.827691636659953</c:v>
                </c:pt>
                <c:pt idx="11">
                  <c:v>0.875173201278379</c:v>
                </c:pt>
                <c:pt idx="12">
                  <c:v>0.886099176890794</c:v>
                </c:pt>
                <c:pt idx="13">
                  <c:v>0.921086647787525</c:v>
                </c:pt>
                <c:pt idx="14">
                  <c:v>0.943028969646238</c:v>
                </c:pt>
                <c:pt idx="15">
                  <c:v>0.927136239257878</c:v>
                </c:pt>
                <c:pt idx="16">
                  <c:v>0.909212841603492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ROW!$AA$507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ROW!$AB$507:$AR$507</c:f>
              <c:numCache>
                <c:formatCode>#,##0.000</c:formatCode>
                <c:ptCount val="17"/>
                <c:pt idx="0">
                  <c:v>0.184141635767619</c:v>
                </c:pt>
                <c:pt idx="1">
                  <c:v>0.145741635767619</c:v>
                </c:pt>
                <c:pt idx="2">
                  <c:v>0.237741635767619</c:v>
                </c:pt>
                <c:pt idx="3">
                  <c:v>0.212141635767619</c:v>
                </c:pt>
                <c:pt idx="4">
                  <c:v>0.278141635767619</c:v>
                </c:pt>
                <c:pt idx="5">
                  <c:v>0.282941635767619</c:v>
                </c:pt>
                <c:pt idx="6">
                  <c:v>0.284589290618897</c:v>
                </c:pt>
                <c:pt idx="7">
                  <c:v>0.350262093544006</c:v>
                </c:pt>
                <c:pt idx="8">
                  <c:v>0.387973523139954</c:v>
                </c:pt>
                <c:pt idx="9">
                  <c:v>0.436459398269653</c:v>
                </c:pt>
                <c:pt idx="10">
                  <c:v>0.489414548873901</c:v>
                </c:pt>
                <c:pt idx="11">
                  <c:v>0.541863822937012</c:v>
                </c:pt>
                <c:pt idx="12">
                  <c:v>0.592993974685669</c:v>
                </c:pt>
                <c:pt idx="13">
                  <c:v>0.645321273803711</c:v>
                </c:pt>
                <c:pt idx="14">
                  <c:v>0.697778797149658</c:v>
                </c:pt>
                <c:pt idx="15">
                  <c:v>0.750726127624512</c:v>
                </c:pt>
                <c:pt idx="16">
                  <c:v>0.803888893127441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ROW!$AA$512</c:f>
              <c:strCache>
                <c:ptCount val="1"/>
                <c:pt idx="0">
                  <c:v>GDP (0 - 25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ROW!$AB$512:$AR$512</c:f>
              <c:numCache>
                <c:formatCode>#,##0.000</c:formatCode>
                <c:ptCount val="17"/>
                <c:pt idx="9">
                  <c:v>0.409731241230445</c:v>
                </c:pt>
                <c:pt idx="10">
                  <c:v>0.467684467544132</c:v>
                </c:pt>
                <c:pt idx="11">
                  <c:v>0.541107873219357</c:v>
                </c:pt>
                <c:pt idx="12">
                  <c:v>0.615393406007619</c:v>
                </c:pt>
                <c:pt idx="13">
                  <c:v>0.691146032754243</c:v>
                </c:pt>
                <c:pt idx="14">
                  <c:v>0.767013435274996</c:v>
                </c:pt>
                <c:pt idx="15">
                  <c:v>0.84362268151937</c:v>
                </c:pt>
                <c:pt idx="16">
                  <c:v>0.918286399851418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ROW!$AA$511</c:f>
              <c:strCache>
                <c:ptCount val="1"/>
                <c:pt idx="0">
                  <c:v>Population (0 - 3.5G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ROW!$AB$511:$AR$511</c:f>
              <c:numCache>
                <c:formatCode>#,##0.000</c:formatCode>
                <c:ptCount val="17"/>
                <c:pt idx="9">
                  <c:v>0.651595574937143</c:v>
                </c:pt>
                <c:pt idx="10">
                  <c:v>0.702680668012215</c:v>
                </c:pt>
                <c:pt idx="11">
                  <c:v>0.747785740091919</c:v>
                </c:pt>
                <c:pt idx="12">
                  <c:v>0.788824221508163</c:v>
                </c:pt>
                <c:pt idx="13">
                  <c:v>0.823611369676673</c:v>
                </c:pt>
                <c:pt idx="14">
                  <c:v>0.8510541005143</c:v>
                </c:pt>
                <c:pt idx="15">
                  <c:v>0.870236859939892</c:v>
                </c:pt>
                <c:pt idx="16">
                  <c:v>0.880470845412786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ROW!$AA$514</c:f>
              <c:strCache>
                <c:ptCount val="1"/>
                <c:pt idx="0">
                  <c:v>Consumption (0 - 25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ROW!$AB$514:$AR$514</c:f>
              <c:numCache>
                <c:formatCode>#,##0.000</c:formatCode>
                <c:ptCount val="17"/>
                <c:pt idx="9">
                  <c:v>0.337170865984138</c:v>
                </c:pt>
                <c:pt idx="10">
                  <c:v>0.374365300741952</c:v>
                </c:pt>
                <c:pt idx="11">
                  <c:v>0.422891579684262</c:v>
                </c:pt>
                <c:pt idx="12">
                  <c:v>0.471152494702497</c:v>
                </c:pt>
                <c:pt idx="13">
                  <c:v>0.519713410861663</c:v>
                </c:pt>
                <c:pt idx="14">
                  <c:v>0.567593144661271</c:v>
                </c:pt>
                <c:pt idx="15">
                  <c:v>0.611966534995909</c:v>
                </c:pt>
                <c:pt idx="16">
                  <c:v>0.651797251907082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ROW!$AA$513</c:f>
              <c:strCache>
                <c:ptCount val="1"/>
                <c:pt idx="0">
                  <c:v>CO2 Emissions (0 - 4000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ROW!$AB$504:$AR$504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ROW!$AB$513:$AR$513</c:f>
              <c:numCache>
                <c:formatCode>#,##0.000</c:formatCode>
                <c:ptCount val="17"/>
                <c:pt idx="9">
                  <c:v>0.763854716759175</c:v>
                </c:pt>
                <c:pt idx="10">
                  <c:v>0.820314832427135</c:v>
                </c:pt>
                <c:pt idx="11">
                  <c:v>0.867030608811122</c:v>
                </c:pt>
                <c:pt idx="12">
                  <c:v>0.878042067461496</c:v>
                </c:pt>
                <c:pt idx="13">
                  <c:v>0.912032343542918</c:v>
                </c:pt>
                <c:pt idx="14">
                  <c:v>0.933205176255955</c:v>
                </c:pt>
                <c:pt idx="15">
                  <c:v>0.918107885096585</c:v>
                </c:pt>
                <c:pt idx="16">
                  <c:v>0.900817613906079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062982"/>
        <c:axId val="92658180"/>
      </c:lineChart>
      <c:catAx>
        <c:axId val="9006298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58180"/>
        <c:crosses val="autoZero"/>
        <c:auto val="1"/>
        <c:lblAlgn val="ctr"/>
        <c:lblOffset val="100"/>
        <c:noMultiLvlLbl val="0"/>
      </c:catAx>
      <c:valAx>
        <c:axId val="9265818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06298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8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31863727455"/>
          <c:w val="0.699882249043274"/>
          <c:h val="0.807014028056112"/>
        </c:manualLayout>
      </c:layout>
      <c:lineChart>
        <c:grouping val="standard"/>
        <c:varyColors val="0"/>
        <c:ser>
          <c:idx val="0"/>
          <c:order val="0"/>
          <c:tx>
            <c:strRef>
              <c:f>ROW!$AA$562</c:f>
              <c:strCache>
                <c:ptCount val="1"/>
                <c:pt idx="0">
                  <c:v>GDP per person (0 - 8 000 $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ROW!$AB$562:$AR$562</c:f>
              <c:numCache>
                <c:formatCode>0.000</c:formatCode>
                <c:ptCount val="17"/>
                <c:pt idx="0">
                  <c:v>0.248675012123414</c:v>
                </c:pt>
                <c:pt idx="1">
                  <c:v>0.285510301219748</c:v>
                </c:pt>
                <c:pt idx="2">
                  <c:v>0.31733857060485</c:v>
                </c:pt>
                <c:pt idx="3">
                  <c:v>0.324551273038695</c:v>
                </c:pt>
                <c:pt idx="4">
                  <c:v>0.35360049725334</c:v>
                </c:pt>
                <c:pt idx="5">
                  <c:v>0.385721367477456</c:v>
                </c:pt>
                <c:pt idx="6">
                  <c:v>0.391168245934397</c:v>
                </c:pt>
                <c:pt idx="7">
                  <c:v>0.457102634252366</c:v>
                </c:pt>
                <c:pt idx="8">
                  <c:v>0.496832114225956</c:v>
                </c:pt>
                <c:pt idx="9">
                  <c:v>0.561439456398421</c:v>
                </c:pt>
                <c:pt idx="10">
                  <c:v>0.607208502840295</c:v>
                </c:pt>
                <c:pt idx="11">
                  <c:v>0.661220294610032</c:v>
                </c:pt>
                <c:pt idx="12">
                  <c:v>0.714137962134388</c:v>
                </c:pt>
                <c:pt idx="13">
                  <c:v>0.769686179544207</c:v>
                </c:pt>
                <c:pt idx="14">
                  <c:v>0.828432597691089</c:v>
                </c:pt>
                <c:pt idx="15">
                  <c:v>0.893218480663635</c:v>
                </c:pt>
                <c:pt idx="16">
                  <c:v>0.963469498207539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ROW!$AA$563</c:f>
              <c:strCache>
                <c:ptCount val="1"/>
                <c:pt idx="0">
                  <c:v>Consumption per person (0 - 8 000 $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ROW!$AB$563:$AR$563</c:f>
              <c:numCache>
                <c:formatCode>0.000</c:formatCode>
                <c:ptCount val="17"/>
                <c:pt idx="0">
                  <c:v>0.185349660461778</c:v>
                </c:pt>
                <c:pt idx="1">
                  <c:v>0.20584553734635</c:v>
                </c:pt>
                <c:pt idx="2">
                  <c:v>0.223615620997738</c:v>
                </c:pt>
                <c:pt idx="3">
                  <c:v>0.233496994457734</c:v>
                </c:pt>
                <c:pt idx="4">
                  <c:v>0.262788101382716</c:v>
                </c:pt>
                <c:pt idx="5">
                  <c:v>0.292761726804876</c:v>
                </c:pt>
                <c:pt idx="6">
                  <c:v>0.297141227772807</c:v>
                </c:pt>
                <c:pt idx="7">
                  <c:v>0.365245712992567</c:v>
                </c:pt>
                <c:pt idx="8">
                  <c:v>0.420258619258791</c:v>
                </c:pt>
                <c:pt idx="9">
                  <c:v>0.462012677244327</c:v>
                </c:pt>
                <c:pt idx="10">
                  <c:v>0.485952329900238</c:v>
                </c:pt>
                <c:pt idx="11">
                  <c:v>0.516564572959769</c:v>
                </c:pt>
                <c:pt idx="12">
                  <c:v>0.546438278001868</c:v>
                </c:pt>
                <c:pt idx="13">
                  <c:v>0.578325955301323</c:v>
                </c:pt>
                <c:pt idx="14">
                  <c:v>0.612447109826</c:v>
                </c:pt>
                <c:pt idx="15">
                  <c:v>0.6471038576336</c:v>
                </c:pt>
                <c:pt idx="16">
                  <c:v>0.682711931925767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ROW!$AA$564</c:f>
              <c:strCache>
                <c:ptCount val="1"/>
                <c:pt idx="0">
                  <c:v>Food per person (0 - 1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ROW!$AB$564:$AR$564</c:f>
              <c:numCache>
                <c:formatCode>0.000</c:formatCode>
                <c:ptCount val="17"/>
                <c:pt idx="0">
                  <c:v>0.552231151698865</c:v>
                </c:pt>
                <c:pt idx="1">
                  <c:v>0.555460801149459</c:v>
                </c:pt>
                <c:pt idx="2">
                  <c:v>0.538370937607548</c:v>
                </c:pt>
                <c:pt idx="3">
                  <c:v>0.537285350365352</c:v>
                </c:pt>
                <c:pt idx="4">
                  <c:v>0.526979662058719</c:v>
                </c:pt>
                <c:pt idx="5">
                  <c:v>0.579883306791721</c:v>
                </c:pt>
                <c:pt idx="6">
                  <c:v>0.573802695986083</c:v>
                </c:pt>
                <c:pt idx="7">
                  <c:v>0.646100007515615</c:v>
                </c:pt>
                <c:pt idx="8">
                  <c:v>0.647613293349002</c:v>
                </c:pt>
                <c:pt idx="9">
                  <c:v>0.628676548612802</c:v>
                </c:pt>
                <c:pt idx="10">
                  <c:v>0.671530247283137</c:v>
                </c:pt>
                <c:pt idx="11">
                  <c:v>0.695407689500774</c:v>
                </c:pt>
                <c:pt idx="12">
                  <c:v>0.757760558297855</c:v>
                </c:pt>
                <c:pt idx="13">
                  <c:v>0.777615300654714</c:v>
                </c:pt>
                <c:pt idx="14">
                  <c:v>0.810686612488612</c:v>
                </c:pt>
                <c:pt idx="15">
                  <c:v>0.790827843523378</c:v>
                </c:pt>
                <c:pt idx="16">
                  <c:v>0.798191657510436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ROW!$AA$565</c:f>
              <c:strCache>
                <c:ptCount val="1"/>
                <c:pt idx="0">
                  <c:v>Energy use per person (0 - 1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ROW!$AB$565:$AR$565</c:f>
              <c:numCache>
                <c:formatCode>0.000</c:formatCode>
                <c:ptCount val="17"/>
                <c:pt idx="0">
                  <c:v>0.354887337190359</c:v>
                </c:pt>
                <c:pt idx="1">
                  <c:v>0.426844840981835</c:v>
                </c:pt>
                <c:pt idx="2">
                  <c:v>0.496820593821636</c:v>
                </c:pt>
                <c:pt idx="3">
                  <c:v>0.549672647463068</c:v>
                </c:pt>
                <c:pt idx="4">
                  <c:v>0.560810635855212</c:v>
                </c:pt>
                <c:pt idx="5">
                  <c:v>0.481351840237809</c:v>
                </c:pt>
                <c:pt idx="6">
                  <c:v>0.464015621103723</c:v>
                </c:pt>
                <c:pt idx="7">
                  <c:v>0.523949579748539</c:v>
                </c:pt>
                <c:pt idx="8">
                  <c:v>0.548045671483287</c:v>
                </c:pt>
                <c:pt idx="9">
                  <c:v>0.557381476683756</c:v>
                </c:pt>
                <c:pt idx="10">
                  <c:v>0.572678727341682</c:v>
                </c:pt>
                <c:pt idx="11">
                  <c:v>0.592438108634147</c:v>
                </c:pt>
                <c:pt idx="12">
                  <c:v>0.591862282527555</c:v>
                </c:pt>
                <c:pt idx="13">
                  <c:v>0.606004485196042</c:v>
                </c:pt>
                <c:pt idx="14">
                  <c:v>0.619644978777802</c:v>
                </c:pt>
                <c:pt idx="15">
                  <c:v>0.634697898942511</c:v>
                </c:pt>
                <c:pt idx="16">
                  <c:v>0.650385628458477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ROW!$AA$538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ROW!$AB$538:$AR$538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ROW!$AA$567</c:f>
              <c:strCache>
                <c:ptCount val="1"/>
                <c:pt idx="0">
                  <c:v>GDP per person (0 - 8 000$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ROW!$AB$567:$AR$567</c:f>
              <c:numCache>
                <c:formatCode>0.000</c:formatCode>
                <c:ptCount val="17"/>
                <c:pt idx="9">
                  <c:v>0.561439456398421</c:v>
                </c:pt>
                <c:pt idx="10">
                  <c:v>0.594260574481692</c:v>
                </c:pt>
                <c:pt idx="11">
                  <c:v>0.646083501941015</c:v>
                </c:pt>
                <c:pt idx="12">
                  <c:v>0.696553659534658</c:v>
                </c:pt>
                <c:pt idx="13">
                  <c:v>0.749254678628656</c:v>
                </c:pt>
                <c:pt idx="14">
                  <c:v>0.804688472729083</c:v>
                </c:pt>
                <c:pt idx="15">
                  <c:v>0.865551175484445</c:v>
                </c:pt>
                <c:pt idx="16">
                  <c:v>0.931204679368482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ROW!$AA$568</c:f>
              <c:strCache>
                <c:ptCount val="1"/>
                <c:pt idx="0">
                  <c:v>Consumption per person (0 - 8 000$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ROW!$AB$568:$AR$568</c:f>
              <c:numCache>
                <c:formatCode>0.000</c:formatCode>
                <c:ptCount val="17"/>
                <c:pt idx="9">
                  <c:v>0.462012677244327</c:v>
                </c:pt>
                <c:pt idx="10">
                  <c:v>0.47568511277089</c:v>
                </c:pt>
                <c:pt idx="11">
                  <c:v>0.504933094242772</c:v>
                </c:pt>
                <c:pt idx="12">
                  <c:v>0.53328974795652</c:v>
                </c:pt>
                <c:pt idx="13">
                  <c:v>0.563408724321824</c:v>
                </c:pt>
                <c:pt idx="14">
                  <c:v>0.595472829684166</c:v>
                </c:pt>
                <c:pt idx="15">
                  <c:v>0.627873533187704</c:v>
                </c:pt>
                <c:pt idx="16">
                  <c:v>0.66096661245729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ROW!$AA$569</c:f>
              <c:strCache>
                <c:ptCount val="1"/>
                <c:pt idx="0">
                  <c:v>Food per person (0 - 1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ROW!$AB$569:$AR$569</c:f>
              <c:numCache>
                <c:formatCode>0.000</c:formatCode>
                <c:ptCount val="17"/>
                <c:pt idx="9">
                  <c:v>0.628676548612802</c:v>
                </c:pt>
                <c:pt idx="10">
                  <c:v>0.645894530276319</c:v>
                </c:pt>
                <c:pt idx="11">
                  <c:v>0.669683805334993</c:v>
                </c:pt>
                <c:pt idx="12">
                  <c:v>0.730504951912201</c:v>
                </c:pt>
                <c:pt idx="13">
                  <c:v>0.750291730725608</c:v>
                </c:pt>
                <c:pt idx="14">
                  <c:v>0.7827157399247</c:v>
                </c:pt>
                <c:pt idx="15">
                  <c:v>0.763885639187836</c:v>
                </c:pt>
                <c:pt idx="16">
                  <c:v>0.771181469026004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ROW!$AA$570</c:f>
              <c:strCache>
                <c:ptCount val="1"/>
                <c:pt idx="0">
                  <c:v>Energy use per person (0 - 1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ROW!$AB$561:$AR$561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ROW!$AB$570:$AR$570</c:f>
              <c:numCache>
                <c:formatCode>0.000</c:formatCode>
                <c:ptCount val="17"/>
                <c:pt idx="9">
                  <c:v>0.557381476683756</c:v>
                </c:pt>
                <c:pt idx="10">
                  <c:v>0.561057066722379</c:v>
                </c:pt>
                <c:pt idx="11">
                  <c:v>0.580095219591229</c:v>
                </c:pt>
                <c:pt idx="12">
                  <c:v>0.579442888614072</c:v>
                </c:pt>
                <c:pt idx="13">
                  <c:v>0.592742461648549</c:v>
                </c:pt>
                <c:pt idx="14">
                  <c:v>0.605403424017008</c:v>
                </c:pt>
                <c:pt idx="15">
                  <c:v>0.619284713984331</c:v>
                </c:pt>
                <c:pt idx="16">
                  <c:v>0.633611828744817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633000"/>
        <c:axId val="88002212"/>
      </c:lineChart>
      <c:catAx>
        <c:axId val="3363300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02212"/>
        <c:crosses val="autoZero"/>
        <c:auto val="1"/>
        <c:lblAlgn val="ctr"/>
        <c:lblOffset val="100"/>
        <c:noMultiLvlLbl val="0"/>
      </c:catAx>
      <c:valAx>
        <c:axId val="8800221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63300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ROW!$AA$536</c:f>
              <c:strCache>
                <c:ptCount val="1"/>
                <c:pt idx="0">
                  <c:v>Food production (0 - 2.5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ROW!$AB$536:$AR$536</c:f>
              <c:numCache>
                <c:formatCode>#,##0.000</c:formatCode>
                <c:ptCount val="17"/>
                <c:pt idx="0">
                  <c:v>0.190616574</c:v>
                </c:pt>
                <c:pt idx="1">
                  <c:v>0.2152408056</c:v>
                </c:pt>
                <c:pt idx="2">
                  <c:v>0.2355758836</c:v>
                </c:pt>
                <c:pt idx="3">
                  <c:v>0.2657638012</c:v>
                </c:pt>
                <c:pt idx="4">
                  <c:v>0.2938378052</c:v>
                </c:pt>
                <c:pt idx="5">
                  <c:v>0.3613018628</c:v>
                </c:pt>
                <c:pt idx="6">
                  <c:v>0.3954441116</c:v>
                </c:pt>
                <c:pt idx="7">
                  <c:v>0.4900089088</c:v>
                </c:pt>
                <c:pt idx="8">
                  <c:v>0.53975896</c:v>
                </c:pt>
                <c:pt idx="9">
                  <c:v>0.5735</c:v>
                </c:pt>
                <c:pt idx="10">
                  <c:v>0.6616</c:v>
                </c:pt>
                <c:pt idx="11">
                  <c:v>0.73</c:v>
                </c:pt>
                <c:pt idx="12">
                  <c:v>0.84</c:v>
                </c:pt>
                <c:pt idx="13">
                  <c:v>0.9008</c:v>
                </c:pt>
                <c:pt idx="14">
                  <c:v>0.97104</c:v>
                </c:pt>
                <c:pt idx="15">
                  <c:v>0.96904</c:v>
                </c:pt>
                <c:pt idx="16">
                  <c:v>0.9898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ROW!$AA$535</c:f>
              <c:strCache>
                <c:ptCount val="1"/>
                <c:pt idx="0">
                  <c:v>Energy use (0 - 2.2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ROW!$AB$535:$AR$535</c:f>
              <c:numCache>
                <c:formatCode>#,##0.000</c:formatCode>
                <c:ptCount val="17"/>
                <c:pt idx="0">
                  <c:v>0.139202677593968</c:v>
                </c:pt>
                <c:pt idx="1">
                  <c:v>0.187957022777327</c:v>
                </c:pt>
                <c:pt idx="2">
                  <c:v>0.247039351420541</c:v>
                </c:pt>
                <c:pt idx="3">
                  <c:v>0.308967132189535</c:v>
                </c:pt>
                <c:pt idx="4">
                  <c:v>0.355342690354128</c:v>
                </c:pt>
                <c:pt idx="5">
                  <c:v>0.340807825438203</c:v>
                </c:pt>
                <c:pt idx="6">
                  <c:v>0.363389569785655</c:v>
                </c:pt>
                <c:pt idx="7">
                  <c:v>0.451555414396043</c:v>
                </c:pt>
                <c:pt idx="8">
                  <c:v>0.519060744608353</c:v>
                </c:pt>
                <c:pt idx="9">
                  <c:v>0.577797983253059</c:v>
                </c:pt>
                <c:pt idx="10">
                  <c:v>0.64114800680667</c:v>
                </c:pt>
                <c:pt idx="11">
                  <c:v>0.706713985963792</c:v>
                </c:pt>
                <c:pt idx="12">
                  <c:v>0.74556460522653</c:v>
                </c:pt>
                <c:pt idx="13">
                  <c:v>0.797731509463763</c:v>
                </c:pt>
                <c:pt idx="14">
                  <c:v>0.843420944502221</c:v>
                </c:pt>
                <c:pt idx="15">
                  <c:v>0.883779942850524</c:v>
                </c:pt>
                <c:pt idx="16">
                  <c:v>0.916491684944307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ROW!$AA$534</c:f>
              <c:strCache>
                <c:ptCount val="1"/>
                <c:pt idx="0">
                  <c:v>Investment share of GDP (0 - 35 %)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ROW!$AB$534:$AR$534</c:f>
              <c:numCache>
                <c:formatCode>#,##0.000</c:formatCode>
                <c:ptCount val="17"/>
                <c:pt idx="0">
                  <c:v>0.727574413814894</c:v>
                </c:pt>
                <c:pt idx="1">
                  <c:v>0.797216808270833</c:v>
                </c:pt>
                <c:pt idx="2">
                  <c:v>0.843830157518917</c:v>
                </c:pt>
                <c:pt idx="3">
                  <c:v>0.801583919927721</c:v>
                </c:pt>
                <c:pt idx="4">
                  <c:v>0.733777215295843</c:v>
                </c:pt>
                <c:pt idx="5">
                  <c:v>0.688577288541716</c:v>
                </c:pt>
                <c:pt idx="6">
                  <c:v>0.686785356712935</c:v>
                </c:pt>
                <c:pt idx="7">
                  <c:v>0.574156276491012</c:v>
                </c:pt>
                <c:pt idx="8">
                  <c:v>0.440352803145089</c:v>
                </c:pt>
                <c:pt idx="9">
                  <c:v>0.505978888073102</c:v>
                </c:pt>
                <c:pt idx="10">
                  <c:v>0.570555594626255</c:v>
                </c:pt>
                <c:pt idx="11">
                  <c:v>0.625059553112549</c:v>
                </c:pt>
                <c:pt idx="12">
                  <c:v>0.670937521977268</c:v>
                </c:pt>
                <c:pt idx="13">
                  <c:v>0.710345998625809</c:v>
                </c:pt>
                <c:pt idx="14">
                  <c:v>0.744902356112214</c:v>
                </c:pt>
                <c:pt idx="15">
                  <c:v>0.787248195655589</c:v>
                </c:pt>
                <c:pt idx="16">
                  <c:v>0.832579003884549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ROW!$AA$533</c:f>
              <c:strCache>
                <c:ptCount val="1"/>
                <c:pt idx="0">
                  <c:v>Unused bio-capacity (0 - 50 %)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ROW!$AB$533:$AR$533</c:f>
              <c:numCache>
                <c:formatCode>#,##0.000</c:formatCode>
                <c:ptCount val="17"/>
                <c:pt idx="0">
                  <c:v>0.843594285233123</c:v>
                </c:pt>
                <c:pt idx="1">
                  <c:v>0.763918073880494</c:v>
                </c:pt>
                <c:pt idx="2">
                  <c:v>0.714378584502861</c:v>
                </c:pt>
                <c:pt idx="3">
                  <c:v>0.777126067471803</c:v>
                </c:pt>
                <c:pt idx="4">
                  <c:v>0.706194296294871</c:v>
                </c:pt>
                <c:pt idx="5">
                  <c:v>0.664291793645916</c:v>
                </c:pt>
                <c:pt idx="6">
                  <c:v>0.583970904214904</c:v>
                </c:pt>
                <c:pt idx="7">
                  <c:v>0.509290718220669</c:v>
                </c:pt>
                <c:pt idx="8">
                  <c:v>0.477951937484807</c:v>
                </c:pt>
                <c:pt idx="9">
                  <c:v>0.419062341087753</c:v>
                </c:pt>
                <c:pt idx="10">
                  <c:v>0.331117080887438</c:v>
                </c:pt>
                <c:pt idx="11">
                  <c:v>0.276363257801216</c:v>
                </c:pt>
                <c:pt idx="12">
                  <c:v>0.220133466687773</c:v>
                </c:pt>
                <c:pt idx="13">
                  <c:v>0.129171282027369</c:v>
                </c:pt>
                <c:pt idx="14">
                  <c:v>0.0352236373443399</c:v>
                </c:pt>
                <c:pt idx="15">
                  <c:v>-0.0645816060542929</c:v>
                </c:pt>
                <c:pt idx="16">
                  <c:v>-0.27457372363226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ROW!$AA$537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ROW!$AB$537:$AR$537</c:f>
              <c:numCache>
                <c:formatCode>0.000</c:formatCode>
                <c:ptCount val="17"/>
                <c:pt idx="0">
                  <c:v>0.146668363708885</c:v>
                </c:pt>
                <c:pt idx="1">
                  <c:v>0.141717488584031</c:v>
                </c:pt>
                <c:pt idx="2">
                  <c:v>0.173561400975808</c:v>
                </c:pt>
                <c:pt idx="3">
                  <c:v>0.168099747170804</c:v>
                </c:pt>
                <c:pt idx="4">
                  <c:v>0.190837548528989</c:v>
                </c:pt>
                <c:pt idx="5">
                  <c:v>0.218688115633478</c:v>
                </c:pt>
                <c:pt idx="6">
                  <c:v>0.233293069616197</c:v>
                </c:pt>
                <c:pt idx="7">
                  <c:v>0.221138165313678</c:v>
                </c:pt>
                <c:pt idx="8">
                  <c:v>0.218374007665034</c:v>
                </c:pt>
                <c:pt idx="9">
                  <c:v>0.236547761217588</c:v>
                </c:pt>
                <c:pt idx="10">
                  <c:v>0.262460585320069</c:v>
                </c:pt>
                <c:pt idx="11">
                  <c:v>0.325</c:v>
                </c:pt>
                <c:pt idx="12">
                  <c:v>0.375</c:v>
                </c:pt>
                <c:pt idx="13">
                  <c:v>0.45</c:v>
                </c:pt>
                <c:pt idx="14">
                  <c:v>0.525</c:v>
                </c:pt>
                <c:pt idx="15">
                  <c:v>0.6375</c:v>
                </c:pt>
                <c:pt idx="16">
                  <c:v>0.75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ROW!$AA$543</c:f>
              <c:strCache>
                <c:ptCount val="1"/>
                <c:pt idx="0">
                  <c:v>Food production (0 - 2.5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ROW!$AB$543:$AR$543</c:f>
              <c:numCache>
                <c:formatCode>#,##0.000</c:formatCode>
                <c:ptCount val="17"/>
                <c:pt idx="9">
                  <c:v>0.5735</c:v>
                </c:pt>
                <c:pt idx="10">
                  <c:v>0.63540064</c:v>
                </c:pt>
                <c:pt idx="11">
                  <c:v>0.701092</c:v>
                </c:pt>
                <c:pt idx="12">
                  <c:v>0.806736</c:v>
                </c:pt>
                <c:pt idx="13">
                  <c:v>0.86512832</c:v>
                </c:pt>
                <c:pt idx="14">
                  <c:v>0.932586816</c:v>
                </c:pt>
                <c:pt idx="15">
                  <c:v>0.930666016</c:v>
                </c:pt>
                <c:pt idx="16">
                  <c:v>0.95060392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ROW!$AA$542</c:f>
              <c:strCache>
                <c:ptCount val="1"/>
                <c:pt idx="0">
                  <c:v>Energy use (0 - 2.2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ROW!$AB$542:$AR$542</c:f>
              <c:numCache>
                <c:formatCode>#,##0.000</c:formatCode>
                <c:ptCount val="17"/>
                <c:pt idx="9">
                  <c:v>0.577797983253059</c:v>
                </c:pt>
                <c:pt idx="10">
                  <c:v>0.627206291150496</c:v>
                </c:pt>
                <c:pt idx="11">
                  <c:v>0.690115575395609</c:v>
                </c:pt>
                <c:pt idx="12">
                  <c:v>0.72717047696274</c:v>
                </c:pt>
                <c:pt idx="13">
                  <c:v>0.776665003392544</c:v>
                </c:pt>
                <c:pt idx="14">
                  <c:v>0.819685787573978</c:v>
                </c:pt>
                <c:pt idx="15">
                  <c:v>0.857379703260338</c:v>
                </c:pt>
                <c:pt idx="16">
                  <c:v>0.887531181279416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ROW!$AA$541</c:f>
              <c:strCache>
                <c:ptCount val="1"/>
                <c:pt idx="0">
                  <c:v>Investment share of GDP (0 - 35 %),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ROW!$AB$541:$AR$541</c:f>
              <c:numCache>
                <c:formatCode>#,##0.000</c:formatCode>
                <c:ptCount val="17"/>
                <c:pt idx="9">
                  <c:v>0.505978888073102</c:v>
                </c:pt>
                <c:pt idx="10">
                  <c:v>0.570098451769112</c:v>
                </c:pt>
                <c:pt idx="11">
                  <c:v>0.624202410255406</c:v>
                </c:pt>
                <c:pt idx="12">
                  <c:v>0.669680379120126</c:v>
                </c:pt>
                <c:pt idx="13">
                  <c:v>0.708688855768666</c:v>
                </c:pt>
                <c:pt idx="14">
                  <c:v>0.742845213255071</c:v>
                </c:pt>
                <c:pt idx="15">
                  <c:v>0.784562481369874</c:v>
                </c:pt>
                <c:pt idx="16">
                  <c:v>0.829150432455977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ROW!$AA$540</c:f>
              <c:strCache>
                <c:ptCount val="1"/>
                <c:pt idx="0">
                  <c:v>Unused bio-capacity (0 - 50 %),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ROW!$AB$540:$AR$540</c:f>
              <c:numCache>
                <c:formatCode>#,##0.000</c:formatCode>
                <c:ptCount val="17"/>
                <c:pt idx="9">
                  <c:v>0.419062341087753</c:v>
                </c:pt>
                <c:pt idx="10">
                  <c:v>0.299027152190406</c:v>
                </c:pt>
                <c:pt idx="11">
                  <c:v>0.244626902571718</c:v>
                </c:pt>
                <c:pt idx="12">
                  <c:v>0.188826331258359</c:v>
                </c:pt>
                <c:pt idx="13">
                  <c:v>0.09724224784115</c:v>
                </c:pt>
                <c:pt idx="14">
                  <c:v>0.00240594648752547</c:v>
                </c:pt>
                <c:pt idx="15">
                  <c:v>-0.0986173461498276</c:v>
                </c:pt>
                <c:pt idx="16">
                  <c:v>-0.311921789368713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ROW!$AA$544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ROW!$AB$532:$AR$532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ROW!$AB$544:$AR$544</c:f>
              <c:numCache>
                <c:formatCode>0.000</c:formatCode>
                <c:ptCount val="17"/>
                <c:pt idx="9">
                  <c:v>0.236547761217588</c:v>
                </c:pt>
                <c:pt idx="10">
                  <c:v>0.257211373613668</c:v>
                </c:pt>
                <c:pt idx="11">
                  <c:v>0.3185</c:v>
                </c:pt>
                <c:pt idx="12">
                  <c:v>0.3675</c:v>
                </c:pt>
                <c:pt idx="13">
                  <c:v>0.441</c:v>
                </c:pt>
                <c:pt idx="14">
                  <c:v>0.5145</c:v>
                </c:pt>
                <c:pt idx="15">
                  <c:v>0.62475</c:v>
                </c:pt>
                <c:pt idx="16">
                  <c:v>0.735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244395"/>
        <c:axId val="98485603"/>
      </c:lineChart>
      <c:catAx>
        <c:axId val="8724439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485603"/>
        <c:crosses val="autoZero"/>
        <c:auto val="1"/>
        <c:lblAlgn val="ctr"/>
        <c:lblOffset val="100"/>
        <c:noMultiLvlLbl val="0"/>
      </c:catAx>
      <c:valAx>
        <c:axId val="9848560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24439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32021374987"/>
          <c:w val="0.711051832092179"/>
          <c:h val="0.806289178912753"/>
        </c:manualLayout>
      </c:layout>
      <c:lineChart>
        <c:grouping val="standard"/>
        <c:varyColors val="0"/>
        <c:ser>
          <c:idx val="0"/>
          <c:order val="0"/>
          <c:tx>
            <c:strRef>
              <c:f>ROW!$AA$71</c:f>
              <c:strCache>
                <c:ptCount val="1"/>
                <c:pt idx="0">
                  <c:v>People ROW Age15-64 (0 - 3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ROW!$AB$71:$AR$71</c:f>
              <c:numCache>
                <c:formatCode>#,##0.000</c:formatCode>
                <c:ptCount val="17"/>
                <c:pt idx="0">
                  <c:v>0.154318782</c:v>
                </c:pt>
                <c:pt idx="1">
                  <c:v>0.17364564</c:v>
                </c:pt>
                <c:pt idx="2">
                  <c:v>0.197846965666667</c:v>
                </c:pt>
                <c:pt idx="3">
                  <c:v>0.225425838</c:v>
                </c:pt>
                <c:pt idx="4">
                  <c:v>0.255846337</c:v>
                </c:pt>
                <c:pt idx="5">
                  <c:v>0.289674526</c:v>
                </c:pt>
                <c:pt idx="6">
                  <c:v>0.327717768666667</c:v>
                </c:pt>
                <c:pt idx="7">
                  <c:v>0.369447728666667</c:v>
                </c:pt>
                <c:pt idx="8">
                  <c:v>0.415050264</c:v>
                </c:pt>
                <c:pt idx="9">
                  <c:v>0.484295190333333</c:v>
                </c:pt>
                <c:pt idx="10">
                  <c:v>0.533657921333334</c:v>
                </c:pt>
                <c:pt idx="11">
                  <c:v>0.5841426</c:v>
                </c:pt>
                <c:pt idx="12">
                  <c:v>0.628510992</c:v>
                </c:pt>
                <c:pt idx="13">
                  <c:v>0.667813003333333</c:v>
                </c:pt>
                <c:pt idx="14">
                  <c:v>0.701153386</c:v>
                </c:pt>
                <c:pt idx="15">
                  <c:v>0.729597479</c:v>
                </c:pt>
                <c:pt idx="16">
                  <c:v>0.751342995666667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ROW!$AA$72</c:f>
              <c:strCache>
                <c:ptCount val="1"/>
                <c:pt idx="0">
                  <c:v>Support burden (pop/age15-64) (0 - 1.9)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ROW!$AB$72:$AR$72</c:f>
              <c:numCache>
                <c:formatCode>#,##0.000</c:formatCode>
                <c:ptCount val="17"/>
                <c:pt idx="0">
                  <c:v>0.981038664200875</c:v>
                </c:pt>
                <c:pt idx="1">
                  <c:v>0.978751548975299</c:v>
                </c:pt>
                <c:pt idx="2">
                  <c:v>0.970029585004317</c:v>
                </c:pt>
                <c:pt idx="3">
                  <c:v>0.962392628376709</c:v>
                </c:pt>
                <c:pt idx="4">
                  <c:v>0.955872057536643</c:v>
                </c:pt>
                <c:pt idx="5">
                  <c:v>0.943375171395068</c:v>
                </c:pt>
                <c:pt idx="6">
                  <c:v>0.922332883004001</c:v>
                </c:pt>
                <c:pt idx="7">
                  <c:v>0.90036039281049</c:v>
                </c:pt>
                <c:pt idx="8">
                  <c:v>0.880741710113081</c:v>
                </c:pt>
                <c:pt idx="9">
                  <c:v>0.826154283586113</c:v>
                </c:pt>
                <c:pt idx="10">
                  <c:v>0.809714861189614</c:v>
                </c:pt>
                <c:pt idx="11">
                  <c:v>0.788187685336065</c:v>
                </c:pt>
                <c:pt idx="12">
                  <c:v>0.773569904427386</c:v>
                </c:pt>
                <c:pt idx="13">
                  <c:v>0.760805882691063</c:v>
                </c:pt>
                <c:pt idx="14">
                  <c:v>0.749266363185884</c:v>
                </c:pt>
                <c:pt idx="15">
                  <c:v>0.736616734468806</c:v>
                </c:pt>
                <c:pt idx="16">
                  <c:v>0.723880997286143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ROW!$AA$75</c:f>
              <c:strCache>
                <c:ptCount val="1"/>
                <c:pt idx="0">
                  <c:v>People ROW Age15-64 (0 - 3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ROW!$AB$75:$AR$75</c:f>
              <c:numCache>
                <c:formatCode>#,##0.000</c:formatCode>
                <c:ptCount val="17"/>
                <c:pt idx="9">
                  <c:v>0.484295190333333</c:v>
                </c:pt>
                <c:pt idx="10">
                  <c:v>0.522984762906667</c:v>
                </c:pt>
                <c:pt idx="11">
                  <c:v>0.572459748</c:v>
                </c:pt>
                <c:pt idx="12">
                  <c:v>0.61594077216</c:v>
                </c:pt>
                <c:pt idx="13">
                  <c:v>0.654456743266667</c:v>
                </c:pt>
                <c:pt idx="14">
                  <c:v>0.68713031828</c:v>
                </c:pt>
                <c:pt idx="15">
                  <c:v>0.71500552942</c:v>
                </c:pt>
                <c:pt idx="16">
                  <c:v>0.736316135753333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ROW!$AA$76</c:f>
              <c:strCache>
                <c:ptCount val="1"/>
                <c:pt idx="0">
                  <c:v>Support burden (pop/age15-64) (0 - 1.9)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ROW!$AB$76:$AR$76</c:f>
              <c:numCache>
                <c:formatCode>#,##0.000</c:formatCode>
                <c:ptCount val="17"/>
                <c:pt idx="9">
                  <c:v>0.826154283586113</c:v>
                </c:pt>
                <c:pt idx="10">
                  <c:v>0.825015595528042</c:v>
                </c:pt>
                <c:pt idx="11">
                  <c:v>0.80209426796691</c:v>
                </c:pt>
                <c:pt idx="12">
                  <c:v>0.78638364586628</c:v>
                </c:pt>
                <c:pt idx="13">
                  <c:v>0.772742102253751</c:v>
                </c:pt>
                <c:pt idx="14">
                  <c:v>0.760521061814392</c:v>
                </c:pt>
                <c:pt idx="15">
                  <c:v>0.747345222719073</c:v>
                </c:pt>
                <c:pt idx="16">
                  <c:v>0.734249823608972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597269"/>
        <c:axId val="38994894"/>
      </c:lineChart>
      <c:catAx>
        <c:axId val="9559726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994894"/>
        <c:crosses val="autoZero"/>
        <c:auto val="1"/>
        <c:lblAlgn val="ctr"/>
        <c:lblOffset val="100"/>
        <c:noMultiLvlLbl val="0"/>
      </c:catAx>
      <c:valAx>
        <c:axId val="3899489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59726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1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ROW!$AA$109</c:f>
              <c:strCache>
                <c:ptCount val="1"/>
                <c:pt idx="0">
                  <c:v>Labor productivity (0 - 12000 $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ROW!$AB$109:$AR$109</c:f>
              <c:numCache>
                <c:formatCode>#,##0.000</c:formatCode>
                <c:ptCount val="17"/>
                <c:pt idx="0">
                  <c:v>0.309015748837341</c:v>
                </c:pt>
                <c:pt idx="1">
                  <c:v>0.353961956118495</c:v>
                </c:pt>
                <c:pt idx="2">
                  <c:v>0.389915215802935</c:v>
                </c:pt>
                <c:pt idx="3">
                  <c:v>0.39563795342344</c:v>
                </c:pt>
                <c:pt idx="4">
                  <c:v>0.428129324150338</c:v>
                </c:pt>
                <c:pt idx="5">
                  <c:v>0.460914617462727</c:v>
                </c:pt>
                <c:pt idx="6">
                  <c:v>0.456997292282235</c:v>
                </c:pt>
                <c:pt idx="7">
                  <c:v>0.521305669284882</c:v>
                </c:pt>
                <c:pt idx="8">
                  <c:v>0.554268970168457</c:v>
                </c:pt>
                <c:pt idx="9">
                  <c:v>0.587525108378564</c:v>
                </c:pt>
                <c:pt idx="10">
                  <c:v>0.622776614881278</c:v>
                </c:pt>
                <c:pt idx="11">
                  <c:v>0.660143211774155</c:v>
                </c:pt>
                <c:pt idx="12">
                  <c:v>0.699751804480604</c:v>
                </c:pt>
                <c:pt idx="13">
                  <c:v>0.741736912749441</c:v>
                </c:pt>
                <c:pt idx="14">
                  <c:v>0.786241127514407</c:v>
                </c:pt>
                <c:pt idx="15">
                  <c:v>0.833415595165272</c:v>
                </c:pt>
                <c:pt idx="16">
                  <c:v>0.883420530875188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ROW!$AA$111</c:f>
              <c:strCache>
                <c:ptCount val="1"/>
                <c:pt idx="0">
                  <c:v>Growth in productivity (0 - 3 %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cat>
            <c:strRef>
              <c:f>ROW!$B$95:$R$95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ROW!$AB$111:$AR$111</c:f>
              <c:numCache>
                <c:formatCode>#,##0.000</c:formatCode>
                <c:ptCount val="17"/>
                <c:pt idx="1">
                  <c:v>0.969663788987275</c:v>
                </c:pt>
                <c:pt idx="2">
                  <c:v>0.677158643049274</c:v>
                </c:pt>
                <c:pt idx="3">
                  <c:v>0.0978458459440705</c:v>
                </c:pt>
                <c:pt idx="4">
                  <c:v>0.547493323896271</c:v>
                </c:pt>
                <c:pt idx="5">
                  <c:v>0.510520092302403</c:v>
                </c:pt>
                <c:pt idx="6">
                  <c:v>-0.0566601713502705</c:v>
                </c:pt>
                <c:pt idx="7">
                  <c:v>0.938129220000299</c:v>
                </c:pt>
                <c:pt idx="8">
                  <c:v>0.421547955780507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ROW!$AA$112</c:f>
              <c:strCache>
                <c:ptCount val="1"/>
                <c:pt idx="0">
                  <c:v>Labor productivity (0 - 12000 $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ROW!$AB$112:$AR$112</c:f>
              <c:numCache>
                <c:formatCode>#,##0.000</c:formatCode>
                <c:ptCount val="17"/>
                <c:pt idx="9">
                  <c:v>0.587525108378564</c:v>
                </c:pt>
                <c:pt idx="10">
                  <c:v>0.621014039556142</c:v>
                </c:pt>
                <c:pt idx="11">
                  <c:v>0.656411839810843</c:v>
                </c:pt>
                <c:pt idx="12">
                  <c:v>0.693827314680061</c:v>
                </c:pt>
                <c:pt idx="13">
                  <c:v>0.733375471616824</c:v>
                </c:pt>
                <c:pt idx="14">
                  <c:v>0.775177873498983</c:v>
                </c:pt>
                <c:pt idx="15">
                  <c:v>0.819363012288425</c:v>
                </c:pt>
                <c:pt idx="16">
                  <c:v>0.866066703988865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ROW!$AA$113</c:f>
              <c:strCache>
                <c:ptCount val="1"/>
                <c:pt idx="0">
                  <c:v>Growth in productivity (0 - 3 %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ROW!$AB$113:$AR$113</c:f>
              <c:numCache>
                <c:formatCode>#,##0.000</c:formatCode>
                <c:ptCount val="17"/>
                <c:pt idx="9">
                  <c:v>0.4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963349"/>
        <c:axId val="29027019"/>
      </c:lineChart>
      <c:catAx>
        <c:axId val="5796334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027019"/>
        <c:crosses val="autoZero"/>
        <c:auto val="1"/>
        <c:lblAlgn val="ctr"/>
        <c:lblOffset val="100"/>
        <c:noMultiLvlLbl val="0"/>
      </c:catAx>
      <c:valAx>
        <c:axId val="2902701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6334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2"/>
          <c:y val="0.11170855551453"/>
          <c:w val="0.227466586185565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41005802708"/>
          <c:w val="0.7110662506882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ROW!$AA$135</c:f>
              <c:strCache>
                <c:ptCount val="1"/>
                <c:pt idx="0">
                  <c:v>GDP ROW (0 - 25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ROW!$AB$135:$AR$135</c:f>
              <c:numCache>
                <c:formatCode>#,##0.000</c:formatCode>
                <c:ptCount val="17"/>
                <c:pt idx="0">
                  <c:v>0.0686691849303309</c:v>
                </c:pt>
                <c:pt idx="1">
                  <c:v>0.0885080885844211</c:v>
                </c:pt>
                <c:pt idx="2">
                  <c:v>0.111086700931979</c:v>
                </c:pt>
                <c:pt idx="3">
                  <c:v>0.128429304760921</c:v>
                </c:pt>
                <c:pt idx="4">
                  <c:v>0.157730859858456</c:v>
                </c:pt>
                <c:pt idx="5">
                  <c:v>0.192261921609581</c:v>
                </c:pt>
                <c:pt idx="6">
                  <c:v>0.215663231395357</c:v>
                </c:pt>
                <c:pt idx="7">
                  <c:v>0.277337081460033</c:v>
                </c:pt>
                <c:pt idx="8">
                  <c:v>0.331271254649414</c:v>
                </c:pt>
                <c:pt idx="9">
                  <c:v>0.409731241230445</c:v>
                </c:pt>
                <c:pt idx="10">
                  <c:v>0.478583530203676</c:v>
                </c:pt>
                <c:pt idx="11">
                  <c:v>0.555289591821272</c:v>
                </c:pt>
                <c:pt idx="12">
                  <c:v>0.633314449134568</c:v>
                </c:pt>
                <c:pt idx="13">
                  <c:v>0.713291839756414</c:v>
                </c:pt>
                <c:pt idx="14">
                  <c:v>0.793836905427625</c:v>
                </c:pt>
                <c:pt idx="15">
                  <c:v>0.875603400756288</c:v>
                </c:pt>
                <c:pt idx="16">
                  <c:v>0.955802632465729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ROW!$AA$137</c:f>
              <c:strCache>
                <c:ptCount val="1"/>
                <c:pt idx="0">
                  <c:v>Consumption (0 - 25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ROW!$AB$137:$AR$137</c:f>
              <c:numCache>
                <c:formatCode>#,##0.000</c:formatCode>
                <c:ptCount val="17"/>
                <c:pt idx="0">
                  <c:v>0.0511825052398397</c:v>
                </c:pt>
                <c:pt idx="1">
                  <c:v>0.0638120410238226</c:v>
                </c:pt>
                <c:pt idx="2">
                  <c:v>0.0782782930109879</c:v>
                </c:pt>
                <c:pt idx="3">
                  <c:v>0.0923979018205732</c:v>
                </c:pt>
                <c:pt idx="4">
                  <c:v>0.117222100968851</c:v>
                </c:pt>
                <c:pt idx="5">
                  <c:v>0.14592640417447</c:v>
                </c:pt>
                <c:pt idx="6">
                  <c:v>0.163823209139054</c:v>
                </c:pt>
                <c:pt idx="7">
                  <c:v>0.221604892351641</c:v>
                </c:pt>
                <c:pt idx="8">
                  <c:v>0.280214575694223</c:v>
                </c:pt>
                <c:pt idx="9">
                  <c:v>0.337170865984138</c:v>
                </c:pt>
                <c:pt idx="10">
                  <c:v>0.383013051474884</c:v>
                </c:pt>
                <c:pt idx="11">
                  <c:v>0.433808419382123</c:v>
                </c:pt>
                <c:pt idx="12">
                  <c:v>0.484594399637407</c:v>
                </c:pt>
                <c:pt idx="13">
                  <c:v>0.53595243827822</c:v>
                </c:pt>
                <c:pt idx="14">
                  <c:v>0.586871061999972</c:v>
                </c:pt>
                <c:pt idx="15">
                  <c:v>0.634342381681938</c:v>
                </c:pt>
                <c:pt idx="16">
                  <c:v>0.677279211188738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ROW!$AA$136</c:f>
              <c:strCache>
                <c:ptCount val="1"/>
                <c:pt idx="0">
                  <c:v>% Investment share (0 - 50%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ROW!$AB$136:$AR$136</c:f>
              <c:numCache>
                <c:formatCode>#,##0.000</c:formatCode>
                <c:ptCount val="17"/>
                <c:pt idx="0">
                  <c:v>0.509302089670426</c:v>
                </c:pt>
                <c:pt idx="1">
                  <c:v>0.558051765789583</c:v>
                </c:pt>
                <c:pt idx="2">
                  <c:v>0.590681110263242</c:v>
                </c:pt>
                <c:pt idx="3">
                  <c:v>0.561108743949404</c:v>
                </c:pt>
                <c:pt idx="4">
                  <c:v>0.51364405070709</c:v>
                </c:pt>
                <c:pt idx="5">
                  <c:v>0.482004101979201</c:v>
                </c:pt>
                <c:pt idx="6">
                  <c:v>0.480749749699055</c:v>
                </c:pt>
                <c:pt idx="7">
                  <c:v>0.401909393543708</c:v>
                </c:pt>
                <c:pt idx="8">
                  <c:v>0.308246962201562</c:v>
                </c:pt>
                <c:pt idx="9">
                  <c:v>0.354185221651171</c:v>
                </c:pt>
                <c:pt idx="10">
                  <c:v>0.399388916238379</c:v>
                </c:pt>
                <c:pt idx="11">
                  <c:v>0.437541687178784</c:v>
                </c:pt>
                <c:pt idx="12">
                  <c:v>0.469656265384088</c:v>
                </c:pt>
                <c:pt idx="13">
                  <c:v>0.497242199038066</c:v>
                </c:pt>
                <c:pt idx="14">
                  <c:v>0.52143164927855</c:v>
                </c:pt>
                <c:pt idx="15">
                  <c:v>0.551073736958912</c:v>
                </c:pt>
                <c:pt idx="16">
                  <c:v>0.582805302719184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ROW!$U$158</c:f>
              <c:strCache>
                <c:ptCount val="1"/>
                <c:pt idx="0">
                  <c:v>GDP ROW (0 - 25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ROW!$AB$148:$AR$148</c:f>
              <c:numCache>
                <c:formatCode>#,##0.000</c:formatCode>
                <c:ptCount val="17"/>
                <c:pt idx="9">
                  <c:v>0.409731241230445</c:v>
                </c:pt>
                <c:pt idx="10">
                  <c:v>0.467684467544132</c:v>
                </c:pt>
                <c:pt idx="11">
                  <c:v>0.541107873219357</c:v>
                </c:pt>
                <c:pt idx="12">
                  <c:v>0.615393406007619</c:v>
                </c:pt>
                <c:pt idx="13">
                  <c:v>0.691146032754243</c:v>
                </c:pt>
                <c:pt idx="14">
                  <c:v>0.767013435274996</c:v>
                </c:pt>
                <c:pt idx="15">
                  <c:v>0.84362268151937</c:v>
                </c:pt>
                <c:pt idx="16">
                  <c:v>0.918286399851418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ROW!$U$160</c:f>
              <c:strCache>
                <c:ptCount val="1"/>
                <c:pt idx="0">
                  <c:v>Consumption (0 - 25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ROW!$AB$150:$AR$150</c:f>
              <c:numCache>
                <c:formatCode>#,##0.000</c:formatCode>
                <c:ptCount val="17"/>
                <c:pt idx="9">
                  <c:v>0.337170865984138</c:v>
                </c:pt>
                <c:pt idx="10">
                  <c:v>0.374365300741952</c:v>
                </c:pt>
                <c:pt idx="11">
                  <c:v>0.422891579684262</c:v>
                </c:pt>
                <c:pt idx="12">
                  <c:v>0.471152494702497</c:v>
                </c:pt>
                <c:pt idx="13">
                  <c:v>0.519713410861663</c:v>
                </c:pt>
                <c:pt idx="14">
                  <c:v>0.567593144661271</c:v>
                </c:pt>
                <c:pt idx="15">
                  <c:v>0.611966534995909</c:v>
                </c:pt>
                <c:pt idx="16">
                  <c:v>0.651797251907082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ROW!$U$159</c:f>
              <c:strCache>
                <c:ptCount val="1"/>
                <c:pt idx="0">
                  <c:v>% Investment share (0 - 50%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ROW!$AB$149:$AR$149</c:f>
              <c:numCache>
                <c:formatCode>#,##0.000</c:formatCode>
                <c:ptCount val="17"/>
                <c:pt idx="9">
                  <c:v>0.354185221651171</c:v>
                </c:pt>
                <c:pt idx="10">
                  <c:v>0.399068916238379</c:v>
                </c:pt>
                <c:pt idx="11">
                  <c:v>0.436941687178784</c:v>
                </c:pt>
                <c:pt idx="12">
                  <c:v>0.468776265384088</c:v>
                </c:pt>
                <c:pt idx="13">
                  <c:v>0.496082199038066</c:v>
                </c:pt>
                <c:pt idx="14">
                  <c:v>0.51999164927855</c:v>
                </c:pt>
                <c:pt idx="15">
                  <c:v>0.549193736958912</c:v>
                </c:pt>
                <c:pt idx="16">
                  <c:v>0.580405302719184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570461"/>
        <c:axId val="72580670"/>
      </c:lineChart>
      <c:catAx>
        <c:axId val="9757046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580670"/>
        <c:crosses val="autoZero"/>
        <c:auto val="1"/>
        <c:lblAlgn val="ctr"/>
        <c:lblOffset val="100"/>
        <c:noMultiLvlLbl val="0"/>
      </c:catAx>
      <c:valAx>
        <c:axId val="7258067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57046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ROW!$AA$136</c:f>
              <c:strCache>
                <c:ptCount val="1"/>
                <c:pt idx="0">
                  <c:v>% Investment share (0 - 50%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ROW!$AB$136:$AR$136</c:f>
              <c:numCache>
                <c:formatCode>#,##0.000</c:formatCode>
                <c:ptCount val="17"/>
                <c:pt idx="0">
                  <c:v>0.509302089670426</c:v>
                </c:pt>
                <c:pt idx="1">
                  <c:v>0.558051765789583</c:v>
                </c:pt>
                <c:pt idx="2">
                  <c:v>0.590681110263242</c:v>
                </c:pt>
                <c:pt idx="3">
                  <c:v>0.561108743949404</c:v>
                </c:pt>
                <c:pt idx="4">
                  <c:v>0.51364405070709</c:v>
                </c:pt>
                <c:pt idx="5">
                  <c:v>0.482004101979201</c:v>
                </c:pt>
                <c:pt idx="6">
                  <c:v>0.480749749699055</c:v>
                </c:pt>
                <c:pt idx="7">
                  <c:v>0.401909393543708</c:v>
                </c:pt>
                <c:pt idx="8">
                  <c:v>0.308246962201562</c:v>
                </c:pt>
                <c:pt idx="9">
                  <c:v>0.354185221651171</c:v>
                </c:pt>
                <c:pt idx="10">
                  <c:v>0.399388916238379</c:v>
                </c:pt>
                <c:pt idx="11">
                  <c:v>0.437541687178784</c:v>
                </c:pt>
                <c:pt idx="12">
                  <c:v>0.469656265384088</c:v>
                </c:pt>
                <c:pt idx="13">
                  <c:v>0.497242199038066</c:v>
                </c:pt>
                <c:pt idx="14">
                  <c:v>0.52143164927855</c:v>
                </c:pt>
                <c:pt idx="15">
                  <c:v>0.551073736958912</c:v>
                </c:pt>
                <c:pt idx="16">
                  <c:v>0.582805302719184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ROW!$AA$138</c:f>
              <c:strCache>
                <c:ptCount val="1"/>
                <c:pt idx="0">
                  <c:v>normal + norm change inv. (0 - 50%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ROW!$AB$138:$AR$138</c:f>
              <c:numCache>
                <c:formatCode>0.00</c:formatCode>
                <c:ptCount val="17"/>
                <c:pt idx="9">
                  <c:v>0.351185221651172</c:v>
                </c:pt>
                <c:pt idx="10">
                  <c:v>0.383388916238379</c:v>
                </c:pt>
                <c:pt idx="11">
                  <c:v>0.407541687178784</c:v>
                </c:pt>
                <c:pt idx="12">
                  <c:v>0.425656265384088</c:v>
                </c:pt>
                <c:pt idx="13">
                  <c:v>0.439242199038066</c:v>
                </c:pt>
                <c:pt idx="14">
                  <c:v>0.449431649278549</c:v>
                </c:pt>
                <c:pt idx="15">
                  <c:v>0.457073736958912</c:v>
                </c:pt>
                <c:pt idx="16">
                  <c:v>0.462805302719184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ROW!$AA$139</c:f>
              <c:strCache>
                <c:ptCount val="1"/>
                <c:pt idx="0">
                  <c:v>normal + voluntary inv. (0 - 50%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ROW!$AB$139:$AR$139</c:f>
              <c:numCache>
                <c:formatCode>0.00</c:formatCode>
                <c:ptCount val="17"/>
                <c:pt idx="9">
                  <c:v>0.351185221651172</c:v>
                </c:pt>
                <c:pt idx="10">
                  <c:v>0.383388916238379</c:v>
                </c:pt>
                <c:pt idx="11">
                  <c:v>0.407541687178784</c:v>
                </c:pt>
                <c:pt idx="12">
                  <c:v>0.425656265384088</c:v>
                </c:pt>
                <c:pt idx="13">
                  <c:v>0.439242199038066</c:v>
                </c:pt>
                <c:pt idx="14">
                  <c:v>0.449431649278549</c:v>
                </c:pt>
                <c:pt idx="15">
                  <c:v>0.457073736958912</c:v>
                </c:pt>
                <c:pt idx="16">
                  <c:v>0.462805302719184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ROW!$AA$140</c:f>
              <c:strCache>
                <c:ptCount val="1"/>
                <c:pt idx="0">
                  <c:v>normal + voluntary + forced inv. (0 - 50%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ROW!$AB$140:$AR$140</c:f>
              <c:numCache>
                <c:formatCode>0.00</c:formatCode>
                <c:ptCount val="17"/>
                <c:pt idx="9">
                  <c:v>0.354185221651171</c:v>
                </c:pt>
                <c:pt idx="10">
                  <c:v>0.399388916238379</c:v>
                </c:pt>
                <c:pt idx="11">
                  <c:v>0.437541687178784</c:v>
                </c:pt>
                <c:pt idx="12">
                  <c:v>0.469656265384088</c:v>
                </c:pt>
                <c:pt idx="13">
                  <c:v>0.497242199038066</c:v>
                </c:pt>
                <c:pt idx="14">
                  <c:v>0.52143164927855</c:v>
                </c:pt>
                <c:pt idx="15">
                  <c:v>0.551073736958912</c:v>
                </c:pt>
                <c:pt idx="16">
                  <c:v>0.582805302719184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ROW!$AA$151</c:f>
              <c:strCache>
                <c:ptCount val="1"/>
                <c:pt idx="0">
                  <c:v>normal + norm change inv. (0 - 50%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ROW!$AB$151:$AR$151</c:f>
              <c:numCache>
                <c:formatCode>0.00</c:formatCode>
                <c:ptCount val="17"/>
                <c:pt idx="9">
                  <c:v>0.351185221651172</c:v>
                </c:pt>
                <c:pt idx="10">
                  <c:v>0.383388916238379</c:v>
                </c:pt>
                <c:pt idx="11">
                  <c:v>0.407541687178784</c:v>
                </c:pt>
                <c:pt idx="12">
                  <c:v>0.425656265384088</c:v>
                </c:pt>
                <c:pt idx="13">
                  <c:v>0.439242199038066</c:v>
                </c:pt>
                <c:pt idx="14">
                  <c:v>0.449431649278549</c:v>
                </c:pt>
                <c:pt idx="15">
                  <c:v>0.457073736958912</c:v>
                </c:pt>
                <c:pt idx="16">
                  <c:v>0.462805302719184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ROW!$AA$152</c:f>
              <c:strCache>
                <c:ptCount val="1"/>
                <c:pt idx="0">
                  <c:v>normal + voluntary inv. (0 - 50%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ROW!$AB$152:$AR$152</c:f>
              <c:numCache>
                <c:formatCode>0.00</c:formatCode>
                <c:ptCount val="17"/>
                <c:pt idx="9">
                  <c:v>0.351185221651172</c:v>
                </c:pt>
                <c:pt idx="10">
                  <c:v>0.383388916238379</c:v>
                </c:pt>
                <c:pt idx="11">
                  <c:v>0.407541687178784</c:v>
                </c:pt>
                <c:pt idx="12">
                  <c:v>0.425656265384088</c:v>
                </c:pt>
                <c:pt idx="13">
                  <c:v>0.439242199038066</c:v>
                </c:pt>
                <c:pt idx="14">
                  <c:v>0.449431649278549</c:v>
                </c:pt>
                <c:pt idx="15">
                  <c:v>0.457073736958912</c:v>
                </c:pt>
                <c:pt idx="16">
                  <c:v>0.462805302719184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ROW!$AA$153</c:f>
              <c:strCache>
                <c:ptCount val="1"/>
                <c:pt idx="0">
                  <c:v>normal + voluntary + forced inv. (0 - 50%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ROW!$AB$153:$AR$153</c:f>
              <c:numCache>
                <c:formatCode>0.00</c:formatCode>
                <c:ptCount val="17"/>
                <c:pt idx="9">
                  <c:v>0.354185221651171</c:v>
                </c:pt>
                <c:pt idx="10">
                  <c:v>0.399068916238379</c:v>
                </c:pt>
                <c:pt idx="11">
                  <c:v>0.436941687178784</c:v>
                </c:pt>
                <c:pt idx="12">
                  <c:v>0.468776265384088</c:v>
                </c:pt>
                <c:pt idx="13">
                  <c:v>0.496082199038066</c:v>
                </c:pt>
                <c:pt idx="14">
                  <c:v>0.51999164927855</c:v>
                </c:pt>
                <c:pt idx="15">
                  <c:v>0.549193736958912</c:v>
                </c:pt>
                <c:pt idx="16">
                  <c:v>0.580405302719184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301771"/>
        <c:axId val="53065585"/>
      </c:lineChart>
      <c:catAx>
        <c:axId val="2630177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65585"/>
        <c:crosses val="autoZero"/>
        <c:auto val="1"/>
        <c:lblAlgn val="ctr"/>
        <c:lblOffset val="100"/>
        <c:noMultiLvlLbl val="0"/>
      </c:catAx>
      <c:valAx>
        <c:axId val="5306558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017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6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29745672566"/>
          <c:w val="0.711068448645057"/>
          <c:h val="0.806304999516488"/>
        </c:manualLayout>
      </c:layout>
      <c:lineChart>
        <c:grouping val="standard"/>
        <c:varyColors val="0"/>
        <c:ser>
          <c:idx val="0"/>
          <c:order val="0"/>
          <c:tx>
            <c:strRef>
              <c:f>ROW!$AA$209</c:f>
              <c:strCache>
                <c:ptCount val="1"/>
                <c:pt idx="0">
                  <c:v>Consumption (0 - 18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ROW!$AB$209:$AR$209</c:f>
              <c:numCache>
                <c:formatCode>#,##0.000</c:formatCode>
                <c:ptCount val="17"/>
                <c:pt idx="0">
                  <c:v>0.0710868128331106</c:v>
                </c:pt>
                <c:pt idx="1">
                  <c:v>0.0886278347553091</c:v>
                </c:pt>
                <c:pt idx="2">
                  <c:v>0.10871985140415</c:v>
                </c:pt>
                <c:pt idx="3">
                  <c:v>0.128330419195241</c:v>
                </c:pt>
                <c:pt idx="4">
                  <c:v>0.162808473567848</c:v>
                </c:pt>
                <c:pt idx="5">
                  <c:v>0.202675561353431</c:v>
                </c:pt>
                <c:pt idx="6">
                  <c:v>0.227532234915352</c:v>
                </c:pt>
                <c:pt idx="7">
                  <c:v>0.307784572710613</c:v>
                </c:pt>
                <c:pt idx="8">
                  <c:v>0.389186910686421</c:v>
                </c:pt>
                <c:pt idx="9">
                  <c:v>0.468292869422414</c:v>
                </c:pt>
                <c:pt idx="10">
                  <c:v>0.531962571492895</c:v>
                </c:pt>
                <c:pt idx="11">
                  <c:v>0.602511693586282</c:v>
                </c:pt>
                <c:pt idx="12">
                  <c:v>0.673047777274177</c:v>
                </c:pt>
                <c:pt idx="13">
                  <c:v>0.744378386497528</c:v>
                </c:pt>
                <c:pt idx="14">
                  <c:v>0.815098697222183</c:v>
                </c:pt>
                <c:pt idx="15">
                  <c:v>0.881031085669359</c:v>
                </c:pt>
                <c:pt idx="16">
                  <c:v>0.940665571095469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ROW!$AA$210</c:f>
              <c:strCache>
                <c:ptCount val="1"/>
                <c:pt idx="0">
                  <c:v>Consumption per person (0 - 6000 $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ROW!$AB$210:$AR$210</c:f>
              <c:numCache>
                <c:formatCode>#,##0.000</c:formatCode>
                <c:ptCount val="17"/>
                <c:pt idx="0">
                  <c:v>0.247132880615703</c:v>
                </c:pt>
                <c:pt idx="1">
                  <c:v>0.2744607164618</c:v>
                </c:pt>
                <c:pt idx="2">
                  <c:v>0.298154161330318</c:v>
                </c:pt>
                <c:pt idx="3">
                  <c:v>0.311329325943645</c:v>
                </c:pt>
                <c:pt idx="4">
                  <c:v>0.350384135176955</c:v>
                </c:pt>
                <c:pt idx="5">
                  <c:v>0.390348969073167</c:v>
                </c:pt>
                <c:pt idx="6">
                  <c:v>0.396188303697077</c:v>
                </c:pt>
                <c:pt idx="7">
                  <c:v>0.486994283990089</c:v>
                </c:pt>
                <c:pt idx="8">
                  <c:v>0.560344825678388</c:v>
                </c:pt>
                <c:pt idx="9">
                  <c:v>0.616016902992436</c:v>
                </c:pt>
                <c:pt idx="10">
                  <c:v>0.647936439866984</c:v>
                </c:pt>
                <c:pt idx="11">
                  <c:v>0.688752763946358</c:v>
                </c:pt>
                <c:pt idx="12">
                  <c:v>0.728584370669157</c:v>
                </c:pt>
                <c:pt idx="13">
                  <c:v>0.771101273735097</c:v>
                </c:pt>
                <c:pt idx="14">
                  <c:v>0.816596146434667</c:v>
                </c:pt>
                <c:pt idx="15">
                  <c:v>0.862805143511466</c:v>
                </c:pt>
                <c:pt idx="16">
                  <c:v>0.910282575901022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ROW!$U$215</c:f>
              <c:strCache>
                <c:ptCount val="1"/>
                <c:pt idx="0">
                  <c:v>Consumption from Your forecast (0 - 18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ROW!$AB$215:$AR$215</c:f>
              <c:numCache>
                <c:formatCode>#,##0.000</c:formatCode>
                <c:ptCount val="17"/>
                <c:pt idx="9">
                  <c:v>0.468292869422414</c:v>
                </c:pt>
                <c:pt idx="10">
                  <c:v>0.519951806586045</c:v>
                </c:pt>
                <c:pt idx="11">
                  <c:v>0.587349416228142</c:v>
                </c:pt>
                <c:pt idx="12">
                  <c:v>0.654378464864579</c:v>
                </c:pt>
                <c:pt idx="13">
                  <c:v>0.72182418175231</c:v>
                </c:pt>
                <c:pt idx="14">
                  <c:v>0.788323812029543</c:v>
                </c:pt>
                <c:pt idx="15">
                  <c:v>0.849953520827652</c:v>
                </c:pt>
                <c:pt idx="16">
                  <c:v>0.905273960982059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ROW!$U$216</c:f>
              <c:strCache>
                <c:ptCount val="1"/>
                <c:pt idx="0">
                  <c:v>Consumption per person from Your forecast (0 - 6000 $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ROW!$B$207:$R$207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ROW!$AB$216:$AR$216</c:f>
              <c:numCache>
                <c:formatCode>#,##0.000</c:formatCode>
                <c:ptCount val="17"/>
                <c:pt idx="9">
                  <c:v>0.616016902992436</c:v>
                </c:pt>
                <c:pt idx="10">
                  <c:v>0.634246817027853</c:v>
                </c:pt>
                <c:pt idx="11">
                  <c:v>0.67324412565703</c:v>
                </c:pt>
                <c:pt idx="12">
                  <c:v>0.71105299727536</c:v>
                </c:pt>
                <c:pt idx="13">
                  <c:v>0.751211632429099</c:v>
                </c:pt>
                <c:pt idx="14">
                  <c:v>0.793963772912222</c:v>
                </c:pt>
                <c:pt idx="15">
                  <c:v>0.837164710916939</c:v>
                </c:pt>
                <c:pt idx="16">
                  <c:v>0.88128881660972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63876"/>
        <c:axId val="68752794"/>
      </c:lineChart>
      <c:catAx>
        <c:axId val="5566387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752794"/>
        <c:crosses val="autoZero"/>
        <c:auto val="1"/>
        <c:lblAlgn val="ctr"/>
        <c:lblOffset val="100"/>
        <c:noMultiLvlLbl val="0"/>
      </c:catAx>
      <c:valAx>
        <c:axId val="6875279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66387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4"/>
          <c:y val="0.0858401568983478"/>
          <c:w val="0.219816062124666"/>
          <c:h val="0.54448847995995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ROW!$AA$264</c:f>
              <c:strCache>
                <c:ptCount val="1"/>
                <c:pt idx="0">
                  <c:v>Energy use (0 - 4000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ROW!$AB$264:$AR$264</c:f>
              <c:numCache>
                <c:formatCode>0.000</c:formatCode>
                <c:ptCount val="17"/>
                <c:pt idx="0">
                  <c:v>0.0765614726766826</c:v>
                </c:pt>
                <c:pt idx="1">
                  <c:v>0.10337636252753</c:v>
                </c:pt>
                <c:pt idx="2">
                  <c:v>0.135871643281297</c:v>
                </c:pt>
                <c:pt idx="3">
                  <c:v>0.169931922704244</c:v>
                </c:pt>
                <c:pt idx="4">
                  <c:v>0.195438479694771</c:v>
                </c:pt>
                <c:pt idx="5">
                  <c:v>0.187444303991011</c:v>
                </c:pt>
                <c:pt idx="6">
                  <c:v>0.19986426338211</c:v>
                </c:pt>
                <c:pt idx="7">
                  <c:v>0.248355477917824</c:v>
                </c:pt>
                <c:pt idx="8">
                  <c:v>0.285483409534594</c:v>
                </c:pt>
                <c:pt idx="9">
                  <c:v>0.317788890789182</c:v>
                </c:pt>
                <c:pt idx="10">
                  <c:v>0.352631403743668</c:v>
                </c:pt>
                <c:pt idx="11">
                  <c:v>0.388692692280086</c:v>
                </c:pt>
                <c:pt idx="12">
                  <c:v>0.410060532874591</c:v>
                </c:pt>
                <c:pt idx="13">
                  <c:v>0.43875233020507</c:v>
                </c:pt>
                <c:pt idx="14">
                  <c:v>0.463881519476221</c:v>
                </c:pt>
                <c:pt idx="15">
                  <c:v>0.486078968567788</c:v>
                </c:pt>
                <c:pt idx="16">
                  <c:v>0.504070426719369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ROW!$AA$265</c:f>
              <c:strCache>
                <c:ptCount val="1"/>
                <c:pt idx="0">
                  <c:v>GDP ROW (0 - 25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ROW!$AB$265:$AR$265</c:f>
              <c:numCache>
                <c:formatCode>0.000</c:formatCode>
                <c:ptCount val="17"/>
                <c:pt idx="0">
                  <c:v>0.0686691849303309</c:v>
                </c:pt>
                <c:pt idx="1">
                  <c:v>0.0885080885844211</c:v>
                </c:pt>
                <c:pt idx="2">
                  <c:v>0.111086700931979</c:v>
                </c:pt>
                <c:pt idx="3">
                  <c:v>0.128429304760921</c:v>
                </c:pt>
                <c:pt idx="4">
                  <c:v>0.157730859858456</c:v>
                </c:pt>
                <c:pt idx="5">
                  <c:v>0.192261921609581</c:v>
                </c:pt>
                <c:pt idx="6">
                  <c:v>0.215663231395357</c:v>
                </c:pt>
                <c:pt idx="7">
                  <c:v>0.277337081460033</c:v>
                </c:pt>
                <c:pt idx="8">
                  <c:v>0.331271254649414</c:v>
                </c:pt>
                <c:pt idx="9">
                  <c:v>0.409731241230445</c:v>
                </c:pt>
                <c:pt idx="10">
                  <c:v>0.478583530203676</c:v>
                </c:pt>
                <c:pt idx="11">
                  <c:v>0.555289591821272</c:v>
                </c:pt>
                <c:pt idx="12">
                  <c:v>0.633314449134568</c:v>
                </c:pt>
                <c:pt idx="13">
                  <c:v>0.713291839756414</c:v>
                </c:pt>
                <c:pt idx="14">
                  <c:v>0.793836905427625</c:v>
                </c:pt>
                <c:pt idx="15">
                  <c:v>0.875603400756288</c:v>
                </c:pt>
                <c:pt idx="16">
                  <c:v>0.955802632465729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ROW!$AA$266</c:f>
              <c:strCache>
                <c:ptCount val="1"/>
                <c:pt idx="0">
                  <c:v>Energy intensity (0 - 250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ROW!$AB$266:$AR$266</c:f>
              <c:numCache>
                <c:formatCode>0.000</c:formatCode>
                <c:ptCount val="17"/>
                <c:pt idx="0">
                  <c:v>0.713556489170357</c:v>
                </c:pt>
                <c:pt idx="1">
                  <c:v>0.747512154829933</c:v>
                </c:pt>
                <c:pt idx="2">
                  <c:v>0.782792638276987</c:v>
                </c:pt>
                <c:pt idx="3">
                  <c:v>0.846819429048323</c:v>
                </c:pt>
                <c:pt idx="4">
                  <c:v>0.793000349563161</c:v>
                </c:pt>
                <c:pt idx="5">
                  <c:v>0.623963151673134</c:v>
                </c:pt>
                <c:pt idx="6">
                  <c:v>0.593115144092682</c:v>
                </c:pt>
                <c:pt idx="7">
                  <c:v>0.573120280312436</c:v>
                </c:pt>
                <c:pt idx="8">
                  <c:v>0.551540103579173</c:v>
                </c:pt>
                <c:pt idx="9">
                  <c:v>0.496386093221256</c:v>
                </c:pt>
                <c:pt idx="10">
                  <c:v>0.471566788560193</c:v>
                </c:pt>
                <c:pt idx="11">
                  <c:v>0.447988449132183</c:v>
                </c:pt>
                <c:pt idx="12">
                  <c:v>0.41438931544727</c:v>
                </c:pt>
                <c:pt idx="13">
                  <c:v>0.393669849674906</c:v>
                </c:pt>
                <c:pt idx="14">
                  <c:v>0.373986357191161</c:v>
                </c:pt>
                <c:pt idx="15">
                  <c:v>0.355287039331603</c:v>
                </c:pt>
                <c:pt idx="16">
                  <c:v>0.337522687365023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ROW!$AA$271</c:f>
              <c:strCache>
                <c:ptCount val="1"/>
                <c:pt idx="0">
                  <c:v>Energy use (0 - 4000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ROW!$AB$271:$AR$271</c:f>
              <c:numCache>
                <c:formatCode>0.000</c:formatCode>
                <c:ptCount val="17"/>
                <c:pt idx="9">
                  <c:v>0.317788890789182</c:v>
                </c:pt>
                <c:pt idx="10">
                  <c:v>0.344963460132773</c:v>
                </c:pt>
                <c:pt idx="11">
                  <c:v>0.379563566467585</c:v>
                </c:pt>
                <c:pt idx="12">
                  <c:v>0.399943762329507</c:v>
                </c:pt>
                <c:pt idx="13">
                  <c:v>0.427165751865899</c:v>
                </c:pt>
                <c:pt idx="14">
                  <c:v>0.450827183165688</c:v>
                </c:pt>
                <c:pt idx="15">
                  <c:v>0.471558836793186</c:v>
                </c:pt>
                <c:pt idx="16">
                  <c:v>0.488142149703679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ROW!$AA$270</c:f>
              <c:strCache>
                <c:ptCount val="1"/>
                <c:pt idx="0">
                  <c:v>GDP ROW calculated from Your forecast (0 - 25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ROW!$AB$270:$AR$270</c:f>
              <c:numCache>
                <c:formatCode>0.000</c:formatCode>
                <c:ptCount val="17"/>
                <c:pt idx="9">
                  <c:v>0.409731241230445</c:v>
                </c:pt>
                <c:pt idx="10">
                  <c:v>0.467684467544132</c:v>
                </c:pt>
                <c:pt idx="11">
                  <c:v>0.541107873219357</c:v>
                </c:pt>
                <c:pt idx="12">
                  <c:v>0.615393406007619</c:v>
                </c:pt>
                <c:pt idx="13">
                  <c:v>0.691146032754243</c:v>
                </c:pt>
                <c:pt idx="14">
                  <c:v>0.767013435274996</c:v>
                </c:pt>
                <c:pt idx="15">
                  <c:v>0.84362268151937</c:v>
                </c:pt>
                <c:pt idx="16">
                  <c:v>0.918286399851418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ROW!$AA$272</c:f>
              <c:strCache>
                <c:ptCount val="1"/>
                <c:pt idx="0">
                  <c:v>Energy intensity (0 - 250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ROW!$AB$272:$AR$272</c:f>
              <c:numCache>
                <c:formatCode>0.000</c:formatCode>
                <c:ptCount val="17"/>
                <c:pt idx="9">
                  <c:v>0.496386093221256</c:v>
                </c:pt>
                <c:pt idx="10">
                  <c:v>0.472063174653414</c:v>
                </c:pt>
                <c:pt idx="11">
                  <c:v>0.448932079095397</c:v>
                </c:pt>
                <c:pt idx="12">
                  <c:v>0.415935571281885</c:v>
                </c:pt>
                <c:pt idx="13">
                  <c:v>0.395554728289073</c:v>
                </c:pt>
                <c:pt idx="14">
                  <c:v>0.376172546602908</c:v>
                </c:pt>
                <c:pt idx="15">
                  <c:v>0.357740091819366</c:v>
                </c:pt>
                <c:pt idx="16">
                  <c:v>0.340210827320217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965065"/>
        <c:axId val="88057356"/>
      </c:lineChart>
      <c:catAx>
        <c:axId val="2096506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57356"/>
        <c:crosses val="autoZero"/>
        <c:auto val="1"/>
        <c:lblAlgn val="ctr"/>
        <c:lblOffset val="100"/>
        <c:noMultiLvlLbl val="0"/>
      </c:catAx>
      <c:valAx>
        <c:axId val="8805735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65065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6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ROW!$A$253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ROW!$B$253:$R$253</c:f>
              <c:numCache>
                <c:formatCode>0.0</c:formatCode>
                <c:ptCount val="17"/>
                <c:pt idx="0">
                  <c:v>40.9605703634322</c:v>
                </c:pt>
                <c:pt idx="1">
                  <c:v>43.7966398895501</c:v>
                </c:pt>
                <c:pt idx="2">
                  <c:v>50.6812413892977</c:v>
                </c:pt>
                <c:pt idx="3">
                  <c:v>45.5707996047704</c:v>
                </c:pt>
                <c:pt idx="4">
                  <c:v>45.6264120678783</c:v>
                </c:pt>
                <c:pt idx="5">
                  <c:v>45.8152644703883</c:v>
                </c:pt>
                <c:pt idx="6">
                  <c:v>45.2398692073198</c:v>
                </c:pt>
                <c:pt idx="7">
                  <c:v>42.7826636105145</c:v>
                </c:pt>
                <c:pt idx="8">
                  <c:v>44.1091999448064</c:v>
                </c:pt>
                <c:pt idx="9">
                  <c:v>41</c:v>
                </c:pt>
                <c:pt idx="10">
                  <c:v>40</c:v>
                </c:pt>
                <c:pt idx="11">
                  <c:v>39</c:v>
                </c:pt>
                <c:pt idx="12">
                  <c:v>38.5</c:v>
                </c:pt>
                <c:pt idx="13">
                  <c:v>36.5</c:v>
                </c:pt>
                <c:pt idx="14">
                  <c:v>35</c:v>
                </c:pt>
                <c:pt idx="15">
                  <c:v>34.5</c:v>
                </c:pt>
                <c:pt idx="16">
                  <c:v>33.5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ROW!$A$254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ROW!$B$254:$R$254</c:f>
              <c:numCache>
                <c:formatCode>0.0</c:formatCode>
                <c:ptCount val="17"/>
                <c:pt idx="0">
                  <c:v>16.5913553783143</c:v>
                </c:pt>
                <c:pt idx="1">
                  <c:v>11.9530644486553</c:v>
                </c:pt>
                <c:pt idx="2">
                  <c:v>16.6446459468764</c:v>
                </c:pt>
                <c:pt idx="3">
                  <c:v>25.692360618172</c:v>
                </c:pt>
                <c:pt idx="4">
                  <c:v>28.1167029360936</c:v>
                </c:pt>
                <c:pt idx="5">
                  <c:v>30.5331396496164</c:v>
                </c:pt>
                <c:pt idx="6">
                  <c:v>31.9726961481807</c:v>
                </c:pt>
                <c:pt idx="7">
                  <c:v>35.0622412037396</c:v>
                </c:pt>
                <c:pt idx="8">
                  <c:v>35.9122263152921</c:v>
                </c:pt>
                <c:pt idx="9">
                  <c:v>37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39</c:v>
                </c:pt>
                <c:pt idx="14">
                  <c:v>37</c:v>
                </c:pt>
                <c:pt idx="15">
                  <c:v>34.5</c:v>
                </c:pt>
                <c:pt idx="16">
                  <c:v>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ROW!$A$257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ROW!$B$257:$R$257</c:f>
              <c:numCache>
                <c:formatCode>0.0</c:formatCode>
                <c:ptCount val="17"/>
                <c:pt idx="0">
                  <c:v>36.5662210327841</c:v>
                </c:pt>
                <c:pt idx="1">
                  <c:v>38.3470684597386</c:v>
                </c:pt>
                <c:pt idx="2">
                  <c:v>24.5308422095651</c:v>
                </c:pt>
                <c:pt idx="3">
                  <c:v>19.9802712287038</c:v>
                </c:pt>
                <c:pt idx="4">
                  <c:v>16.6935244224522</c:v>
                </c:pt>
                <c:pt idx="5">
                  <c:v>13.0439122285252</c:v>
                </c:pt>
                <c:pt idx="6">
                  <c:v>11.4730886327882</c:v>
                </c:pt>
                <c:pt idx="7">
                  <c:v>11.6070981929483</c:v>
                </c:pt>
                <c:pt idx="8">
                  <c:v>9.78586818779913</c:v>
                </c:pt>
                <c:pt idx="9">
                  <c:v>11.0380895512965</c:v>
                </c:pt>
                <c:pt idx="10">
                  <c:v>9.25157658719724</c:v>
                </c:pt>
                <c:pt idx="11">
                  <c:v>7</c:v>
                </c:pt>
                <c:pt idx="12">
                  <c:v>4.5</c:v>
                </c:pt>
                <c:pt idx="13">
                  <c:v>5.5</c:v>
                </c:pt>
                <c:pt idx="14">
                  <c:v>6</c:v>
                </c:pt>
                <c:pt idx="15">
                  <c:v>4.5</c:v>
                </c:pt>
                <c:pt idx="16">
                  <c:v>4.48029895847837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ROW!$A$256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ROW!$B$256:$R$256</c:f>
              <c:numCache>
                <c:formatCode>0.0</c:formatCode>
                <c:ptCount val="17"/>
                <c:pt idx="0">
                  <c:v>0.0151186771140261</c:v>
                </c:pt>
                <c:pt idx="1">
                  <c:v>0.234527658694774</c:v>
                </c:pt>
                <c:pt idx="2">
                  <c:v>1.20081441522849</c:v>
                </c:pt>
                <c:pt idx="3">
                  <c:v>2.03257866152165</c:v>
                </c:pt>
                <c:pt idx="4">
                  <c:v>1.92985863241648</c:v>
                </c:pt>
                <c:pt idx="5">
                  <c:v>1.86015902613094</c:v>
                </c:pt>
                <c:pt idx="6">
                  <c:v>1.98262322706343</c:v>
                </c:pt>
                <c:pt idx="7">
                  <c:v>1.7024703802505</c:v>
                </c:pt>
                <c:pt idx="8">
                  <c:v>1.45774524550105</c:v>
                </c:pt>
                <c:pt idx="9">
                  <c:v>1.5</c:v>
                </c:pt>
                <c:pt idx="10">
                  <c:v>1.25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1.01970104152163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ROW!$A$255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ROW!$B$255:$R$255</c:f>
              <c:numCache>
                <c:formatCode>0.0</c:formatCode>
                <c:ptCount val="17"/>
                <c:pt idx="0">
                  <c:v>5.86673454835539</c:v>
                </c:pt>
                <c:pt idx="1">
                  <c:v>5.66869954336124</c:v>
                </c:pt>
                <c:pt idx="2">
                  <c:v>6.9424560390323</c:v>
                </c:pt>
                <c:pt idx="3">
                  <c:v>6.72398988683217</c:v>
                </c:pt>
                <c:pt idx="4">
                  <c:v>7.63350194115955</c:v>
                </c:pt>
                <c:pt idx="5">
                  <c:v>8.74752462533911</c:v>
                </c:pt>
                <c:pt idx="6">
                  <c:v>9.33172278464786</c:v>
                </c:pt>
                <c:pt idx="7">
                  <c:v>8.84552661254713</c:v>
                </c:pt>
                <c:pt idx="8">
                  <c:v>8.73496030660134</c:v>
                </c:pt>
                <c:pt idx="9">
                  <c:v>9.46191044870352</c:v>
                </c:pt>
                <c:pt idx="10">
                  <c:v>10.4984234128028</c:v>
                </c:pt>
                <c:pt idx="11">
                  <c:v>13</c:v>
                </c:pt>
                <c:pt idx="12">
                  <c:v>15</c:v>
                </c:pt>
                <c:pt idx="13">
                  <c:v>18</c:v>
                </c:pt>
                <c:pt idx="14">
                  <c:v>21</c:v>
                </c:pt>
                <c:pt idx="15">
                  <c:v>25.5</c:v>
                </c:pt>
                <c:pt idx="16">
                  <c:v>30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ROW!$U$269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ROW!$B$269:$R$269</c:f>
              <c:numCache>
                <c:formatCode>#,##0.00</c:formatCode>
                <c:ptCount val="17"/>
                <c:pt idx="9">
                  <c:v>41</c:v>
                </c:pt>
                <c:pt idx="10">
                  <c:v>39.2</c:v>
                </c:pt>
                <c:pt idx="11">
                  <c:v>38.22</c:v>
                </c:pt>
                <c:pt idx="12">
                  <c:v>37.73</c:v>
                </c:pt>
                <c:pt idx="13">
                  <c:v>35.77</c:v>
                </c:pt>
                <c:pt idx="14">
                  <c:v>34.3</c:v>
                </c:pt>
                <c:pt idx="15">
                  <c:v>33.81</c:v>
                </c:pt>
                <c:pt idx="16">
                  <c:v>32.83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ROW!$U$270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ROW!$B$270:$R$270</c:f>
              <c:numCache>
                <c:formatCode>#,##0.00</c:formatCode>
                <c:ptCount val="17"/>
                <c:pt idx="9">
                  <c:v>37</c:v>
                </c:pt>
                <c:pt idx="10">
                  <c:v>38.22</c:v>
                </c:pt>
                <c:pt idx="11">
                  <c:v>39.2</c:v>
                </c:pt>
                <c:pt idx="12">
                  <c:v>40.18</c:v>
                </c:pt>
                <c:pt idx="13">
                  <c:v>38.22</c:v>
                </c:pt>
                <c:pt idx="14">
                  <c:v>36.26</c:v>
                </c:pt>
                <c:pt idx="15">
                  <c:v>33.81</c:v>
                </c:pt>
                <c:pt idx="16">
                  <c:v>30.38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ROW!$U$271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ROW!$B$271:$R$271</c:f>
              <c:numCache>
                <c:formatCode>#,##0.00</c:formatCode>
                <c:ptCount val="17"/>
                <c:pt idx="9">
                  <c:v>9.46191044870352</c:v>
                </c:pt>
                <c:pt idx="10">
                  <c:v>10.2884549445467</c:v>
                </c:pt>
                <c:pt idx="11">
                  <c:v>12.74</c:v>
                </c:pt>
                <c:pt idx="12">
                  <c:v>14.7</c:v>
                </c:pt>
                <c:pt idx="13">
                  <c:v>17.64</c:v>
                </c:pt>
                <c:pt idx="14">
                  <c:v>20.58</c:v>
                </c:pt>
                <c:pt idx="15">
                  <c:v>24.99</c:v>
                </c:pt>
                <c:pt idx="16">
                  <c:v>29.4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ROW!$U$272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ROW!$B$272:$R$272</c:f>
              <c:numCache>
                <c:formatCode>#,##0.00</c:formatCode>
                <c:ptCount val="17"/>
                <c:pt idx="9">
                  <c:v>1.5</c:v>
                </c:pt>
                <c:pt idx="10">
                  <c:v>1.225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0.999307020691202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ROW!$U$273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ROW!$B$273:$R$273</c:f>
              <c:numCache>
                <c:formatCode>#,##0.00</c:formatCode>
                <c:ptCount val="17"/>
                <c:pt idx="9">
                  <c:v>11.0380895512965</c:v>
                </c:pt>
                <c:pt idx="10">
                  <c:v>11.0665450554533</c:v>
                </c:pt>
                <c:pt idx="11">
                  <c:v>8.86</c:v>
                </c:pt>
                <c:pt idx="12">
                  <c:v>6.41</c:v>
                </c:pt>
                <c:pt idx="13">
                  <c:v>7.39</c:v>
                </c:pt>
                <c:pt idx="14">
                  <c:v>7.88000000000001</c:v>
                </c:pt>
                <c:pt idx="15">
                  <c:v>6.41</c:v>
                </c:pt>
                <c:pt idx="16">
                  <c:v>6.3906929793088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277324"/>
        <c:axId val="86734461"/>
      </c:lineChart>
      <c:catAx>
        <c:axId val="3227732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34461"/>
        <c:crosses val="autoZero"/>
        <c:auto val="1"/>
        <c:lblAlgn val="ctr"/>
        <c:lblOffset val="100"/>
        <c:noMultiLvlLbl val="0"/>
      </c:catAx>
      <c:valAx>
        <c:axId val="86734461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277324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ROW!$AA$381</c:f>
              <c:strCache>
                <c:ptCount val="1"/>
                <c:pt idx="0">
                  <c:v>CO2 Emissions (0 - 6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ROW!$AB$381:$AR$381</c:f>
              <c:numCache>
                <c:formatCode>#,##0.000</c:formatCode>
                <c:ptCount val="17"/>
                <c:pt idx="0">
                  <c:v>0.140375155555556</c:v>
                </c:pt>
                <c:pt idx="1">
                  <c:v>0.177811333333333</c:v>
                </c:pt>
                <c:pt idx="2">
                  <c:v>0.225588</c:v>
                </c:pt>
                <c:pt idx="3">
                  <c:v>0.242395022222222</c:v>
                </c:pt>
                <c:pt idx="4">
                  <c:v>0.275758266666667</c:v>
                </c:pt>
                <c:pt idx="5">
                  <c:v>0.367196133333333</c:v>
                </c:pt>
                <c:pt idx="6">
                  <c:v>0.376053822222222</c:v>
                </c:pt>
                <c:pt idx="7">
                  <c:v>0.442961688888889</c:v>
                </c:pt>
                <c:pt idx="8">
                  <c:v>0.492805377777778</c:v>
                </c:pt>
                <c:pt idx="9">
                  <c:v>0.50923647783945</c:v>
                </c:pt>
                <c:pt idx="10">
                  <c:v>0.551794424439968</c:v>
                </c:pt>
                <c:pt idx="11">
                  <c:v>0.583448800852253</c:v>
                </c:pt>
                <c:pt idx="12">
                  <c:v>0.590732784593862</c:v>
                </c:pt>
                <c:pt idx="13">
                  <c:v>0.614057765191684</c:v>
                </c:pt>
                <c:pt idx="14">
                  <c:v>0.628685979764159</c:v>
                </c:pt>
                <c:pt idx="15">
                  <c:v>0.618090826171918</c:v>
                </c:pt>
                <c:pt idx="16">
                  <c:v>0.606141894402328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ROW!$AA$382</c:f>
              <c:strCache>
                <c:ptCount val="1"/>
                <c:pt idx="0">
                  <c:v>Energy use (0 - 2.5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ROW!$AB$382:$AR$382</c:f>
              <c:numCache>
                <c:formatCode>#,##0.000</c:formatCode>
                <c:ptCount val="17"/>
                <c:pt idx="0">
                  <c:v>0.122498356282692</c:v>
                </c:pt>
                <c:pt idx="1">
                  <c:v>0.165402180044048</c:v>
                </c:pt>
                <c:pt idx="2">
                  <c:v>0.217394629250076</c:v>
                </c:pt>
                <c:pt idx="3">
                  <c:v>0.271891076326791</c:v>
                </c:pt>
                <c:pt idx="4">
                  <c:v>0.312701567511633</c:v>
                </c:pt>
                <c:pt idx="5">
                  <c:v>0.299910886385618</c:v>
                </c:pt>
                <c:pt idx="6">
                  <c:v>0.319782821411377</c:v>
                </c:pt>
                <c:pt idx="7">
                  <c:v>0.397368764668518</c:v>
                </c:pt>
                <c:pt idx="8">
                  <c:v>0.456773455255351</c:v>
                </c:pt>
                <c:pt idx="9">
                  <c:v>0.508462225262692</c:v>
                </c:pt>
                <c:pt idx="10">
                  <c:v>0.56421024598987</c:v>
                </c:pt>
                <c:pt idx="11">
                  <c:v>0.621908307648137</c:v>
                </c:pt>
                <c:pt idx="12">
                  <c:v>0.656096852599346</c:v>
                </c:pt>
                <c:pt idx="13">
                  <c:v>0.702003728328112</c:v>
                </c:pt>
                <c:pt idx="14">
                  <c:v>0.742210431161954</c:v>
                </c:pt>
                <c:pt idx="15">
                  <c:v>0.777726349708461</c:v>
                </c:pt>
                <c:pt idx="16">
                  <c:v>0.80651268275099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ROW!$AA$383</c:f>
              <c:strCache>
                <c:ptCount val="1"/>
                <c:pt idx="0">
                  <c:v>Climate intensity (0 - 5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ROW!$AB$383:$AR$383</c:f>
              <c:numCache>
                <c:formatCode>#,##0.000</c:formatCode>
                <c:ptCount val="17"/>
                <c:pt idx="0">
                  <c:v>0.55004880646049</c:v>
                </c:pt>
                <c:pt idx="1">
                  <c:v>0.516011578428233</c:v>
                </c:pt>
                <c:pt idx="2">
                  <c:v>0.498090685926926</c:v>
                </c:pt>
                <c:pt idx="3">
                  <c:v>0.42792728705382</c:v>
                </c:pt>
                <c:pt idx="4">
                  <c:v>0.423291667685919</c:v>
                </c:pt>
                <c:pt idx="5">
                  <c:v>0.587688383453266</c:v>
                </c:pt>
                <c:pt idx="6">
                  <c:v>0.564463825386228</c:v>
                </c:pt>
                <c:pt idx="7">
                  <c:v>0.535073789315157</c:v>
                </c:pt>
                <c:pt idx="8">
                  <c:v>0.517864115376618</c:v>
                </c:pt>
                <c:pt idx="9">
                  <c:v>0.480730912186548</c:v>
                </c:pt>
                <c:pt idx="10">
                  <c:v>0.469437280896066</c:v>
                </c:pt>
                <c:pt idx="11">
                  <c:v>0.45031626200358</c:v>
                </c:pt>
                <c:pt idx="12">
                  <c:v>0.432179693412138</c:v>
                </c:pt>
                <c:pt idx="13">
                  <c:v>0.419866327482302</c:v>
                </c:pt>
                <c:pt idx="14">
                  <c:v>0.406581823182365</c:v>
                </c:pt>
                <c:pt idx="15">
                  <c:v>0.381475562289661</c:v>
                </c:pt>
                <c:pt idx="16">
                  <c:v>0.360748337299176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ROW!$AA$384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ROW!$AB$384:$AR$384</c:f>
              <c:numCache>
                <c:formatCode>#,##0.000</c:formatCode>
                <c:ptCount val="17"/>
                <c:pt idx="0">
                  <c:v>0.146668363708885</c:v>
                </c:pt>
                <c:pt idx="1">
                  <c:v>0.141717488584031</c:v>
                </c:pt>
                <c:pt idx="2">
                  <c:v>0.173561400975808</c:v>
                </c:pt>
                <c:pt idx="3">
                  <c:v>0.168099747170804</c:v>
                </c:pt>
                <c:pt idx="4">
                  <c:v>0.190837548528989</c:v>
                </c:pt>
                <c:pt idx="5">
                  <c:v>0.218688115633478</c:v>
                </c:pt>
                <c:pt idx="6">
                  <c:v>0.233293069616197</c:v>
                </c:pt>
                <c:pt idx="7">
                  <c:v>0.221138165313678</c:v>
                </c:pt>
                <c:pt idx="8">
                  <c:v>0.218374007665034</c:v>
                </c:pt>
                <c:pt idx="9">
                  <c:v>0.236547761217588</c:v>
                </c:pt>
                <c:pt idx="10">
                  <c:v>0.262460585320069</c:v>
                </c:pt>
                <c:pt idx="11">
                  <c:v>0.325</c:v>
                </c:pt>
                <c:pt idx="12">
                  <c:v>0.375</c:v>
                </c:pt>
                <c:pt idx="13">
                  <c:v>0.45</c:v>
                </c:pt>
                <c:pt idx="14">
                  <c:v>0.525</c:v>
                </c:pt>
                <c:pt idx="15">
                  <c:v>0.6375</c:v>
                </c:pt>
                <c:pt idx="16">
                  <c:v>0.75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ROW!$AA$386</c:f>
              <c:strCache>
                <c:ptCount val="1"/>
                <c:pt idx="0">
                  <c:v>CO2 Emissions (0 - 6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ROW!$AB$386:$AR$386</c:f>
              <c:numCache>
                <c:formatCode>#,##0.000</c:formatCode>
                <c:ptCount val="17"/>
                <c:pt idx="9">
                  <c:v>0.50923647783945</c:v>
                </c:pt>
                <c:pt idx="10">
                  <c:v>0.546876554951424</c:v>
                </c:pt>
                <c:pt idx="11">
                  <c:v>0.578020405874081</c:v>
                </c:pt>
                <c:pt idx="12">
                  <c:v>0.585361378307664</c:v>
                </c:pt>
                <c:pt idx="13">
                  <c:v>0.608021562361945</c:v>
                </c:pt>
                <c:pt idx="14">
                  <c:v>0.622136784170637</c:v>
                </c:pt>
                <c:pt idx="15">
                  <c:v>0.612071923397723</c:v>
                </c:pt>
                <c:pt idx="16">
                  <c:v>0.600545075937386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ROW!$AA$387</c:f>
              <c:strCache>
                <c:ptCount val="1"/>
                <c:pt idx="0">
                  <c:v>Energy use (0 - 2.5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ROW!$AB$387:$AR$387</c:f>
              <c:numCache>
                <c:formatCode>#,##0.000</c:formatCode>
                <c:ptCount val="17"/>
                <c:pt idx="9">
                  <c:v>0.508462225262692</c:v>
                </c:pt>
                <c:pt idx="10">
                  <c:v>0.551941536212437</c:v>
                </c:pt>
                <c:pt idx="11">
                  <c:v>0.607301706348136</c:v>
                </c:pt>
                <c:pt idx="12">
                  <c:v>0.639910019727211</c:v>
                </c:pt>
                <c:pt idx="13">
                  <c:v>0.683465202985438</c:v>
                </c:pt>
                <c:pt idx="14">
                  <c:v>0.721323493065101</c:v>
                </c:pt>
                <c:pt idx="15">
                  <c:v>0.754494138869097</c:v>
                </c:pt>
                <c:pt idx="16">
                  <c:v>0.781027439525886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ROW!$AA$388</c:f>
              <c:strCache>
                <c:ptCount val="1"/>
                <c:pt idx="0">
                  <c:v>Climate intensity (0 - 5 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ROW!$AB$388:$AR$388</c:f>
              <c:numCache>
                <c:formatCode>#,##0.000</c:formatCode>
                <c:ptCount val="17"/>
                <c:pt idx="9">
                  <c:v>0.480730912186548</c:v>
                </c:pt>
                <c:pt idx="10">
                  <c:v>0.475595201944811</c:v>
                </c:pt>
                <c:pt idx="11">
                  <c:v>0.456856603430175</c:v>
                </c:pt>
                <c:pt idx="12">
                  <c:v>0.439082766210562</c:v>
                </c:pt>
                <c:pt idx="13">
                  <c:v>0.427015667599323</c:v>
                </c:pt>
                <c:pt idx="14">
                  <c:v>0.413996853385384</c:v>
                </c:pt>
                <c:pt idx="15">
                  <c:v>0.389392717710534</c:v>
                </c:pt>
                <c:pt idx="16">
                  <c:v>0.369080037219859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ROW!$AA$389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ROW!$AB$380:$AR$380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ROW!$AB$389:$AR$389</c:f>
              <c:numCache>
                <c:formatCode>#,##0.000</c:formatCode>
                <c:ptCount val="17"/>
                <c:pt idx="9">
                  <c:v>0.236547761217588</c:v>
                </c:pt>
                <c:pt idx="10">
                  <c:v>0.257211373613668</c:v>
                </c:pt>
                <c:pt idx="11">
                  <c:v>0.3185</c:v>
                </c:pt>
                <c:pt idx="12">
                  <c:v>0.3675</c:v>
                </c:pt>
                <c:pt idx="13">
                  <c:v>0.441</c:v>
                </c:pt>
                <c:pt idx="14">
                  <c:v>0.5145</c:v>
                </c:pt>
                <c:pt idx="15">
                  <c:v>0.62475</c:v>
                </c:pt>
                <c:pt idx="16">
                  <c:v>0.735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136671"/>
        <c:axId val="44923914"/>
      </c:lineChart>
      <c:catAx>
        <c:axId val="3113667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23914"/>
        <c:crosses val="autoZero"/>
        <c:auto val="1"/>
        <c:lblAlgn val="ctr"/>
        <c:lblOffset val="100"/>
        <c:noMultiLvlLbl val="0"/>
      </c:catAx>
      <c:valAx>
        <c:axId val="4492391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13667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403124404649"/>
          <c:w val="0.71107355426556"/>
          <c:h val="0.806344065536293"/>
        </c:manualLayout>
      </c:layout>
      <c:lineChart>
        <c:grouping val="standard"/>
        <c:varyColors val="0"/>
        <c:ser>
          <c:idx val="0"/>
          <c:order val="0"/>
          <c:tx>
            <c:strRef>
              <c:f>ROW!$AA$422</c:f>
              <c:strCache>
                <c:ptCount val="1"/>
                <c:pt idx="0">
                  <c:v>Food production (0 - 2500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ROW!$AB$422:$AR$422</c:f>
              <c:numCache>
                <c:formatCode>#,##0.000</c:formatCode>
                <c:ptCount val="17"/>
                <c:pt idx="0">
                  <c:v>0.190616574</c:v>
                </c:pt>
                <c:pt idx="1">
                  <c:v>0.2152408056</c:v>
                </c:pt>
                <c:pt idx="2">
                  <c:v>0.2355758836</c:v>
                </c:pt>
                <c:pt idx="3">
                  <c:v>0.2657638012</c:v>
                </c:pt>
                <c:pt idx="4">
                  <c:v>0.2938378052</c:v>
                </c:pt>
                <c:pt idx="5">
                  <c:v>0.3613018628</c:v>
                </c:pt>
                <c:pt idx="6">
                  <c:v>0.3954441116</c:v>
                </c:pt>
                <c:pt idx="7">
                  <c:v>0.4900089088</c:v>
                </c:pt>
                <c:pt idx="8">
                  <c:v>0.53975896</c:v>
                </c:pt>
                <c:pt idx="9">
                  <c:v>0.5735</c:v>
                </c:pt>
                <c:pt idx="10">
                  <c:v>0.6616</c:v>
                </c:pt>
                <c:pt idx="11">
                  <c:v>0.73</c:v>
                </c:pt>
                <c:pt idx="12">
                  <c:v>0.84</c:v>
                </c:pt>
                <c:pt idx="13">
                  <c:v>0.9008</c:v>
                </c:pt>
                <c:pt idx="14">
                  <c:v>0.97104</c:v>
                </c:pt>
                <c:pt idx="15">
                  <c:v>0.96904</c:v>
                </c:pt>
                <c:pt idx="16">
                  <c:v>0.9898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ROW!$AA$423</c:f>
              <c:strCache>
                <c:ptCount val="1"/>
                <c:pt idx="0">
                  <c:v>Cultivated land (0 - 700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ROW!$AB$423:$AR$423</c:f>
              <c:numCache>
                <c:formatCode>#,##0.000</c:formatCode>
                <c:ptCount val="17"/>
                <c:pt idx="0">
                  <c:v>0.379417487142857</c:v>
                </c:pt>
                <c:pt idx="1">
                  <c:v>0.375661412857143</c:v>
                </c:pt>
                <c:pt idx="2">
                  <c:v>0.377430811428571</c:v>
                </c:pt>
                <c:pt idx="3">
                  <c:v>0.415537247142857</c:v>
                </c:pt>
                <c:pt idx="4">
                  <c:v>0.449307198571429</c:v>
                </c:pt>
                <c:pt idx="5">
                  <c:v>0.550079962857143</c:v>
                </c:pt>
                <c:pt idx="6">
                  <c:v>0.545911737142857</c:v>
                </c:pt>
                <c:pt idx="7">
                  <c:v>0.625206687142857</c:v>
                </c:pt>
                <c:pt idx="8">
                  <c:v>0.640312397142857</c:v>
                </c:pt>
                <c:pt idx="9">
                  <c:v>0.642857142857143</c:v>
                </c:pt>
                <c:pt idx="10">
                  <c:v>0.664285714285714</c:v>
                </c:pt>
                <c:pt idx="11">
                  <c:v>0.68</c:v>
                </c:pt>
                <c:pt idx="12">
                  <c:v>0.711428571428571</c:v>
                </c:pt>
                <c:pt idx="13">
                  <c:v>0.735714285714286</c:v>
                </c:pt>
                <c:pt idx="14">
                  <c:v>0.732857142857143</c:v>
                </c:pt>
                <c:pt idx="15">
                  <c:v>0.701428571428571</c:v>
                </c:pt>
                <c:pt idx="16">
                  <c:v>0.678571428571429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ROW!$AA$424</c:f>
              <c:strCache>
                <c:ptCount val="1"/>
                <c:pt idx="0">
                  <c:v>Gross yield (0 - 6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ROW!$AB$424:$AR$424</c:f>
              <c:numCache>
                <c:formatCode>#,##0.000</c:formatCode>
                <c:ptCount val="17"/>
                <c:pt idx="0">
                  <c:v>0.299043270996761</c:v>
                </c:pt>
                <c:pt idx="1">
                  <c:v>0.341050538484714</c:v>
                </c:pt>
                <c:pt idx="2">
                  <c:v>0.371521709389199</c:v>
                </c:pt>
                <c:pt idx="3">
                  <c:v>0.380694486227702</c:v>
                </c:pt>
                <c:pt idx="4">
                  <c:v>0.389273655156863</c:v>
                </c:pt>
                <c:pt idx="5">
                  <c:v>0.390962491165851</c:v>
                </c:pt>
                <c:pt idx="6">
                  <c:v>0.431174828725671</c:v>
                </c:pt>
                <c:pt idx="7">
                  <c:v>0.46652087305196</c:v>
                </c:pt>
                <c:pt idx="8">
                  <c:v>0.50176304046541</c:v>
                </c:pt>
                <c:pt idx="9">
                  <c:v>0.531018518518518</c:v>
                </c:pt>
                <c:pt idx="10">
                  <c:v>0.592831541218638</c:v>
                </c:pt>
                <c:pt idx="11">
                  <c:v>0.639005602240896</c:v>
                </c:pt>
                <c:pt idx="12">
                  <c:v>0.70281124497992</c:v>
                </c:pt>
                <c:pt idx="13">
                  <c:v>0.728802588996764</c:v>
                </c:pt>
                <c:pt idx="14">
                  <c:v>0.78869395711501</c:v>
                </c:pt>
                <c:pt idx="15">
                  <c:v>0.822335369993211</c:v>
                </c:pt>
                <c:pt idx="16">
                  <c:v>0.868245614035088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ROW!$AA$425</c:f>
              <c:strCache>
                <c:ptCount val="1"/>
                <c:pt idx="0">
                  <c:v>Food per person (0 - 2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ROW!$AB$425:$AR$425</c:f>
              <c:numCache>
                <c:formatCode>#,##0.000</c:formatCode>
                <c:ptCount val="17"/>
                <c:pt idx="0">
                  <c:v>0.276115575849432</c:v>
                </c:pt>
                <c:pt idx="1">
                  <c:v>0.27773040057473</c:v>
                </c:pt>
                <c:pt idx="2">
                  <c:v>0.269185468803774</c:v>
                </c:pt>
                <c:pt idx="3">
                  <c:v>0.268642675182676</c:v>
                </c:pt>
                <c:pt idx="4">
                  <c:v>0.263489831029359</c:v>
                </c:pt>
                <c:pt idx="5">
                  <c:v>0.28994165339586</c:v>
                </c:pt>
                <c:pt idx="6">
                  <c:v>0.286901347993042</c:v>
                </c:pt>
                <c:pt idx="7">
                  <c:v>0.323050003757808</c:v>
                </c:pt>
                <c:pt idx="8">
                  <c:v>0.323806646674501</c:v>
                </c:pt>
                <c:pt idx="9">
                  <c:v>0.314338274306401</c:v>
                </c:pt>
                <c:pt idx="10">
                  <c:v>0.335765123641569</c:v>
                </c:pt>
                <c:pt idx="11">
                  <c:v>0.347703844750387</c:v>
                </c:pt>
                <c:pt idx="12">
                  <c:v>0.378880279148927</c:v>
                </c:pt>
                <c:pt idx="13">
                  <c:v>0.388807650327357</c:v>
                </c:pt>
                <c:pt idx="14">
                  <c:v>0.405343306244306</c:v>
                </c:pt>
                <c:pt idx="15">
                  <c:v>0.395413921761689</c:v>
                </c:pt>
                <c:pt idx="16">
                  <c:v>0.399095828755218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ROW!$AA$429</c:f>
              <c:strCache>
                <c:ptCount val="1"/>
                <c:pt idx="0">
                  <c:v>Food production (0 - 2500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ROW!$AB$429:$AR$429</c:f>
              <c:numCache>
                <c:formatCode>#,##0.000</c:formatCode>
                <c:ptCount val="17"/>
                <c:pt idx="9">
                  <c:v>0.5735</c:v>
                </c:pt>
                <c:pt idx="10">
                  <c:v>0.63540064</c:v>
                </c:pt>
                <c:pt idx="11">
                  <c:v>0.701092</c:v>
                </c:pt>
                <c:pt idx="12">
                  <c:v>0.806736</c:v>
                </c:pt>
                <c:pt idx="13">
                  <c:v>0.86512832</c:v>
                </c:pt>
                <c:pt idx="14">
                  <c:v>0.932586816</c:v>
                </c:pt>
                <c:pt idx="15">
                  <c:v>0.930666016</c:v>
                </c:pt>
                <c:pt idx="16">
                  <c:v>0.95060392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ROW!$AA$430</c:f>
              <c:strCache>
                <c:ptCount val="1"/>
                <c:pt idx="0">
                  <c:v>Cultivated land (0 - 700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ROW!$AB$430:$AR$430</c:f>
              <c:numCache>
                <c:formatCode>#,##0.000</c:formatCode>
                <c:ptCount val="17"/>
                <c:pt idx="9">
                  <c:v>0.642857142857143</c:v>
                </c:pt>
                <c:pt idx="10">
                  <c:v>0.651</c:v>
                </c:pt>
                <c:pt idx="11">
                  <c:v>0.6664</c:v>
                </c:pt>
                <c:pt idx="12">
                  <c:v>0.6972</c:v>
                </c:pt>
                <c:pt idx="13">
                  <c:v>0.721</c:v>
                </c:pt>
                <c:pt idx="14">
                  <c:v>0.7182</c:v>
                </c:pt>
                <c:pt idx="15">
                  <c:v>0.6874</c:v>
                </c:pt>
                <c:pt idx="16">
                  <c:v>0.665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ROW!$AA$431</c:f>
              <c:strCache>
                <c:ptCount val="1"/>
                <c:pt idx="0">
                  <c:v>Gross yield (0 - 6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ROW!$AB$431:$AR$431</c:f>
              <c:numCache>
                <c:formatCode>#,##0.000</c:formatCode>
                <c:ptCount val="17"/>
                <c:pt idx="9">
                  <c:v>0.531018518518518</c:v>
                </c:pt>
                <c:pt idx="10">
                  <c:v>0.580974910394265</c:v>
                </c:pt>
                <c:pt idx="11">
                  <c:v>0.626225490196078</c:v>
                </c:pt>
                <c:pt idx="12">
                  <c:v>0.688755020080321</c:v>
                </c:pt>
                <c:pt idx="13">
                  <c:v>0.714226537216829</c:v>
                </c:pt>
                <c:pt idx="14">
                  <c:v>0.77292007797271</c:v>
                </c:pt>
                <c:pt idx="15">
                  <c:v>0.805888662593347</c:v>
                </c:pt>
                <c:pt idx="16">
                  <c:v>0.850880701754386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ROW!$AA$432</c:f>
              <c:strCache>
                <c:ptCount val="1"/>
                <c:pt idx="0">
                  <c:v>Food per person (0 - 2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ROW!$AB$421:$AR$421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ROW!$AB$432:$AR$432</c:f>
              <c:numCache>
                <c:formatCode>#,##0.000</c:formatCode>
                <c:ptCount val="17"/>
                <c:pt idx="9">
                  <c:v>0.314338274306401</c:v>
                </c:pt>
                <c:pt idx="10">
                  <c:v>0.32294726513816</c:v>
                </c:pt>
                <c:pt idx="11">
                  <c:v>0.334841902667496</c:v>
                </c:pt>
                <c:pt idx="12">
                  <c:v>0.3652524759561</c:v>
                </c:pt>
                <c:pt idx="13">
                  <c:v>0.375145865362804</c:v>
                </c:pt>
                <c:pt idx="14">
                  <c:v>0.39135786996235</c:v>
                </c:pt>
                <c:pt idx="15">
                  <c:v>0.381942819593918</c:v>
                </c:pt>
                <c:pt idx="16">
                  <c:v>0.385590734513002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532648"/>
        <c:axId val="11821930"/>
      </c:lineChart>
      <c:catAx>
        <c:axId val="5653264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821930"/>
        <c:crosses val="autoZero"/>
        <c:auto val="1"/>
        <c:lblAlgn val="ctr"/>
        <c:lblOffset val="100"/>
        <c:noMultiLvlLbl val="0"/>
      </c:catAx>
      <c:valAx>
        <c:axId val="1182193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53264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7"/>
          <c:y val="0.108093212860323"/>
          <c:w val="0.230526795809913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373605596521"/>
          <c:w val="0.711068448645057"/>
          <c:h val="0.806296086216676"/>
        </c:manualLayout>
      </c:layout>
      <c:lineChart>
        <c:grouping val="standard"/>
        <c:varyColors val="0"/>
        <c:ser>
          <c:idx val="0"/>
          <c:order val="0"/>
          <c:tx>
            <c:strRef>
              <c:f>ROW!$AA$475</c:f>
              <c:strCache>
                <c:ptCount val="1"/>
                <c:pt idx="0">
                  <c:v>Total bio-capacity, ROW (0 - 3200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ROW!$AB$475:$AR$475</c:f>
              <c:numCache>
                <c:formatCode>#,##0.000</c:formatCode>
                <c:ptCount val="17"/>
                <c:pt idx="0">
                  <c:v>0.788050111382164</c:v>
                </c:pt>
                <c:pt idx="1">
                  <c:v>0.789693949612257</c:v>
                </c:pt>
                <c:pt idx="2">
                  <c:v>0.773242984315082</c:v>
                </c:pt>
                <c:pt idx="3">
                  <c:v>0.776533999421465</c:v>
                </c:pt>
                <c:pt idx="4">
                  <c:v>0.787687722063993</c:v>
                </c:pt>
                <c:pt idx="5">
                  <c:v>0.893982047807157</c:v>
                </c:pt>
                <c:pt idx="6">
                  <c:v>0.894028156758864</c:v>
                </c:pt>
                <c:pt idx="7">
                  <c:v>0.917074429954018</c:v>
                </c:pt>
                <c:pt idx="8">
                  <c:v>0.911161529799113</c:v>
                </c:pt>
                <c:pt idx="9">
                  <c:v>0.934375</c:v>
                </c:pt>
                <c:pt idx="10">
                  <c:v>0.940625</c:v>
                </c:pt>
                <c:pt idx="11">
                  <c:v>0.95</c:v>
                </c:pt>
                <c:pt idx="12">
                  <c:v>0.959375</c:v>
                </c:pt>
                <c:pt idx="13">
                  <c:v>0.9375</c:v>
                </c:pt>
                <c:pt idx="14">
                  <c:v>0.909375</c:v>
                </c:pt>
                <c:pt idx="15">
                  <c:v>0.875</c:v>
                </c:pt>
                <c:pt idx="16">
                  <c:v>0.796875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ROW!$AA$477</c:f>
              <c:strCache>
                <c:ptCount val="1"/>
                <c:pt idx="0">
                  <c:v>Nonenergy footprint (0 - 3200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ROW!$AB$477:$AR$477</c:f>
              <c:numCache>
                <c:formatCode>#,##0.000</c:formatCode>
                <c:ptCount val="17"/>
                <c:pt idx="0">
                  <c:v>0.455652826162504</c:v>
                </c:pt>
                <c:pt idx="1">
                  <c:v>0.488063209140819</c:v>
                </c:pt>
                <c:pt idx="2">
                  <c:v>0.497048870009194</c:v>
                </c:pt>
                <c:pt idx="3">
                  <c:v>0.474801592807188</c:v>
                </c:pt>
                <c:pt idx="4">
                  <c:v>0.509557433772447</c:v>
                </c:pt>
                <c:pt idx="5">
                  <c:v>0.597049578794625</c:v>
                </c:pt>
                <c:pt idx="6">
                  <c:v>0.632984941210835</c:v>
                </c:pt>
                <c:pt idx="7">
                  <c:v>0.683545682407472</c:v>
                </c:pt>
                <c:pt idx="8">
                  <c:v>0.69341582053456</c:v>
                </c:pt>
                <c:pt idx="9">
                  <c:v>0.738594312523066</c:v>
                </c:pt>
                <c:pt idx="10">
                  <c:v>0.784896497895127</c:v>
                </c:pt>
                <c:pt idx="11">
                  <c:v>0.818727452544422</c:v>
                </c:pt>
                <c:pt idx="12">
                  <c:v>0.853779727698209</c:v>
                </c:pt>
                <c:pt idx="13">
                  <c:v>0.876950961549671</c:v>
                </c:pt>
                <c:pt idx="14">
                  <c:v>0.893359252394996</c:v>
                </c:pt>
                <c:pt idx="15">
                  <c:v>0.903254452648753</c:v>
                </c:pt>
                <c:pt idx="16">
                  <c:v>0.906275468009729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ROW!$AA$480</c:f>
              <c:strCache>
                <c:ptCount val="1"/>
                <c:pt idx="0">
                  <c:v>Unused bio-capacity (0 - 3200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ROW!$AB$480:$AR$480</c:f>
              <c:numCache>
                <c:formatCode>#,##0.000</c:formatCode>
                <c:ptCount val="17"/>
                <c:pt idx="0">
                  <c:v>0.33239728521966</c:v>
                </c:pt>
                <c:pt idx="1">
                  <c:v>0.301630740471438</c:v>
                </c:pt>
                <c:pt idx="2">
                  <c:v>0.276194114305888</c:v>
                </c:pt>
                <c:pt idx="3">
                  <c:v>0.301732406614277</c:v>
                </c:pt>
                <c:pt idx="4">
                  <c:v>0.278130288291546</c:v>
                </c:pt>
                <c:pt idx="5">
                  <c:v>0.296932469012533</c:v>
                </c:pt>
                <c:pt idx="6">
                  <c:v>0.261043215548029</c:v>
                </c:pt>
                <c:pt idx="7">
                  <c:v>0.233528747546546</c:v>
                </c:pt>
                <c:pt idx="8">
                  <c:v>0.217745709264553</c:v>
                </c:pt>
                <c:pt idx="9">
                  <c:v>0.195780687476935</c:v>
                </c:pt>
                <c:pt idx="10">
                  <c:v>0.155728502104873</c:v>
                </c:pt>
                <c:pt idx="11">
                  <c:v>0.131272547455578</c:v>
                </c:pt>
                <c:pt idx="12">
                  <c:v>0.105595272301791</c:v>
                </c:pt>
                <c:pt idx="13">
                  <c:v>0.0605490384503294</c:v>
                </c:pt>
                <c:pt idx="14">
                  <c:v>0.0160157476050046</c:v>
                </c:pt>
                <c:pt idx="15">
                  <c:v>-0.0282544526487531</c:v>
                </c:pt>
                <c:pt idx="16">
                  <c:v>-0.109400468009729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ROW!$AA$481</c:f>
              <c:strCache>
                <c:ptCount val="1"/>
                <c:pt idx="0">
                  <c:v>Unused bio-capacity per person (0 - 2.5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ROW!$AB$481:$AR$481</c:f>
              <c:numCache>
                <c:formatCode>#,##0.000</c:formatCode>
                <c:ptCount val="17"/>
                <c:pt idx="0">
                  <c:v>0.493046262844256</c:v>
                </c:pt>
                <c:pt idx="1">
                  <c:v>0.398542250251769</c:v>
                </c:pt>
                <c:pt idx="2">
                  <c:v>0.32317306673424</c:v>
                </c:pt>
                <c:pt idx="3">
                  <c:v>0.312320930649822</c:v>
                </c:pt>
                <c:pt idx="4">
                  <c:v>0.255390318747427</c:v>
                </c:pt>
                <c:pt idx="5">
                  <c:v>0.244004624037899</c:v>
                </c:pt>
                <c:pt idx="6">
                  <c:v>0.193936629186544</c:v>
                </c:pt>
                <c:pt idx="7">
                  <c:v>0.157654394627625</c:v>
                </c:pt>
                <c:pt idx="8">
                  <c:v>0.133762833942375</c:v>
                </c:pt>
                <c:pt idx="9">
                  <c:v>0.10988379453649</c:v>
                </c:pt>
                <c:pt idx="10">
                  <c:v>0.0809297408677286</c:v>
                </c:pt>
                <c:pt idx="11">
                  <c:v>0.0640266092157994</c:v>
                </c:pt>
                <c:pt idx="12">
                  <c:v>0.048771615995745</c:v>
                </c:pt>
                <c:pt idx="13">
                  <c:v>0.0267616959084372</c:v>
                </c:pt>
                <c:pt idx="14">
                  <c:v>0.00684593952077706</c:v>
                </c:pt>
                <c:pt idx="15">
                  <c:v>-0.0118058458096376</c:v>
                </c:pt>
                <c:pt idx="16">
                  <c:v>-0.0451698736484831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ROW!$AA$483</c:f>
              <c:strCache>
                <c:ptCount val="1"/>
                <c:pt idx="0">
                  <c:v>Total bio-capacity, ROW (0 - 3200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ROW!$AB$483:$AR$483</c:f>
              <c:numCache>
                <c:formatCode>#,##0.000</c:formatCode>
                <c:ptCount val="17"/>
                <c:pt idx="9">
                  <c:v>0.934375</c:v>
                </c:pt>
                <c:pt idx="10">
                  <c:v>0.9218125</c:v>
                </c:pt>
                <c:pt idx="11">
                  <c:v>0.931</c:v>
                </c:pt>
                <c:pt idx="12">
                  <c:v>0.9401875</c:v>
                </c:pt>
                <c:pt idx="13">
                  <c:v>0.91875</c:v>
                </c:pt>
                <c:pt idx="14">
                  <c:v>0.8911875</c:v>
                </c:pt>
                <c:pt idx="15">
                  <c:v>0.8575</c:v>
                </c:pt>
                <c:pt idx="16">
                  <c:v>0.7809375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ROW!$AA$485</c:f>
              <c:strCache>
                <c:ptCount val="1"/>
                <c:pt idx="0">
                  <c:v>Nonenergy footprint (0 - 3200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ROW!$AB$485:$AR$485</c:f>
              <c:numCache>
                <c:formatCode>#,##0.000</c:formatCode>
                <c:ptCount val="17"/>
                <c:pt idx="9">
                  <c:v>0.738594312523066</c:v>
                </c:pt>
                <c:pt idx="10">
                  <c:v>0.783989016635741</c:v>
                </c:pt>
                <c:pt idx="11">
                  <c:v>0.817126176852866</c:v>
                </c:pt>
                <c:pt idx="12">
                  <c:v>0.851421421840016</c:v>
                </c:pt>
                <c:pt idx="13">
                  <c:v>0.874079342397972</c:v>
                </c:pt>
                <c:pt idx="14">
                  <c:v>0.890115425282324</c:v>
                </c:pt>
                <c:pt idx="15">
                  <c:v>0.899782187161739</c:v>
                </c:pt>
                <c:pt idx="16">
                  <c:v>0.902733211192565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ROW!$AA$488</c:f>
              <c:strCache>
                <c:ptCount val="1"/>
                <c:pt idx="0">
                  <c:v>Unused bio-capacity (0 - 3200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ROW!$AB$488:$AR$488</c:f>
              <c:numCache>
                <c:formatCode>#,##0.000</c:formatCode>
                <c:ptCount val="17"/>
                <c:pt idx="9">
                  <c:v>0.195780687476935</c:v>
                </c:pt>
                <c:pt idx="10">
                  <c:v>0.137823483364259</c:v>
                </c:pt>
                <c:pt idx="11">
                  <c:v>0.113873823147134</c:v>
                </c:pt>
                <c:pt idx="12">
                  <c:v>0.0887660781599841</c:v>
                </c:pt>
                <c:pt idx="13">
                  <c:v>0.0446706576020283</c:v>
                </c:pt>
                <c:pt idx="14">
                  <c:v>0.0010720747176758</c:v>
                </c:pt>
                <c:pt idx="15">
                  <c:v>-0.0422821871617386</c:v>
                </c:pt>
                <c:pt idx="16">
                  <c:v>-0.121795711192565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ROW!$AA$489</c:f>
              <c:strCache>
                <c:ptCount val="1"/>
                <c:pt idx="0">
                  <c:v>Unused bio-capacity per person (0 - 2.5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ROW!$AB$474:$AR$474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ROW!$AB$489:$AR$489</c:f>
              <c:numCache>
                <c:formatCode>#,##0.000</c:formatCode>
                <c:ptCount val="17"/>
                <c:pt idx="9">
                  <c:v>0.10988379453649</c:v>
                </c:pt>
                <c:pt idx="10">
                  <c:v>0.0717310423749108</c:v>
                </c:pt>
                <c:pt idx="11">
                  <c:v>0.0556914656980355</c:v>
                </c:pt>
                <c:pt idx="12">
                  <c:v>0.0411536841602944</c:v>
                </c:pt>
                <c:pt idx="13">
                  <c:v>0.0198354445297744</c:v>
                </c:pt>
                <c:pt idx="14">
                  <c:v>0.000460691088110871</c:v>
                </c:pt>
                <c:pt idx="15">
                  <c:v>-0.0177689553133396</c:v>
                </c:pt>
                <c:pt idx="16">
                  <c:v>-0.0505893315535845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249064"/>
        <c:axId val="9592296"/>
      </c:lineChart>
      <c:catAx>
        <c:axId val="5424906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2296"/>
        <c:crosses val="autoZero"/>
        <c:auto val="1"/>
        <c:lblAlgn val="ctr"/>
        <c:lblOffset val="100"/>
        <c:noMultiLvlLbl val="0"/>
      </c:catAx>
      <c:valAx>
        <c:axId val="959229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490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5"/>
          <c:y val="0.0654039109572359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ROW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411824668705"/>
          <c:w val="0.694223070990488"/>
          <c:h val="0.806320081549439"/>
        </c:manualLayout>
      </c:layout>
      <c:lineChart>
        <c:grouping val="standard"/>
        <c:varyColors val="0"/>
        <c:ser>
          <c:idx val="0"/>
          <c:order val="0"/>
          <c:tx>
            <c:strRef>
              <c:f>ROW!$A$242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ROW!$B$242:$R$242</c:f>
              <c:numCache>
                <c:formatCode>#,##0</c:formatCode>
                <c:ptCount val="17"/>
                <c:pt idx="0">
                  <c:v>125.44006354805</c:v>
                </c:pt>
                <c:pt idx="1">
                  <c:v>181.101492908392</c:v>
                </c:pt>
                <c:pt idx="2">
                  <c:v>275.445742043999</c:v>
                </c:pt>
                <c:pt idx="3">
                  <c:v>309.757343840338</c:v>
                </c:pt>
                <c:pt idx="4">
                  <c:v>356.68626433893</c:v>
                </c:pt>
                <c:pt idx="5">
                  <c:v>343.512414432642</c:v>
                </c:pt>
                <c:pt idx="6">
                  <c:v>361.67332538496</c:v>
                </c:pt>
                <c:pt idx="7">
                  <c:v>425.012354703472</c:v>
                </c:pt>
                <c:pt idx="8">
                  <c:v>503.697791683459</c:v>
                </c:pt>
                <c:pt idx="9">
                  <c:v>521.173780894259</c:v>
                </c:pt>
                <c:pt idx="10">
                  <c:v>564.21024598987</c:v>
                </c:pt>
                <c:pt idx="11">
                  <c:v>606.360599956934</c:v>
                </c:pt>
                <c:pt idx="12">
                  <c:v>631.493220626871</c:v>
                </c:pt>
                <c:pt idx="13">
                  <c:v>640.578402099402</c:v>
                </c:pt>
                <c:pt idx="14">
                  <c:v>649.43412726671</c:v>
                </c:pt>
                <c:pt idx="15">
                  <c:v>670.788976623548</c:v>
                </c:pt>
                <c:pt idx="16">
                  <c:v>675.454371803954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ROW!$A$243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ROW!$B$243:$R$243</c:f>
              <c:numCache>
                <c:formatCode>#,##0</c:formatCode>
                <c:ptCount val="17"/>
                <c:pt idx="0">
                  <c:v>50.8103440586378</c:v>
                </c:pt>
                <c:pt idx="1">
                  <c:v>49.4265729503647</c:v>
                </c:pt>
                <c:pt idx="2">
                  <c:v>90.4614158654995</c:v>
                </c:pt>
                <c:pt idx="3">
                  <c:v>174.638089546271</c:v>
                </c:pt>
                <c:pt idx="4">
                  <c:v>219.803427034385</c:v>
                </c:pt>
                <c:pt idx="5">
                  <c:v>228.930524411308</c:v>
                </c:pt>
                <c:pt idx="6">
                  <c:v>255.607974559847</c:v>
                </c:pt>
                <c:pt idx="7">
                  <c:v>348.315986840991</c:v>
                </c:pt>
                <c:pt idx="8">
                  <c:v>410.093792498702</c:v>
                </c:pt>
                <c:pt idx="9">
                  <c:v>470.32755836799</c:v>
                </c:pt>
                <c:pt idx="10">
                  <c:v>550.104989840123</c:v>
                </c:pt>
                <c:pt idx="11">
                  <c:v>621.908307648137</c:v>
                </c:pt>
                <c:pt idx="12">
                  <c:v>672.49927391433</c:v>
                </c:pt>
                <c:pt idx="13">
                  <c:v>684.453635119909</c:v>
                </c:pt>
                <c:pt idx="14">
                  <c:v>686.544648824808</c:v>
                </c:pt>
                <c:pt idx="15">
                  <c:v>670.788976623548</c:v>
                </c:pt>
                <c:pt idx="16">
                  <c:v>625.047329132017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ROW!$A$244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ROW!$B$244:$R$244</c:f>
              <c:numCache>
                <c:formatCode>#,##0</c:formatCode>
                <c:ptCount val="17"/>
                <c:pt idx="0">
                  <c:v>111.982549299641</c:v>
                </c:pt>
                <c:pt idx="1">
                  <c:v>158.567218038478</c:v>
                </c:pt>
                <c:pt idx="2">
                  <c:v>133.321833683513</c:v>
                </c:pt>
                <c:pt idx="3">
                  <c:v>135.811436241837</c:v>
                </c:pt>
                <c:pt idx="4">
                  <c:v>130.502281354863</c:v>
                </c:pt>
                <c:pt idx="5">
                  <c:v>97.8002819598299</c:v>
                </c:pt>
                <c:pt idx="6">
                  <c:v>91.7224163323947</c:v>
                </c:pt>
                <c:pt idx="7">
                  <c:v>115.307456757951</c:v>
                </c:pt>
                <c:pt idx="8">
                  <c:v>111.748120620361</c:v>
                </c:pt>
                <c:pt idx="9">
                  <c:v>140.311289397527</c:v>
                </c:pt>
                <c:pt idx="10">
                  <c:v>130.495857551417</c:v>
                </c:pt>
                <c:pt idx="11">
                  <c:v>108.833953838424</c:v>
                </c:pt>
                <c:pt idx="12">
                  <c:v>73.8108959174264</c:v>
                </c:pt>
                <c:pt idx="13">
                  <c:v>96.5255126451154</c:v>
                </c:pt>
                <c:pt idx="14">
                  <c:v>111.331564674293</c:v>
                </c:pt>
                <c:pt idx="15">
                  <c:v>87.4942143422019</c:v>
                </c:pt>
                <c:pt idx="16">
                  <c:v>90.3354483132214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ROW!$A$245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ROW!$B$245:$R$245</c:f>
              <c:numCache>
                <c:formatCode>#,##0</c:formatCode>
                <c:ptCount val="17"/>
                <c:pt idx="0">
                  <c:v>0.0463003273909237</c:v>
                </c:pt>
                <c:pt idx="1">
                  <c:v>0.969784650718552</c:v>
                </c:pt>
                <c:pt idx="2">
                  <c:v>6.52626511491859</c:v>
                </c:pt>
                <c:pt idx="3">
                  <c:v>13.8159999999997</c:v>
                </c:pt>
                <c:pt idx="4">
                  <c:v>15.0867454858123</c:v>
                </c:pt>
                <c:pt idx="5">
                  <c:v>13.9470485586284</c:v>
                </c:pt>
                <c:pt idx="6">
                  <c:v>15.8502212336518</c:v>
                </c:pt>
                <c:pt idx="7">
                  <c:v>16.912713797122</c:v>
                </c:pt>
                <c:pt idx="8">
                  <c:v>16.6464833167393</c:v>
                </c:pt>
                <c:pt idx="9">
                  <c:v>19.0673334473509</c:v>
                </c:pt>
                <c:pt idx="10">
                  <c:v>17.6315701871834</c:v>
                </c:pt>
                <c:pt idx="11">
                  <c:v>15.5477076912034</c:v>
                </c:pt>
                <c:pt idx="12">
                  <c:v>16.4024213149837</c:v>
                </c:pt>
                <c:pt idx="13">
                  <c:v>17.5500932082028</c:v>
                </c:pt>
                <c:pt idx="14">
                  <c:v>18.5552607790489</c:v>
                </c:pt>
                <c:pt idx="15">
                  <c:v>19.4431587427115</c:v>
                </c:pt>
                <c:pt idx="16">
                  <c:v>20.5600455650398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ROW!$A$249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ROW!$B$249:$R$249</c:f>
              <c:numCache>
                <c:formatCode>#,##0</c:formatCode>
                <c:ptCount val="17"/>
                <c:pt idx="0">
                  <c:v>17.9666334730104</c:v>
                </c:pt>
                <c:pt idx="1">
                  <c:v>23.4403815621662</c:v>
                </c:pt>
                <c:pt idx="2">
                  <c:v>37.7313164172594</c:v>
                </c:pt>
                <c:pt idx="3">
                  <c:v>45.7048211885313</c:v>
                </c:pt>
                <c:pt idx="4">
                  <c:v>59.6752005650921</c:v>
                </c:pt>
                <c:pt idx="5">
                  <c:v>65.5869466016369</c:v>
                </c:pt>
                <c:pt idx="6">
                  <c:v>74.603116017588</c:v>
                </c:pt>
                <c:pt idx="7">
                  <c:v>87.8733995717587</c:v>
                </c:pt>
                <c:pt idx="8">
                  <c:v>99.7474500191158</c:v>
                </c:pt>
                <c:pt idx="9">
                  <c:v>120.275601049603</c:v>
                </c:pt>
                <c:pt idx="10">
                  <c:v>148.082951406081</c:v>
                </c:pt>
                <c:pt idx="11">
                  <c:v>202.120199985645</c:v>
                </c:pt>
                <c:pt idx="12">
                  <c:v>246.036319724755</c:v>
                </c:pt>
                <c:pt idx="13">
                  <c:v>315.90167774765</c:v>
                </c:pt>
                <c:pt idx="14">
                  <c:v>389.660476360026</c:v>
                </c:pt>
                <c:pt idx="15">
                  <c:v>495.800547939144</c:v>
                </c:pt>
                <c:pt idx="16">
                  <c:v>604.884512063242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ROW!$U$261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ROW!$B$261:$R$261</c:f>
              <c:numCache>
                <c:formatCode>#,##0</c:formatCode>
                <c:ptCount val="17"/>
                <c:pt idx="9">
                  <c:v>521.173780894259</c:v>
                </c:pt>
                <c:pt idx="10">
                  <c:v>540.902705488188</c:v>
                </c:pt>
                <c:pt idx="11">
                  <c:v>580.276780415644</c:v>
                </c:pt>
                <c:pt idx="12">
                  <c:v>603.595126107692</c:v>
                </c:pt>
                <c:pt idx="13">
                  <c:v>611.188757769728</c:v>
                </c:pt>
                <c:pt idx="14">
                  <c:v>618.534895303324</c:v>
                </c:pt>
                <c:pt idx="15">
                  <c:v>637.736170879105</c:v>
                </c:pt>
                <c:pt idx="16">
                  <c:v>641.028270990871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ROW!$U$262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ROW!$B$262:$R$262</c:f>
              <c:numCache>
                <c:formatCode>#,##0</c:formatCode>
                <c:ptCount val="17"/>
                <c:pt idx="9">
                  <c:v>470.32755836799</c:v>
                </c:pt>
                <c:pt idx="10">
                  <c:v>527.380137850983</c:v>
                </c:pt>
                <c:pt idx="11">
                  <c:v>595.155672221174</c:v>
                </c:pt>
                <c:pt idx="12">
                  <c:v>642.789614815983</c:v>
                </c:pt>
                <c:pt idx="13">
                  <c:v>653.051001452586</c:v>
                </c:pt>
                <c:pt idx="14">
                  <c:v>653.879746463514</c:v>
                </c:pt>
                <c:pt idx="15">
                  <c:v>637.736170879105</c:v>
                </c:pt>
                <c:pt idx="16">
                  <c:v>593.190340319911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ROW!$U$265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ROW!$B$265:$R$265</c:f>
              <c:numCache>
                <c:formatCode>#,##0</c:formatCode>
                <c:ptCount val="17"/>
                <c:pt idx="9">
                  <c:v>120.275601049603</c:v>
                </c:pt>
                <c:pt idx="10">
                  <c:v>141.965640683639</c:v>
                </c:pt>
                <c:pt idx="11">
                  <c:v>193.425593471881</c:v>
                </c:pt>
                <c:pt idx="12">
                  <c:v>235.16693224975</c:v>
                </c:pt>
                <c:pt idx="13">
                  <c:v>301.408154516578</c:v>
                </c:pt>
                <c:pt idx="14">
                  <c:v>371.120937181994</c:v>
                </c:pt>
                <c:pt idx="15">
                  <c:v>471.370213258469</c:v>
                </c:pt>
                <c:pt idx="16">
                  <c:v>574.055168051526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ROW!$U$264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ROW!$B$264:$R$264</c:f>
              <c:numCache>
                <c:formatCode>#,##0</c:formatCode>
                <c:ptCount val="17"/>
                <c:pt idx="9">
                  <c:v>19.0673334473509</c:v>
                </c:pt>
                <c:pt idx="10">
                  <c:v>16.9032095465059</c:v>
                </c:pt>
                <c:pt idx="11">
                  <c:v>14.8788918055293</c:v>
                </c:pt>
                <c:pt idx="12">
                  <c:v>15.6777954833167</c:v>
                </c:pt>
                <c:pt idx="13">
                  <c:v>16.7448974731432</c:v>
                </c:pt>
                <c:pt idx="14">
                  <c:v>17.672425580095</c:v>
                </c:pt>
                <c:pt idx="15">
                  <c:v>18.4851064022929</c:v>
                </c:pt>
                <c:pt idx="16">
                  <c:v>19.5121550917673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ROW!$U$263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ROW!$B$240:$R$240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ROW!$B$263:$R$263</c:f>
              <c:numCache>
                <c:formatCode>#,##0</c:formatCode>
                <c:ptCount val="17"/>
                <c:pt idx="9">
                  <c:v>140.311289397527</c:v>
                </c:pt>
                <c:pt idx="10">
                  <c:v>152.702146961776</c:v>
                </c:pt>
                <c:pt idx="11">
                  <c:v>134.517327956112</c:v>
                </c:pt>
                <c:pt idx="12">
                  <c:v>102.545580661286</c:v>
                </c:pt>
                <c:pt idx="13">
                  <c:v>126.27019625156</c:v>
                </c:pt>
                <c:pt idx="14">
                  <c:v>142.100728133825</c:v>
                </c:pt>
                <c:pt idx="15">
                  <c:v>120.907685753773</c:v>
                </c:pt>
                <c:pt idx="16">
                  <c:v>124.78266436064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880604"/>
        <c:axId val="80940910"/>
      </c:lineChart>
      <c:catAx>
        <c:axId val="81880604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940910"/>
        <c:crosses val="autoZero"/>
        <c:auto val="1"/>
        <c:lblAlgn val="ctr"/>
        <c:lblOffset val="100"/>
        <c:noMultiLvlLbl val="0"/>
      </c:catAx>
      <c:valAx>
        <c:axId val="80940910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80604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9"/>
          <c:y val="0.111708569323571"/>
          <c:w val="0.247357948743891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1. Population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50407709414"/>
          <c:y val="0.116449679685886"/>
          <c:w val="0.693587842846553"/>
          <c:h val="0.806364951436247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SumWorld!$AA$28</c:f>
              <c:strCache>
                <c:ptCount val="1"/>
                <c:pt idx="0">
                  <c:v>Population, SumWorld (0 - 9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SumWorld!$AB$28:$AR$28</c:f>
              <c:numCache>
                <c:formatCode>#,##0.000</c:formatCode>
                <c:ptCount val="17"/>
                <c:pt idx="0">
                  <c:v>0.410687367333333</c:v>
                </c:pt>
                <c:pt idx="1">
                  <c:v>0.452935467444444</c:v>
                </c:pt>
                <c:pt idx="2">
                  <c:v>0.494778608666667</c:v>
                </c:pt>
                <c:pt idx="3">
                  <c:v>0.540365548333333</c:v>
                </c:pt>
                <c:pt idx="4">
                  <c:v>0.589602794888889</c:v>
                </c:pt>
                <c:pt idx="5">
                  <c:v>0.636248812777778</c:v>
                </c:pt>
                <c:pt idx="6">
                  <c:v>0.680307802222222</c:v>
                </c:pt>
                <c:pt idx="7">
                  <c:v>0.722961019444444</c:v>
                </c:pt>
                <c:pt idx="8">
                  <c:v>0.766209890888889</c:v>
                </c:pt>
                <c:pt idx="9">
                  <c:v>0.803618186016333</c:v>
                </c:pt>
                <c:pt idx="10">
                  <c:v>0.834690530032717</c:v>
                </c:pt>
                <c:pt idx="11">
                  <c:v>0.859395991561188</c:v>
                </c:pt>
                <c:pt idx="12">
                  <c:v>0.878311602467521</c:v>
                </c:pt>
                <c:pt idx="13">
                  <c:v>0.890895705883049</c:v>
                </c:pt>
                <c:pt idx="14">
                  <c:v>0.896425340346016</c:v>
                </c:pt>
                <c:pt idx="15">
                  <c:v>0.894415200841281</c:v>
                </c:pt>
                <c:pt idx="16">
                  <c:v>0.885071220971353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SumWorld!$AA$31</c:f>
              <c:strCache>
                <c:ptCount val="1"/>
                <c:pt idx="0">
                  <c:v>Crude birth rate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SumWorld!$AB$31:$AR$31</c:f>
              <c:numCache>
                <c:formatCode>#,##0.000</c:formatCode>
                <c:ptCount val="17"/>
                <c:pt idx="0">
                  <c:v>0.82324868880676</c:v>
                </c:pt>
                <c:pt idx="1">
                  <c:v>0.740085075111854</c:v>
                </c:pt>
                <c:pt idx="2">
                  <c:v>0.724722234567063</c:v>
                </c:pt>
                <c:pt idx="3">
                  <c:v>0.705321225106025</c:v>
                </c:pt>
                <c:pt idx="4">
                  <c:v>0.635834401142295</c:v>
                </c:pt>
                <c:pt idx="5">
                  <c:v>0.578357570792516</c:v>
                </c:pt>
                <c:pt idx="6">
                  <c:v>0.537519049669645</c:v>
                </c:pt>
                <c:pt idx="7">
                  <c:v>0.515136352806358</c:v>
                </c:pt>
                <c:pt idx="8">
                  <c:v>0.452844943934537</c:v>
                </c:pt>
                <c:pt idx="9">
                  <c:v>0.406814249753136</c:v>
                </c:pt>
                <c:pt idx="10">
                  <c:v>0.366897934399706</c:v>
                </c:pt>
                <c:pt idx="11">
                  <c:v>0.337310649773157</c:v>
                </c:pt>
                <c:pt idx="12">
                  <c:v>0.312042014259207</c:v>
                </c:pt>
                <c:pt idx="13">
                  <c:v>0.286347684341838</c:v>
                </c:pt>
                <c:pt idx="14">
                  <c:v>0.259640432345046</c:v>
                </c:pt>
                <c:pt idx="15">
                  <c:v>0.234164167779211</c:v>
                </c:pt>
                <c:pt idx="16">
                  <c:v>0.207429699704103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SumWorld!$AA$32</c:f>
              <c:strCache>
                <c:ptCount val="1"/>
                <c:pt idx="0">
                  <c:v>Crude death rate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SumWorld!$AB$32:$AR$32</c:f>
              <c:numCache>
                <c:formatCode>#,##0.000</c:formatCode>
                <c:ptCount val="17"/>
                <c:pt idx="0">
                  <c:v>0.617780569202726</c:v>
                </c:pt>
                <c:pt idx="1">
                  <c:v>0.556348867679153</c:v>
                </c:pt>
                <c:pt idx="2">
                  <c:v>0.528084116547715</c:v>
                </c:pt>
                <c:pt idx="3">
                  <c:v>0.499458398011387</c:v>
                </c:pt>
                <c:pt idx="4">
                  <c:v>0.480525748691263</c:v>
                </c:pt>
                <c:pt idx="5">
                  <c:v>0.464234623068666</c:v>
                </c:pt>
                <c:pt idx="6">
                  <c:v>0.448068688097853</c:v>
                </c:pt>
                <c:pt idx="7">
                  <c:v>0.432054101026586</c:v>
                </c:pt>
                <c:pt idx="8">
                  <c:v>0.417464721732852</c:v>
                </c:pt>
                <c:pt idx="9">
                  <c:v>0.426972938979275</c:v>
                </c:pt>
                <c:pt idx="10">
                  <c:v>0.437812379834911</c:v>
                </c:pt>
                <c:pt idx="11">
                  <c:v>0.454517749005311</c:v>
                </c:pt>
                <c:pt idx="12">
                  <c:v>0.480807959066806</c:v>
                </c:pt>
                <c:pt idx="13">
                  <c:v>0.510627110564886</c:v>
                </c:pt>
                <c:pt idx="14">
                  <c:v>0.541704812499955</c:v>
                </c:pt>
                <c:pt idx="15">
                  <c:v>0.572798606872452</c:v>
                </c:pt>
                <c:pt idx="16">
                  <c:v>0.602829796311916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SumWorld!$AA$38</c:f>
              <c:strCache>
                <c:ptCount val="1"/>
                <c:pt idx="0">
                  <c:v>Population, SumWorld Your forecast (0 - 9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SumWorld!$AB$38:$AR$38</c:f>
              <c:numCache>
                <c:formatCode>#,##0.000</c:formatCode>
                <c:ptCount val="17"/>
                <c:pt idx="9">
                  <c:v>0.803619287177167</c:v>
                </c:pt>
                <c:pt idx="10">
                  <c:v>0.834070207974148</c:v>
                </c:pt>
                <c:pt idx="11">
                  <c:v>0.858250260930958</c:v>
                </c:pt>
                <c:pt idx="12">
                  <c:v>0.876737525029458</c:v>
                </c:pt>
                <c:pt idx="13">
                  <c:v>0.889012406374055</c:v>
                </c:pt>
                <c:pt idx="14">
                  <c:v>0.894376338936729</c:v>
                </c:pt>
                <c:pt idx="15">
                  <c:v>0.892360929605949</c:v>
                </c:pt>
                <c:pt idx="16">
                  <c:v>0.883170682450503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SumWorld!$AA$41</c:f>
              <c:strCache>
                <c:ptCount val="1"/>
                <c:pt idx="0">
                  <c:v>Crude birth rate Your forecast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SumWorld!$AB$41:$AR$41</c:f>
              <c:numCache>
                <c:formatCode>#,##0.000</c:formatCode>
                <c:ptCount val="17"/>
                <c:pt idx="8">
                  <c:v>0.452844943934537</c:v>
                </c:pt>
                <c:pt idx="9">
                  <c:v>0.398677854894067</c:v>
                </c:pt>
                <c:pt idx="10">
                  <c:v>0.35948175670548</c:v>
                </c:pt>
                <c:pt idx="11">
                  <c:v>0.330429838568995</c:v>
                </c:pt>
                <c:pt idx="12">
                  <c:v>0.305630052643382</c:v>
                </c:pt>
                <c:pt idx="13">
                  <c:v>0.28043428288016</c:v>
                </c:pt>
                <c:pt idx="14">
                  <c:v>0.254264587200439</c:v>
                </c:pt>
                <c:pt idx="15">
                  <c:v>0.229318680850277</c:v>
                </c:pt>
                <c:pt idx="16">
                  <c:v>0.203157341036756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SumWorld!$AA$42</c:f>
              <c:strCache>
                <c:ptCount val="1"/>
                <c:pt idx="0">
                  <c:v>Crude death rate Your forecast (0 - 2 %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SumWorld!$AB$42:$AR$42</c:f>
              <c:numCache>
                <c:formatCode>#,##0.000</c:formatCode>
                <c:ptCount val="17"/>
                <c:pt idx="8">
                  <c:v>0.417450350202982</c:v>
                </c:pt>
                <c:pt idx="9">
                  <c:v>0.418433485261338</c:v>
                </c:pt>
                <c:pt idx="10">
                  <c:v>0.429059225670717</c:v>
                </c:pt>
                <c:pt idx="11">
                  <c:v>0.445453228225912</c:v>
                </c:pt>
                <c:pt idx="12">
                  <c:v>0.471253763660361</c:v>
                </c:pt>
                <c:pt idx="13">
                  <c:v>0.500532708530246</c:v>
                </c:pt>
                <c:pt idx="14">
                  <c:v>0.531063416900816</c:v>
                </c:pt>
                <c:pt idx="15">
                  <c:v>0.561625366335669</c:v>
                </c:pt>
                <c:pt idx="16">
                  <c:v>0.591155567014162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SumWorld!$AA$36</c:f>
              <c:strCache>
                <c:ptCount val="1"/>
                <c:pt idx="0">
                  <c:v>UN Low Birthrate (0 - 4 % / yr)</c:v>
                </c:pt>
              </c:strCache>
            </c:strRef>
          </c:tx>
          <c:spPr>
            <a:solidFill>
              <a:srgbClr val="00ff00"/>
            </a:solidFill>
            <a:ln w="648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SumWorld!$AB$36:$AR$36</c:f>
              <c:numCache>
                <c:formatCode>#,##0.000</c:formatCode>
                <c:ptCount val="17"/>
                <c:pt idx="8">
                  <c:v>0.441759769052014</c:v>
                </c:pt>
                <c:pt idx="9">
                  <c:v>0.390116793263772</c:v>
                </c:pt>
                <c:pt idx="10">
                  <c:v>0.351316998783759</c:v>
                </c:pt>
                <c:pt idx="11">
                  <c:v>0.335456027386174</c:v>
                </c:pt>
                <c:pt idx="12">
                  <c:v>0.319114991508092</c:v>
                </c:pt>
                <c:pt idx="13">
                  <c:v>0.30031613025809</c:v>
                </c:pt>
                <c:pt idx="14">
                  <c:v>0.280271112518926</c:v>
                </c:pt>
                <c:pt idx="15">
                  <c:v>0.262449836057096</c:v>
                </c:pt>
                <c:pt idx="16">
                  <c:v>0.249202570500536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SumWorld!$AA$37</c:f>
              <c:strCache>
                <c:ptCount val="1"/>
                <c:pt idx="0">
                  <c:v>UN Low Deathrate (0 - 2 % / yr)</c:v>
                </c:pt>
              </c:strCache>
            </c:strRef>
          </c:tx>
          <c:spPr>
            <a:solidFill>
              <a:srgbClr val="604a7b"/>
            </a:solidFill>
            <a:ln w="648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SumWorld!$AB$27:$AR$27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SumWorld!$AB$37:$AR$37</c:f>
              <c:numCache>
                <c:formatCode>#,##0.000</c:formatCode>
                <c:ptCount val="17"/>
                <c:pt idx="8">
                  <c:v>0.417464721732852</c:v>
                </c:pt>
                <c:pt idx="9">
                  <c:v>0.415899279588968</c:v>
                </c:pt>
                <c:pt idx="10">
                  <c:v>0.423351032101884</c:v>
                </c:pt>
                <c:pt idx="11">
                  <c:v>0.439160309997148</c:v>
                </c:pt>
                <c:pt idx="12">
                  <c:v>0.461156332163382</c:v>
                </c:pt>
                <c:pt idx="13">
                  <c:v>0.488122409235824</c:v>
                </c:pt>
                <c:pt idx="14">
                  <c:v>0.517675708346111</c:v>
                </c:pt>
                <c:pt idx="15">
                  <c:v>0.548562943191063</c:v>
                </c:pt>
                <c:pt idx="16">
                  <c:v>0.579789476773674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132325"/>
        <c:axId val="57762003"/>
      </c:lineChart>
      <c:catAx>
        <c:axId val="28132325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762003"/>
        <c:crosses val="autoZero"/>
        <c:auto val="1"/>
        <c:lblAlgn val="ctr"/>
        <c:lblOffset val="100"/>
        <c:noMultiLvlLbl val="0"/>
      </c:catAx>
      <c:valAx>
        <c:axId val="5776200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13232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35108569820874"/>
          <c:y val="0.100862554870446"/>
          <c:w val="0.242675800926859"/>
          <c:h val="0.45314021213725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13. State of Affairs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12629157691"/>
          <c:y val="0.115955647434693"/>
          <c:w val="0.69177406988207"/>
          <c:h val="0.807085134373238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SumWorld!$AA$527</c:f>
              <c:strCache>
                <c:ptCount val="1"/>
                <c:pt idx="0">
                  <c:v>GDP (0 - 150 T$ per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SumWorld!$AB$527:$AR$527</c:f>
              <c:numCache>
                <c:formatCode>#,##0.000</c:formatCode>
                <c:ptCount val="17"/>
                <c:pt idx="0">
                  <c:v>0.110823326795402</c:v>
                </c:pt>
                <c:pt idx="1">
                  <c:v>0.134914016399365</c:v>
                </c:pt>
                <c:pt idx="2">
                  <c:v>0.163026580763979</c:v>
                </c:pt>
                <c:pt idx="3">
                  <c:v>0.186852075452107</c:v>
                </c:pt>
                <c:pt idx="4">
                  <c:v>0.241524114871637</c:v>
                </c:pt>
                <c:pt idx="5">
                  <c:v>0.276707287998242</c:v>
                </c:pt>
                <c:pt idx="6">
                  <c:v>0.326160025977608</c:v>
                </c:pt>
                <c:pt idx="7">
                  <c:v>0.395677769603648</c:v>
                </c:pt>
                <c:pt idx="8">
                  <c:v>0.44536111273394</c:v>
                </c:pt>
                <c:pt idx="9">
                  <c:v>0.515411300171733</c:v>
                </c:pt>
                <c:pt idx="10">
                  <c:v>0.595131039539352</c:v>
                </c:pt>
                <c:pt idx="11">
                  <c:v>0.68538597491533</c:v>
                </c:pt>
                <c:pt idx="12">
                  <c:v>0.772124650381354</c:v>
                </c:pt>
                <c:pt idx="13">
                  <c:v>0.843835046874499</c:v>
                </c:pt>
                <c:pt idx="14">
                  <c:v>0.900916085802151</c:v>
                </c:pt>
                <c:pt idx="15">
                  <c:v>0.947318747915282</c:v>
                </c:pt>
                <c:pt idx="16">
                  <c:v>0.969142992247518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SumWorld!$AA$526</c:f>
              <c:strCache>
                <c:ptCount val="1"/>
                <c:pt idx="0">
                  <c:v>Population (0 - 9G persons)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SumWorld!$AB$526:$AR$526</c:f>
              <c:numCache>
                <c:formatCode>#,##0.000</c:formatCode>
                <c:ptCount val="17"/>
                <c:pt idx="0">
                  <c:v>0.410687367333333</c:v>
                </c:pt>
                <c:pt idx="1">
                  <c:v>0.452935467444444</c:v>
                </c:pt>
                <c:pt idx="2">
                  <c:v>0.494778608666667</c:v>
                </c:pt>
                <c:pt idx="3">
                  <c:v>0.540365548333333</c:v>
                </c:pt>
                <c:pt idx="4">
                  <c:v>0.589602794888889</c:v>
                </c:pt>
                <c:pt idx="5">
                  <c:v>0.636248812777778</c:v>
                </c:pt>
                <c:pt idx="6">
                  <c:v>0.680307802222222</c:v>
                </c:pt>
                <c:pt idx="7">
                  <c:v>0.722961019444444</c:v>
                </c:pt>
                <c:pt idx="8">
                  <c:v>0.766209890888889</c:v>
                </c:pt>
                <c:pt idx="9">
                  <c:v>0.803618186016333</c:v>
                </c:pt>
                <c:pt idx="10">
                  <c:v>0.834690530032717</c:v>
                </c:pt>
                <c:pt idx="11">
                  <c:v>0.859395991561188</c:v>
                </c:pt>
                <c:pt idx="12">
                  <c:v>0.878311602467521</c:v>
                </c:pt>
                <c:pt idx="13">
                  <c:v>0.890895705883049</c:v>
                </c:pt>
                <c:pt idx="14">
                  <c:v>0.896425340346016</c:v>
                </c:pt>
                <c:pt idx="15">
                  <c:v>0.894415200841281</c:v>
                </c:pt>
                <c:pt idx="16">
                  <c:v>0.885071220971353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SumWorld!$AA$530</c:f>
              <c:strCache>
                <c:ptCount val="1"/>
                <c:pt idx="0">
                  <c:v>Consumption (0 - 150 T$ per 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SumWorld!$AB$530:$AR$530</c:f>
              <c:numCache>
                <c:formatCode>#,##0.000</c:formatCode>
                <c:ptCount val="17"/>
                <c:pt idx="0">
                  <c:v>0.0854814526103913</c:v>
                </c:pt>
                <c:pt idx="1">
                  <c:v>0.10508231912818</c:v>
                </c:pt>
                <c:pt idx="2">
                  <c:v>0.125607656971026</c:v>
                </c:pt>
                <c:pt idx="3">
                  <c:v>0.145913727422684</c:v>
                </c:pt>
                <c:pt idx="4">
                  <c:v>0.183079771420498</c:v>
                </c:pt>
                <c:pt idx="5">
                  <c:v>0.210846469532585</c:v>
                </c:pt>
                <c:pt idx="6">
                  <c:v>0.246952132745448</c:v>
                </c:pt>
                <c:pt idx="7">
                  <c:v>0.297473997221096</c:v>
                </c:pt>
                <c:pt idx="8">
                  <c:v>0.339627036792238</c:v>
                </c:pt>
                <c:pt idx="9">
                  <c:v>0.387831079909969</c:v>
                </c:pt>
                <c:pt idx="10">
                  <c:v>0.435495779943285</c:v>
                </c:pt>
                <c:pt idx="11">
                  <c:v>0.491677980818134</c:v>
                </c:pt>
                <c:pt idx="12">
                  <c:v>0.544234756685395</c:v>
                </c:pt>
                <c:pt idx="13">
                  <c:v>0.585329185088176</c:v>
                </c:pt>
                <c:pt idx="14">
                  <c:v>0.615085067092335</c:v>
                </c:pt>
                <c:pt idx="15">
                  <c:v>0.630850233382245</c:v>
                </c:pt>
                <c:pt idx="16">
                  <c:v>0.626561191395327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SumWorld!$AA$529</c:f>
              <c:strCache>
                <c:ptCount val="1"/>
                <c:pt idx="0">
                  <c:v>CO2 Emissions (0 - 42 GtCO2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SumWorld!$AB$529:$AR$529</c:f>
              <c:numCache>
                <c:formatCode>#,##0.000</c:formatCode>
                <c:ptCount val="17"/>
                <c:pt idx="0">
                  <c:v>0.348963196825397</c:v>
                </c:pt>
                <c:pt idx="1">
                  <c:v>0.390170698412698</c:v>
                </c:pt>
                <c:pt idx="2">
                  <c:v>0.45270080952381</c:v>
                </c:pt>
                <c:pt idx="3">
                  <c:v>0.467616844444444</c:v>
                </c:pt>
                <c:pt idx="4">
                  <c:v>0.510189061904762</c:v>
                </c:pt>
                <c:pt idx="5">
                  <c:v>0.530643003174603</c:v>
                </c:pt>
                <c:pt idx="6">
                  <c:v>0.55563534452381</c:v>
                </c:pt>
                <c:pt idx="7">
                  <c:v>0.650462336507937</c:v>
                </c:pt>
                <c:pt idx="8">
                  <c:v>0.700974633333333</c:v>
                </c:pt>
                <c:pt idx="9">
                  <c:v>0.809260218689982</c:v>
                </c:pt>
                <c:pt idx="10">
                  <c:v>0.886998384568254</c:v>
                </c:pt>
                <c:pt idx="11">
                  <c:v>0.938005370933608</c:v>
                </c:pt>
                <c:pt idx="12">
                  <c:v>0.965268905032495</c:v>
                </c:pt>
                <c:pt idx="13">
                  <c:v>0.951831677640393</c:v>
                </c:pt>
                <c:pt idx="14">
                  <c:v>0.913897817221019</c:v>
                </c:pt>
                <c:pt idx="15">
                  <c:v>0.842485953499638</c:v>
                </c:pt>
                <c:pt idx="16">
                  <c:v>0.744394136587003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SumWorld!$AA$528</c:f>
              <c:strCache>
                <c:ptCount val="1"/>
                <c:pt idx="0">
                  <c:v>Temperature (0 - 3 deg C above preindustrial level)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SumWorld!$AB$528:$AR$528</c:f>
              <c:numCache>
                <c:formatCode>#,##0.000</c:formatCode>
                <c:ptCount val="17"/>
                <c:pt idx="0">
                  <c:v>0.153451363139682</c:v>
                </c:pt>
                <c:pt idx="1">
                  <c:v>0.121451363139682</c:v>
                </c:pt>
                <c:pt idx="2">
                  <c:v>0.198118029806349</c:v>
                </c:pt>
                <c:pt idx="3">
                  <c:v>0.176784696473016</c:v>
                </c:pt>
                <c:pt idx="4">
                  <c:v>0.231784696473016</c:v>
                </c:pt>
                <c:pt idx="5">
                  <c:v>0.235784696473016</c:v>
                </c:pt>
                <c:pt idx="6">
                  <c:v>0.237157742182414</c:v>
                </c:pt>
                <c:pt idx="7">
                  <c:v>0.291885077953339</c:v>
                </c:pt>
                <c:pt idx="8">
                  <c:v>0.323311269283295</c:v>
                </c:pt>
                <c:pt idx="9">
                  <c:v>0.363716165224711</c:v>
                </c:pt>
                <c:pt idx="10">
                  <c:v>0.407845457394918</c:v>
                </c:pt>
                <c:pt idx="11">
                  <c:v>0.451553185780843</c:v>
                </c:pt>
                <c:pt idx="12">
                  <c:v>0.494161645571391</c:v>
                </c:pt>
                <c:pt idx="13">
                  <c:v>0.537767728169759</c:v>
                </c:pt>
                <c:pt idx="14">
                  <c:v>0.581482330958049</c:v>
                </c:pt>
                <c:pt idx="15">
                  <c:v>0.62560510635376</c:v>
                </c:pt>
                <c:pt idx="16">
                  <c:v>0.669907410939535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SumWorld!$AA$533</c:f>
              <c:strCache>
                <c:ptCount val="1"/>
                <c:pt idx="0">
                  <c:v>GDP (0 - 150 T$ per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SumWorld!$AB$533:$AR$533</c:f>
              <c:numCache>
                <c:formatCode>#,##0.000</c:formatCode>
                <c:ptCount val="17"/>
                <c:pt idx="9">
                  <c:v>0.515406068881099</c:v>
                </c:pt>
                <c:pt idx="10">
                  <c:v>0.579895263863971</c:v>
                </c:pt>
                <c:pt idx="11">
                  <c:v>0.663741929145736</c:v>
                </c:pt>
                <c:pt idx="12">
                  <c:v>0.743073551693551</c:v>
                </c:pt>
                <c:pt idx="13">
                  <c:v>0.80756174228521</c:v>
                </c:pt>
                <c:pt idx="14">
                  <c:v>0.85801465943809</c:v>
                </c:pt>
                <c:pt idx="15">
                  <c:v>0.89864694683488</c:v>
                </c:pt>
                <c:pt idx="16">
                  <c:v>0.916752055786915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SumWorld!$AA$532</c:f>
              <c:strCache>
                <c:ptCount val="1"/>
                <c:pt idx="0">
                  <c:v>Population (0 - 9G persons),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SumWorld!$AB$532:$AR$532</c:f>
              <c:numCache>
                <c:formatCode>#,##0.000</c:formatCode>
                <c:ptCount val="17"/>
                <c:pt idx="9">
                  <c:v>0.803619287177167</c:v>
                </c:pt>
                <c:pt idx="10">
                  <c:v>0.834070207974148</c:v>
                </c:pt>
                <c:pt idx="11">
                  <c:v>0.858250260930958</c:v>
                </c:pt>
                <c:pt idx="12">
                  <c:v>0.876737525029458</c:v>
                </c:pt>
                <c:pt idx="13">
                  <c:v>0.889012406374055</c:v>
                </c:pt>
                <c:pt idx="14">
                  <c:v>0.894376338936729</c:v>
                </c:pt>
                <c:pt idx="15">
                  <c:v>0.892360929605949</c:v>
                </c:pt>
                <c:pt idx="16">
                  <c:v>0.883170682450503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SumWorld!$AA$535</c:f>
              <c:strCache>
                <c:ptCount val="1"/>
                <c:pt idx="0">
                  <c:v>Consumption (0 - 150 T$ per 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SumWorld!$AB$535:$AR$535</c:f>
              <c:numCache>
                <c:formatCode>#,##0.000</c:formatCode>
                <c:ptCount val="17"/>
                <c:pt idx="9">
                  <c:v>0.387826824296457</c:v>
                </c:pt>
                <c:pt idx="10">
                  <c:v>0.424728922836426</c:v>
                </c:pt>
                <c:pt idx="11">
                  <c:v>0.476862504146252</c:v>
                </c:pt>
                <c:pt idx="12">
                  <c:v>0.524789444970151</c:v>
                </c:pt>
                <c:pt idx="13">
                  <c:v>0.561493401906425</c:v>
                </c:pt>
                <c:pt idx="14">
                  <c:v>0.587393075964591</c:v>
                </c:pt>
                <c:pt idx="15">
                  <c:v>0.600409425772738</c:v>
                </c:pt>
                <c:pt idx="16">
                  <c:v>0.595049376660132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SumWorld!$AA$534</c:f>
              <c:strCache>
                <c:ptCount val="1"/>
                <c:pt idx="0">
                  <c:v>CO2 Emissions (0 - 42000 T$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SumWorld!$AB$525:$AR$525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SumWorld!$AB$534:$AR$534</c:f>
              <c:numCache>
                <c:formatCode>#,##0.000</c:formatCode>
                <c:ptCount val="17"/>
                <c:pt idx="9">
                  <c:v>0.809252243196962</c:v>
                </c:pt>
                <c:pt idx="10">
                  <c:v>0.873192936288659</c:v>
                </c:pt>
                <c:pt idx="11">
                  <c:v>0.918970240406428</c:v>
                </c:pt>
                <c:pt idx="12">
                  <c:v>0.94134465628054</c:v>
                </c:pt>
                <c:pt idx="13">
                  <c:v>0.925289037638728</c:v>
                </c:pt>
                <c:pt idx="14">
                  <c:v>0.88645572635832</c:v>
                </c:pt>
                <c:pt idx="15">
                  <c:v>0.817084882654834</c:v>
                </c:pt>
                <c:pt idx="16">
                  <c:v>0.723205602251028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582477"/>
        <c:axId val="94819316"/>
      </c:lineChart>
      <c:catAx>
        <c:axId val="20582477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19316"/>
        <c:crosses val="autoZero"/>
        <c:auto val="1"/>
        <c:lblAlgn val="ctr"/>
        <c:lblOffset val="100"/>
        <c:noMultiLvlLbl val="0"/>
      </c:catAx>
      <c:valAx>
        <c:axId val="9481931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8247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8409174666528"/>
          <c:y val="0.0243406770263928"/>
          <c:w val="0.237310003415669"/>
          <c:h val="0.8392285648248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15. Standard of Living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443626729467"/>
          <c:y val="0.115931863727455"/>
          <c:w val="0.699882249043274"/>
          <c:h val="0.807014028056112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SumWorld!$AA$583</c:f>
              <c:strCache>
                <c:ptCount val="1"/>
                <c:pt idx="0">
                  <c:v>GDP per person (0 - 20 000 $ per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SumWorld!$AB$583:$AR$583</c:f>
              <c:numCache>
                <c:formatCode>0.000</c:formatCode>
                <c:ptCount val="17"/>
                <c:pt idx="0">
                  <c:v>0.224873662243777</c:v>
                </c:pt>
                <c:pt idx="1">
                  <c:v>0.248221557110144</c:v>
                </c:pt>
                <c:pt idx="2">
                  <c:v>0.274578329762653</c:v>
                </c:pt>
                <c:pt idx="3">
                  <c:v>0.288156902965071</c:v>
                </c:pt>
                <c:pt idx="4">
                  <c:v>0.341365572672181</c:v>
                </c:pt>
                <c:pt idx="5">
                  <c:v>0.362420175934756</c:v>
                </c:pt>
                <c:pt idx="6">
                  <c:v>0.399525069035182</c:v>
                </c:pt>
                <c:pt idx="7">
                  <c:v>0.456084720754498</c:v>
                </c:pt>
                <c:pt idx="8">
                  <c:v>0.48437675501821</c:v>
                </c:pt>
                <c:pt idx="9">
                  <c:v>0.534469508385476</c:v>
                </c:pt>
                <c:pt idx="10">
                  <c:v>0.594163363672067</c:v>
                </c:pt>
                <c:pt idx="11">
                  <c:v>0.664600469055647</c:v>
                </c:pt>
                <c:pt idx="12">
                  <c:v>0.732584206838964</c:v>
                </c:pt>
                <c:pt idx="13">
                  <c:v>0.789313348074131</c:v>
                </c:pt>
                <c:pt idx="14">
                  <c:v>0.837508012151168</c:v>
                </c:pt>
                <c:pt idx="15">
                  <c:v>0.88262396388933</c:v>
                </c:pt>
                <c:pt idx="16">
                  <c:v>0.912490589536867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SumWorld!$AA$584</c:f>
              <c:strCache>
                <c:ptCount val="1"/>
                <c:pt idx="0">
                  <c:v>Consumption per person (0 - 20 000 $ per person-yr)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SumWorld!$AB$584:$AR$584</c:f>
              <c:numCache>
                <c:formatCode>0.000</c:formatCode>
                <c:ptCount val="17"/>
                <c:pt idx="0">
                  <c:v>0.173451996599095</c:v>
                </c:pt>
                <c:pt idx="1">
                  <c:v>0.193335707992937</c:v>
                </c:pt>
                <c:pt idx="2">
                  <c:v>0.211555321192904</c:v>
                </c:pt>
                <c:pt idx="3">
                  <c:v>0.225023177786362</c:v>
                </c:pt>
                <c:pt idx="4">
                  <c:v>0.25876145348412</c:v>
                </c:pt>
                <c:pt idx="5">
                  <c:v>0.276158301199885</c:v>
                </c:pt>
                <c:pt idx="6">
                  <c:v>0.302500490634264</c:v>
                </c:pt>
                <c:pt idx="7">
                  <c:v>0.342888469802618</c:v>
                </c:pt>
                <c:pt idx="8">
                  <c:v>0.369379897108689</c:v>
                </c:pt>
                <c:pt idx="9">
                  <c:v>0.40217179279349</c:v>
                </c:pt>
                <c:pt idx="10">
                  <c:v>0.434787669076002</c:v>
                </c:pt>
                <c:pt idx="11">
                  <c:v>0.476767002295945</c:v>
                </c:pt>
                <c:pt idx="12">
                  <c:v>0.51636453694834</c:v>
                </c:pt>
                <c:pt idx="13">
                  <c:v>0.547510014568243</c:v>
                </c:pt>
                <c:pt idx="14">
                  <c:v>0.571794288017073</c:v>
                </c:pt>
                <c:pt idx="15">
                  <c:v>0.587767881543225</c:v>
                </c:pt>
                <c:pt idx="16">
                  <c:v>0.589934814047776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SumWorld!$AA$585</c:f>
              <c:strCache>
                <c:ptCount val="1"/>
                <c:pt idx="0">
                  <c:v>Food per person (0 - 1.5 t per person-yr)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SumWorld!$AB$585:$AR$585</c:f>
              <c:numCache>
                <c:formatCode>0.000</c:formatCode>
                <c:ptCount val="17"/>
                <c:pt idx="0">
                  <c:v>0.544826542265391</c:v>
                </c:pt>
                <c:pt idx="1">
                  <c:v>0.548222246826114</c:v>
                </c:pt>
                <c:pt idx="2">
                  <c:v>0.553437834282179</c:v>
                </c:pt>
                <c:pt idx="3">
                  <c:v>0.590643494779288</c:v>
                </c:pt>
                <c:pt idx="4">
                  <c:v>0.575394732622411</c:v>
                </c:pt>
                <c:pt idx="5">
                  <c:v>0.554614220252279</c:v>
                </c:pt>
                <c:pt idx="6">
                  <c:v>0.586485651805717</c:v>
                </c:pt>
                <c:pt idx="7">
                  <c:v>0.619387961495045</c:v>
                </c:pt>
                <c:pt idx="8">
                  <c:v>0.63968334735169</c:v>
                </c:pt>
                <c:pt idx="9">
                  <c:v>0.663665086995049</c:v>
                </c:pt>
                <c:pt idx="10">
                  <c:v>0.701524139171201</c:v>
                </c:pt>
                <c:pt idx="11">
                  <c:v>0.744709082058166</c:v>
                </c:pt>
                <c:pt idx="12">
                  <c:v>0.793188504750999</c:v>
                </c:pt>
                <c:pt idx="13">
                  <c:v>0.83395054893271</c:v>
                </c:pt>
                <c:pt idx="14">
                  <c:v>0.856901421206641</c:v>
                </c:pt>
                <c:pt idx="15">
                  <c:v>0.847232668971879</c:v>
                </c:pt>
                <c:pt idx="16">
                  <c:v>0.843623257625766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SumWorld!$AA$586</c:f>
              <c:strCache>
                <c:ptCount val="1"/>
                <c:pt idx="0">
                  <c:v>Energy use per person (0 - 3 toe per person-yr)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SumWorld!$AB$586:$AR$586</c:f>
              <c:numCache>
                <c:formatCode>0.000</c:formatCode>
                <c:ptCount val="17"/>
                <c:pt idx="0">
                  <c:v>0.441769599503151</c:v>
                </c:pt>
                <c:pt idx="1">
                  <c:v>0.465735853597112</c:v>
                </c:pt>
                <c:pt idx="2">
                  <c:v>0.488025342767262</c:v>
                </c:pt>
                <c:pt idx="3">
                  <c:v>0.480250916942994</c:v>
                </c:pt>
                <c:pt idx="4">
                  <c:v>0.499714051258996</c:v>
                </c:pt>
                <c:pt idx="5">
                  <c:v>0.488995760934989</c:v>
                </c:pt>
                <c:pt idx="6">
                  <c:v>0.499433076201275</c:v>
                </c:pt>
                <c:pt idx="7">
                  <c:v>0.541621767865778</c:v>
                </c:pt>
                <c:pt idx="8">
                  <c:v>0.569498065626012</c:v>
                </c:pt>
                <c:pt idx="9">
                  <c:v>0.608857963870783</c:v>
                </c:pt>
                <c:pt idx="10">
                  <c:v>0.656447304398697</c:v>
                </c:pt>
                <c:pt idx="11">
                  <c:v>0.698657220012463</c:v>
                </c:pt>
                <c:pt idx="12">
                  <c:v>0.726809917937326</c:v>
                </c:pt>
                <c:pt idx="13">
                  <c:v>0.742949249741021</c:v>
                </c:pt>
                <c:pt idx="14">
                  <c:v>0.745357139112306</c:v>
                </c:pt>
                <c:pt idx="15">
                  <c:v>0.7413301649801</c:v>
                </c:pt>
                <c:pt idx="16">
                  <c:v>0.724098137145892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SumWorld!$AA$559</c:f>
              <c:strCache>
                <c:ptCount val="1"/>
                <c:pt idx="0">
                  <c:v>Sea level rise (0 - 0.8 m)</c:v>
                </c:pt>
              </c:strCache>
            </c:strRef>
          </c:tx>
          <c:spPr>
            <a:solidFill>
              <a:srgbClr val="0d0d0d"/>
            </a:solidFill>
            <a:ln w="28440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SumWorld!$AB$559:$AR$559</c:f>
              <c:numCache>
                <c:formatCode>#,##0.000</c:formatCode>
                <c:ptCount val="17"/>
                <c:pt idx="7">
                  <c:v>0.0234931063652039</c:v>
                </c:pt>
                <c:pt idx="8">
                  <c:v>0.0558284044265747</c:v>
                </c:pt>
                <c:pt idx="9">
                  <c:v>0.0902567386627197</c:v>
                </c:pt>
                <c:pt idx="10">
                  <c:v>0.128428058624268</c:v>
                </c:pt>
                <c:pt idx="11">
                  <c:v>0.171287422180176</c:v>
                </c:pt>
                <c:pt idx="12">
                  <c:v>0.218884449005127</c:v>
                </c:pt>
                <c:pt idx="13">
                  <c:v>0.270819759368896</c:v>
                </c:pt>
                <c:pt idx="14">
                  <c:v>0.327321701049805</c:v>
                </c:pt>
                <c:pt idx="15">
                  <c:v>0.388355827331543</c:v>
                </c:pt>
                <c:pt idx="16">
                  <c:v>0.454001922607422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SumWorld!$AA$588</c:f>
              <c:strCache>
                <c:ptCount val="1"/>
                <c:pt idx="0">
                  <c:v>GDP per person (0 - 20 000$ per person-yr),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SumWorld!$AB$588:$AR$588</c:f>
              <c:numCache>
                <c:formatCode>0.000</c:formatCode>
                <c:ptCount val="17"/>
                <c:pt idx="9">
                  <c:v>0.534463351308574</c:v>
                </c:pt>
                <c:pt idx="10">
                  <c:v>0.579382944744807</c:v>
                </c:pt>
                <c:pt idx="11">
                  <c:v>0.644472014128067</c:v>
                </c:pt>
                <c:pt idx="12">
                  <c:v>0.706286593269542</c:v>
                </c:pt>
                <c:pt idx="13">
                  <c:v>0.756983945045031</c:v>
                </c:pt>
                <c:pt idx="14">
                  <c:v>0.799453412473371</c:v>
                </c:pt>
                <c:pt idx="15">
                  <c:v>0.839203545169131</c:v>
                </c:pt>
                <c:pt idx="16">
                  <c:v>0.865019708726474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SumWorld!$AA$589</c:f>
              <c:strCache>
                <c:ptCount val="1"/>
                <c:pt idx="0">
                  <c:v>Consumption per person (0 - 20 000$ per person-yr),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SumWorld!$AB$589:$AR$589</c:f>
              <c:numCache>
                <c:formatCode>0.000</c:formatCode>
                <c:ptCount val="17"/>
                <c:pt idx="9">
                  <c:v>0.402166828750835</c:v>
                </c:pt>
                <c:pt idx="10">
                  <c:v>0.424353688270479</c:v>
                </c:pt>
                <c:pt idx="11">
                  <c:v>0.463018117455422</c:v>
                </c:pt>
                <c:pt idx="12">
                  <c:v>0.498808965043936</c:v>
                </c:pt>
                <c:pt idx="13">
                  <c:v>0.526326927386522</c:v>
                </c:pt>
                <c:pt idx="14">
                  <c:v>0.547302302912466</c:v>
                </c:pt>
                <c:pt idx="15">
                  <c:v>0.560693741225191</c:v>
                </c:pt>
                <c:pt idx="16">
                  <c:v>0.561470721802296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SumWorld!$AA$590</c:f>
              <c:strCache>
                <c:ptCount val="1"/>
                <c:pt idx="0">
                  <c:v>Food per person (0 - 1.5 t per person-yr),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SumWorld!$AB$590:$AR$590</c:f>
              <c:numCache>
                <c:formatCode>0.000</c:formatCode>
                <c:ptCount val="17"/>
                <c:pt idx="9">
                  <c:v>0.663664177606721</c:v>
                </c:pt>
                <c:pt idx="10">
                  <c:v>0.674244865934579</c:v>
                </c:pt>
                <c:pt idx="11">
                  <c:v>0.716173391352393</c:v>
                </c:pt>
                <c:pt idx="12">
                  <c:v>0.763145921744579</c:v>
                </c:pt>
                <c:pt idx="13">
                  <c:v>0.80262280313938</c:v>
                </c:pt>
                <c:pt idx="14">
                  <c:v>0.82485353129816</c:v>
                </c:pt>
                <c:pt idx="15">
                  <c:v>0.815555403237061</c:v>
                </c:pt>
                <c:pt idx="16">
                  <c:v>0.811959319887021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SumWorld!$AA$591</c:f>
              <c:strCache>
                <c:ptCount val="1"/>
                <c:pt idx="0">
                  <c:v>Energy use per person (0 - 3 toe per person-yr),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SumWorld!$AB$582:$AR$582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SumWorld!$AB$591:$AR$591</c:f>
              <c:numCache>
                <c:formatCode>0.000</c:formatCode>
                <c:ptCount val="17"/>
                <c:pt idx="9">
                  <c:v>0.608850726400307</c:v>
                </c:pt>
                <c:pt idx="10">
                  <c:v>0.640157606259465</c:v>
                </c:pt>
                <c:pt idx="11">
                  <c:v>0.677974871767457</c:v>
                </c:pt>
                <c:pt idx="12">
                  <c:v>0.701894449058</c:v>
                </c:pt>
                <c:pt idx="13">
                  <c:v>0.714322213589958</c:v>
                </c:pt>
                <c:pt idx="14">
                  <c:v>0.714014059466168</c:v>
                </c:pt>
                <c:pt idx="15">
                  <c:v>0.708180466184158</c:v>
                </c:pt>
                <c:pt idx="16">
                  <c:v>0.69038716490925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936268"/>
        <c:axId val="11485254"/>
      </c:lineChart>
      <c:catAx>
        <c:axId val="3093626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85254"/>
        <c:crosses val="autoZero"/>
        <c:auto val="1"/>
        <c:lblAlgn val="ctr"/>
        <c:lblOffset val="100"/>
        <c:noMultiLvlLbl val="0"/>
      </c:catAx>
      <c:valAx>
        <c:axId val="1148525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93626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4532098299356"/>
          <c:y val="0.0436309705777859"/>
          <c:w val="0.222625435947219"/>
          <c:h val="0.877970657655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14. Production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9090508050879"/>
          <c:y val="0.115994236311239"/>
          <c:w val="0.694875376810529"/>
          <c:h val="0.807019349526554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SumWorld!$AA$557</c:f>
              <c:strCache>
                <c:ptCount val="1"/>
                <c:pt idx="0">
                  <c:v>Food production (0 - 11 Gt per year)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SumWorld!$AB$557:$AR$557</c:f>
              <c:numCache>
                <c:formatCode>#,##0.000</c:formatCode>
                <c:ptCount val="17"/>
                <c:pt idx="0">
                  <c:v>0.274606418818182</c:v>
                </c:pt>
                <c:pt idx="1">
                  <c:v>0.304743231363636</c:v>
                </c:pt>
                <c:pt idx="2">
                  <c:v>0.336063111090909</c:v>
                </c:pt>
                <c:pt idx="3">
                  <c:v>0.391700531363636</c:v>
                </c:pt>
                <c:pt idx="4">
                  <c:v>0.416357602181818</c:v>
                </c:pt>
                <c:pt idx="5">
                  <c:v>0.433070966272727</c:v>
                </c:pt>
                <c:pt idx="6">
                  <c:v>0.489670484090909</c:v>
                </c:pt>
                <c:pt idx="7">
                  <c:v>0.549564568454546</c:v>
                </c:pt>
                <c:pt idx="8">
                  <c:v>0.601525277727273</c:v>
                </c:pt>
                <c:pt idx="9">
                  <c:v>0.654545454545455</c:v>
                </c:pt>
                <c:pt idx="10">
                  <c:v>0.718636363636364</c:v>
                </c:pt>
                <c:pt idx="11">
                  <c:v>0.785454545454545</c:v>
                </c:pt>
                <c:pt idx="12">
                  <c:v>0.855</c:v>
                </c:pt>
                <c:pt idx="13">
                  <c:v>0.911818181818182</c:v>
                </c:pt>
                <c:pt idx="14">
                  <c:v>0.942727272727273</c:v>
                </c:pt>
                <c:pt idx="15">
                  <c:v>0.93</c:v>
                </c:pt>
                <c:pt idx="16">
                  <c:v>0.916363636363636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SumWorld!$AA$556</c:f>
              <c:strCache>
                <c:ptCount val="1"/>
                <c:pt idx="0">
                  <c:v>Energy use (0 - 22 Mtoe per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SumWorld!$AB$556:$AR$556</c:f>
              <c:numCache>
                <c:formatCode>#,##0.000</c:formatCode>
                <c:ptCount val="17"/>
                <c:pt idx="0">
                  <c:v>0.222663101466907</c:v>
                </c:pt>
                <c:pt idx="1">
                  <c:v>0.258891078953428</c:v>
                </c:pt>
                <c:pt idx="2">
                  <c:v>0.296342795563109</c:v>
                </c:pt>
                <c:pt idx="3">
                  <c:v>0.318490834178643</c:v>
                </c:pt>
                <c:pt idx="4">
                  <c:v>0.361594801555634</c:v>
                </c:pt>
                <c:pt idx="5">
                  <c:v>0.381832738791037</c:v>
                </c:pt>
                <c:pt idx="6">
                  <c:v>0.416988268070203</c:v>
                </c:pt>
                <c:pt idx="7">
                  <c:v>0.480564931233533</c:v>
                </c:pt>
                <c:pt idx="8">
                  <c:v>0.535526653162181</c:v>
                </c:pt>
                <c:pt idx="9">
                  <c:v>0.600491453482763</c:v>
                </c:pt>
                <c:pt idx="10">
                  <c:v>0.672459973094164</c:v>
                </c:pt>
                <c:pt idx="11">
                  <c:v>0.736883035798084</c:v>
                </c:pt>
                <c:pt idx="12">
                  <c:v>0.783448670920279</c:v>
                </c:pt>
                <c:pt idx="13">
                  <c:v>0.81231990907497</c:v>
                </c:pt>
                <c:pt idx="14">
                  <c:v>0.820010896905373</c:v>
                </c:pt>
                <c:pt idx="15">
                  <c:v>0.813751733945916</c:v>
                </c:pt>
                <c:pt idx="16">
                  <c:v>0.786532609243796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SumWorld!$AA$555</c:f>
              <c:strCache>
                <c:ptCount val="1"/>
                <c:pt idx="0">
                  <c:v>Investment share of GDP (0 - 40 %)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SumWorld!$AB$555:$AR$555</c:f>
              <c:numCache>
                <c:formatCode>#,##0.000</c:formatCode>
                <c:ptCount val="17"/>
                <c:pt idx="0">
                  <c:v>0.571672835444565</c:v>
                </c:pt>
                <c:pt idx="1">
                  <c:v>0.552790919493477</c:v>
                </c:pt>
                <c:pt idx="2">
                  <c:v>0.573816300654776</c:v>
                </c:pt>
                <c:pt idx="3">
                  <c:v>0.547737400432517</c:v>
                </c:pt>
                <c:pt idx="4">
                  <c:v>0.604953500007654</c:v>
                </c:pt>
                <c:pt idx="5">
                  <c:v>0.595040511420098</c:v>
                </c:pt>
                <c:pt idx="6">
                  <c:v>0.607124470532126</c:v>
                </c:pt>
                <c:pt idx="7">
                  <c:v>0.620478201750653</c:v>
                </c:pt>
                <c:pt idx="8">
                  <c:v>0.593530019339994</c:v>
                </c:pt>
                <c:pt idx="9">
                  <c:v>0.618827236710053</c:v>
                </c:pt>
                <c:pt idx="10">
                  <c:v>0.670588698077439</c:v>
                </c:pt>
                <c:pt idx="11">
                  <c:v>0.706565355824234</c:v>
                </c:pt>
                <c:pt idx="12">
                  <c:v>0.737866268041705</c:v>
                </c:pt>
                <c:pt idx="13">
                  <c:v>0.765866097716043</c:v>
                </c:pt>
                <c:pt idx="14">
                  <c:v>0.793167707887355</c:v>
                </c:pt>
                <c:pt idx="15">
                  <c:v>0.835169036898811</c:v>
                </c:pt>
                <c:pt idx="16">
                  <c:v>0.883723567091263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SumWorld!$AA$554</c:f>
              <c:strCache>
                <c:ptCount val="1"/>
                <c:pt idx="0">
                  <c:v>Unused bio-capacity (0 - 50 %)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SumWorld!$AB$554:$AR$554</c:f>
              <c:numCache>
                <c:formatCode>#,##0.000</c:formatCode>
                <c:ptCount val="17"/>
                <c:pt idx="0">
                  <c:v>0.796984476738167</c:v>
                </c:pt>
                <c:pt idx="1">
                  <c:v>0.765110669208656</c:v>
                </c:pt>
                <c:pt idx="2">
                  <c:v>0.736100872565498</c:v>
                </c:pt>
                <c:pt idx="3">
                  <c:v>0.73970716371752</c:v>
                </c:pt>
                <c:pt idx="4">
                  <c:v>0.679127939638493</c:v>
                </c:pt>
                <c:pt idx="5">
                  <c:v>0.662112604066109</c:v>
                </c:pt>
                <c:pt idx="6">
                  <c:v>0.640572023724639</c:v>
                </c:pt>
                <c:pt idx="7">
                  <c:v>0.598375950150887</c:v>
                </c:pt>
                <c:pt idx="8">
                  <c:v>0.594284117823092</c:v>
                </c:pt>
                <c:pt idx="9">
                  <c:v>0.573978833870489</c:v>
                </c:pt>
                <c:pt idx="10">
                  <c:v>0.551029686435961</c:v>
                </c:pt>
                <c:pt idx="11">
                  <c:v>0.537014620038476</c:v>
                </c:pt>
                <c:pt idx="12">
                  <c:v>0.530843661042225</c:v>
                </c:pt>
                <c:pt idx="13">
                  <c:v>0.519831137974211</c:v>
                </c:pt>
                <c:pt idx="14">
                  <c:v>0.504507268200405</c:v>
                </c:pt>
                <c:pt idx="15">
                  <c:v>0.484241255530774</c:v>
                </c:pt>
                <c:pt idx="16">
                  <c:v>0.428968288498269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SumWorld!$AA$558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SumWorld!$AB$558:$AR$558</c:f>
              <c:numCache>
                <c:formatCode>0.000</c:formatCode>
                <c:ptCount val="17"/>
                <c:pt idx="0">
                  <c:v>0.133981511024615</c:v>
                </c:pt>
                <c:pt idx="1">
                  <c:v>0.140796260069414</c:v>
                </c:pt>
                <c:pt idx="2">
                  <c:v>0.144877263516815</c:v>
                </c:pt>
                <c:pt idx="3">
                  <c:v>0.156711763316642</c:v>
                </c:pt>
                <c:pt idx="4">
                  <c:v>0.158835318090728</c:v>
                </c:pt>
                <c:pt idx="5">
                  <c:v>0.173164916871647</c:v>
                </c:pt>
                <c:pt idx="6">
                  <c:v>0.175442220779459</c:v>
                </c:pt>
                <c:pt idx="7">
                  <c:v>0.17604896634856</c:v>
                </c:pt>
                <c:pt idx="8">
                  <c:v>0.205985934730861</c:v>
                </c:pt>
                <c:pt idx="9">
                  <c:v>0.249361397194315</c:v>
                </c:pt>
                <c:pt idx="10">
                  <c:v>0.299363617098729</c:v>
                </c:pt>
                <c:pt idx="11">
                  <c:v>0.372769124873645</c:v>
                </c:pt>
                <c:pt idx="12">
                  <c:v>0.449190407836081</c:v>
                </c:pt>
                <c:pt idx="13">
                  <c:v>0.545664089248133</c:v>
                </c:pt>
                <c:pt idx="14">
                  <c:v>0.645403196954527</c:v>
                </c:pt>
                <c:pt idx="15">
                  <c:v>0.773726818388405</c:v>
                </c:pt>
                <c:pt idx="16">
                  <c:v>0.926376545064812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SumWorld!$AA$564</c:f>
              <c:strCache>
                <c:ptCount val="1"/>
                <c:pt idx="0">
                  <c:v>Food production (0 - 11 Gt per year),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SumWorld!$AB$564:$AR$564</c:f>
              <c:numCache>
                <c:formatCode>#,##0.000</c:formatCode>
                <c:ptCount val="17"/>
                <c:pt idx="9">
                  <c:v>0.654545454545455</c:v>
                </c:pt>
                <c:pt idx="10">
                  <c:v>0.690178363636364</c:v>
                </c:pt>
                <c:pt idx="11">
                  <c:v>0.754350545454545</c:v>
                </c:pt>
                <c:pt idx="12">
                  <c:v>0.821142</c:v>
                </c:pt>
                <c:pt idx="13">
                  <c:v>0.875710181818182</c:v>
                </c:pt>
                <c:pt idx="14">
                  <c:v>0.905395272727273</c:v>
                </c:pt>
                <c:pt idx="15">
                  <c:v>0.893172</c:v>
                </c:pt>
                <c:pt idx="16">
                  <c:v>0.880075636363636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SumWorld!$AA$563</c:f>
              <c:strCache>
                <c:ptCount val="1"/>
                <c:pt idx="0">
                  <c:v>Energy use (0 - 22 Mtoe per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SumWorld!$AB$563:$AR$563</c:f>
              <c:numCache>
                <c:formatCode>#,##0.000</c:formatCode>
                <c:ptCount val="17"/>
                <c:pt idx="9">
                  <c:v>0.60048513828055</c:v>
                </c:pt>
                <c:pt idx="10">
                  <c:v>0.655285566832033</c:v>
                </c:pt>
                <c:pt idx="11">
                  <c:v>0.714115772098838</c:v>
                </c:pt>
                <c:pt idx="12">
                  <c:v>0.755235657121531</c:v>
                </c:pt>
                <c:pt idx="13">
                  <c:v>0.779368880491425</c:v>
                </c:pt>
                <c:pt idx="14">
                  <c:v>0.783733026012591</c:v>
                </c:pt>
                <c:pt idx="15">
                  <c:v>0.77557816529943</c:v>
                </c:pt>
                <c:pt idx="16">
                  <c:v>0.7483046362216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SumWorld!$AA$562</c:f>
              <c:strCache>
                <c:ptCount val="1"/>
                <c:pt idx="0">
                  <c:v>Investment share of GDP (0 - 40 %),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SumWorld!$AB$562:$AR$562</c:f>
              <c:numCache>
                <c:formatCode>#,##0.000</c:formatCode>
                <c:ptCount val="17"/>
                <c:pt idx="9">
                  <c:v>0.618828785144136</c:v>
                </c:pt>
                <c:pt idx="10">
                  <c:v>0.66894123256688</c:v>
                </c:pt>
                <c:pt idx="11">
                  <c:v>0.703885865851528</c:v>
                </c:pt>
                <c:pt idx="12">
                  <c:v>0.734396030601227</c:v>
                </c:pt>
                <c:pt idx="13">
                  <c:v>0.761763242035431</c:v>
                </c:pt>
                <c:pt idx="14">
                  <c:v>0.788510955193726</c:v>
                </c:pt>
                <c:pt idx="15">
                  <c:v>0.829684900484452</c:v>
                </c:pt>
                <c:pt idx="16">
                  <c:v>0.877289222031365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SumWorld!$AA$561</c:f>
              <c:strCache>
                <c:ptCount val="1"/>
                <c:pt idx="0">
                  <c:v>Unused bio-capacity (0 - 50 %),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SumWorld!$AB$561:$AR$561</c:f>
              <c:numCache>
                <c:formatCode>#,##0.000</c:formatCode>
                <c:ptCount val="17"/>
                <c:pt idx="9">
                  <c:v>0.573974894979258</c:v>
                </c:pt>
                <c:pt idx="10">
                  <c:v>0.521905568346341</c:v>
                </c:pt>
                <c:pt idx="11">
                  <c:v>0.507900183711523</c:v>
                </c:pt>
                <c:pt idx="12">
                  <c:v>0.501765434132834</c:v>
                </c:pt>
                <c:pt idx="13">
                  <c:v>0.490549763553941</c:v>
                </c:pt>
                <c:pt idx="14">
                  <c:v>0.47477360875879</c:v>
                </c:pt>
                <c:pt idx="15">
                  <c:v>0.453781417817429</c:v>
                </c:pt>
                <c:pt idx="16">
                  <c:v>0.396885052423056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SumWorld!$AA$565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SumWorld!$AB$553:$AR$553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SumWorld!$AB$565:$AR$565</c:f>
              <c:numCache>
                <c:formatCode>0.000</c:formatCode>
                <c:ptCount val="17"/>
                <c:pt idx="9">
                  <c:v>0.249362179240748</c:v>
                </c:pt>
                <c:pt idx="10">
                  <c:v>0.293362606984357</c:v>
                </c:pt>
                <c:pt idx="11">
                  <c:v>0.365277137441426</c:v>
                </c:pt>
                <c:pt idx="12">
                  <c:v>0.440169882254232</c:v>
                </c:pt>
                <c:pt idx="13">
                  <c:v>0.534658162046542</c:v>
                </c:pt>
                <c:pt idx="14">
                  <c:v>0.632395248064888</c:v>
                </c:pt>
                <c:pt idx="15">
                  <c:v>0.758249729314151</c:v>
                </c:pt>
                <c:pt idx="16">
                  <c:v>0.908000854585323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318493"/>
        <c:axId val="92671358"/>
      </c:lineChart>
      <c:catAx>
        <c:axId val="1131849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71358"/>
        <c:crosses val="autoZero"/>
        <c:auto val="1"/>
        <c:lblAlgn val="ctr"/>
        <c:lblOffset val="100"/>
        <c:noMultiLvlLbl val="0"/>
      </c:catAx>
      <c:valAx>
        <c:axId val="9267135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1849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48763055945062"/>
          <c:y val="0.0650753102682047"/>
          <c:w val="0.238394478301514"/>
          <c:h val="0.7862933488204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2. Potential Work Force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00411248194"/>
          <c:y val="0.116432021374987"/>
          <c:w val="0.711051832092179"/>
          <c:h val="0.806289178912753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SumWorld!$AA$71</c:f>
              <c:strCache>
                <c:ptCount val="1"/>
                <c:pt idx="0">
                  <c:v>People SumWorld Age15-64 (0 - 6 Gp)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SumWorld!$AB$71:$AR$71</c:f>
              <c:numCache>
                <c:formatCode>#,##0.000</c:formatCode>
                <c:ptCount val="17"/>
                <c:pt idx="0">
                  <c:v>0.352362549833333</c:v>
                </c:pt>
                <c:pt idx="1">
                  <c:v>0.391324993</c:v>
                </c:pt>
                <c:pt idx="2">
                  <c:v>0.435879695666667</c:v>
                </c:pt>
                <c:pt idx="3">
                  <c:v>0.487844559333333</c:v>
                </c:pt>
                <c:pt idx="4">
                  <c:v>0.540027081</c:v>
                </c:pt>
                <c:pt idx="5">
                  <c:v>0.588534602166667</c:v>
                </c:pt>
                <c:pt idx="6">
                  <c:v>0.6419700275</c:v>
                </c:pt>
                <c:pt idx="7">
                  <c:v>0.699501548166667</c:v>
                </c:pt>
                <c:pt idx="8">
                  <c:v>0.7541416415</c:v>
                </c:pt>
                <c:pt idx="9">
                  <c:v>0.800735150833334</c:v>
                </c:pt>
                <c:pt idx="10">
                  <c:v>0.838629845</c:v>
                </c:pt>
                <c:pt idx="11">
                  <c:v>0.874766483666667</c:v>
                </c:pt>
                <c:pt idx="12">
                  <c:v>0.8953390715</c:v>
                </c:pt>
                <c:pt idx="13">
                  <c:v>0.901936245</c:v>
                </c:pt>
                <c:pt idx="14">
                  <c:v>0.899485137833333</c:v>
                </c:pt>
                <c:pt idx="15">
                  <c:v>0.895079614333333</c:v>
                </c:pt>
                <c:pt idx="16">
                  <c:v>0.881649924833333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SumWorld!$AA$72</c:f>
              <c:strCache>
                <c:ptCount val="1"/>
                <c:pt idx="0">
                  <c:v>Support burden (pop/age15-64) (0 - 3)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SumWorld!$AB$72:$AR$72</c:f>
              <c:numCache>
                <c:formatCode>#,##0.000</c:formatCode>
                <c:ptCount val="17"/>
                <c:pt idx="0">
                  <c:v>0.582762509136665</c:v>
                </c:pt>
                <c:pt idx="1">
                  <c:v>0.578720341846968</c:v>
                </c:pt>
                <c:pt idx="2">
                  <c:v>0.567563267554727</c:v>
                </c:pt>
                <c:pt idx="3">
                  <c:v>0.55382963486543</c:v>
                </c:pt>
                <c:pt idx="4">
                  <c:v>0.545901136843995</c:v>
                </c:pt>
                <c:pt idx="5">
                  <c:v>0.540536453112063</c:v>
                </c:pt>
                <c:pt idx="6">
                  <c:v>0.529859474025228</c:v>
                </c:pt>
                <c:pt idx="7">
                  <c:v>0.516768705758596</c:v>
                </c:pt>
                <c:pt idx="8">
                  <c:v>0.508001314822561</c:v>
                </c:pt>
                <c:pt idx="9">
                  <c:v>0.501800242676995</c:v>
                </c:pt>
                <c:pt idx="10">
                  <c:v>0.497651338674166</c:v>
                </c:pt>
                <c:pt idx="11">
                  <c:v>0.49121451702113</c:v>
                </c:pt>
                <c:pt idx="12">
                  <c:v>0.490491049941587</c:v>
                </c:pt>
                <c:pt idx="13">
                  <c:v>0.493879534624451</c:v>
                </c:pt>
                <c:pt idx="14">
                  <c:v>0.498299139497353</c:v>
                </c:pt>
                <c:pt idx="15">
                  <c:v>0.499628852293465</c:v>
                </c:pt>
                <c:pt idx="16">
                  <c:v>0.50194028040022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SumWorld!$AA$75</c:f>
              <c:strCache>
                <c:ptCount val="1"/>
                <c:pt idx="0">
                  <c:v>People SumWorld Age15-64 (0 - 6 Gp)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SumWorld!$AB$75:$AR$75</c:f>
              <c:numCache>
                <c:formatCode>#,##0.000</c:formatCode>
                <c:ptCount val="17"/>
                <c:pt idx="9">
                  <c:v>0.800733094666667</c:v>
                </c:pt>
                <c:pt idx="10">
                  <c:v>0.8218572481</c:v>
                </c:pt>
                <c:pt idx="11">
                  <c:v>0.857271153993333</c:v>
                </c:pt>
                <c:pt idx="12">
                  <c:v>0.87743229007</c:v>
                </c:pt>
                <c:pt idx="13">
                  <c:v>0.8838975201</c:v>
                </c:pt>
                <c:pt idx="14">
                  <c:v>0.881495435076667</c:v>
                </c:pt>
                <c:pt idx="15">
                  <c:v>0.877178022046667</c:v>
                </c:pt>
                <c:pt idx="16">
                  <c:v>0.864016926336667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SumWorld!$AA$76</c:f>
              <c:strCache>
                <c:ptCount val="1"/>
                <c:pt idx="0">
                  <c:v>Support burden (pop/age15-64) (0 - 3) Your forecast 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SumWorld!$AB$69:$AR$69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SumWorld!$AB$76:$AR$76</c:f>
              <c:numCache>
                <c:formatCode>#,##0.000</c:formatCode>
                <c:ptCount val="17"/>
                <c:pt idx="9">
                  <c:v>0.501802218822804</c:v>
                </c:pt>
                <c:pt idx="10">
                  <c:v>0.507430098050715</c:v>
                </c:pt>
                <c:pt idx="11">
                  <c:v>0.500571060237513</c:v>
                </c:pt>
                <c:pt idx="12">
                  <c:v>0.49960409193484</c:v>
                </c:pt>
                <c:pt idx="13">
                  <c:v>0.502893370644074</c:v>
                </c:pt>
                <c:pt idx="14">
                  <c:v>0.507306279390399</c:v>
                </c:pt>
                <c:pt idx="15">
                  <c:v>0.508654404908514</c:v>
                </c:pt>
                <c:pt idx="16">
                  <c:v>0.511084132457362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873741"/>
        <c:axId val="56696307"/>
      </c:lineChart>
      <c:catAx>
        <c:axId val="83873741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696307"/>
        <c:crosses val="autoZero"/>
        <c:auto val="1"/>
        <c:lblAlgn val="ctr"/>
        <c:lblOffset val="100"/>
        <c:noMultiLvlLbl val="0"/>
      </c:catAx>
      <c:valAx>
        <c:axId val="5669630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7374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2759707763421"/>
          <c:y val="0.0972276100071504"/>
          <c:w val="0.23729852260159"/>
          <c:h val="0.36856730592199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3. Labour Productivity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70953436807"/>
          <c:y val="0.116427124529758"/>
          <c:w val="0.711049519586105"/>
          <c:h val="0.806308478827047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SumWorld!$AA$109</c:f>
              <c:strCache>
                <c:ptCount val="1"/>
                <c:pt idx="0">
                  <c:v>Labor productivity (0 - 30000 $ / person-yr)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SumWorld!$AB$109:$AR$109</c:f>
              <c:numCache>
                <c:formatCode>#,##0.000</c:formatCode>
                <c:ptCount val="17"/>
                <c:pt idx="0">
                  <c:v>0.262095879295869</c:v>
                </c:pt>
                <c:pt idx="1">
                  <c:v>0.287301728769139</c:v>
                </c:pt>
                <c:pt idx="2">
                  <c:v>0.311681148079621</c:v>
                </c:pt>
                <c:pt idx="3">
                  <c:v>0.319179664706197</c:v>
                </c:pt>
                <c:pt idx="4">
                  <c:v>0.37270370840229</c:v>
                </c:pt>
                <c:pt idx="5">
                  <c:v>0.391802632872046</c:v>
                </c:pt>
                <c:pt idx="6">
                  <c:v>0.423384285877749</c:v>
                </c:pt>
                <c:pt idx="7">
                  <c:v>0.471380621721145</c:v>
                </c:pt>
                <c:pt idx="8">
                  <c:v>0.492128056837472</c:v>
                </c:pt>
                <c:pt idx="9">
                  <c:v>0.536393858022572</c:v>
                </c:pt>
                <c:pt idx="10">
                  <c:v>0.591372386645099</c:v>
                </c:pt>
                <c:pt idx="11">
                  <c:v>0.652922796838373</c:v>
                </c:pt>
                <c:pt idx="12">
                  <c:v>0.718651993566136</c:v>
                </c:pt>
                <c:pt idx="13">
                  <c:v>0.779651418039438</c:v>
                </c:pt>
                <c:pt idx="14">
                  <c:v>0.834659043554132</c:v>
                </c:pt>
                <c:pt idx="15">
                  <c:v>0.881968796169468</c:v>
                </c:pt>
                <c:pt idx="16">
                  <c:v>0.916031564749395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SumWorld!$AA$111</c:f>
              <c:strCache>
                <c:ptCount val="1"/>
                <c:pt idx="0">
                  <c:v>Growth in productivity (0 - 4 %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f6228"/>
                </a:solidFill>
                <a:prstDash val="sysDash"/>
                <a:round/>
              </a:ln>
            </c:spPr>
            <c:trendlineType val="poly"/>
            <c:order val="2"/>
            <c:forward val="0"/>
            <c:backward val="0"/>
            <c:dispRSqr val="0"/>
            <c:dispEq val="0"/>
          </c:trendline>
          <c:cat>
            <c:strRef>
              <c:f>SumWorld!$B$95:$R$95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SumWorld!$AB$111:$AR$111</c:f>
              <c:numCache>
                <c:formatCode>#,##0.000</c:formatCode>
                <c:ptCount val="17"/>
                <c:pt idx="1">
                  <c:v>0.480851693299922</c:v>
                </c:pt>
                <c:pt idx="2">
                  <c:v>0.424282502839947</c:v>
                </c:pt>
                <c:pt idx="3">
                  <c:v>0.120291468906231</c:v>
                </c:pt>
                <c:pt idx="4">
                  <c:v>0.83846262175508</c:v>
                </c:pt>
                <c:pt idx="5">
                  <c:v>0.256221283008278</c:v>
                </c:pt>
                <c:pt idx="6">
                  <c:v>0.403030127365394</c:v>
                </c:pt>
                <c:pt idx="7">
                  <c:v>0.566817634054264</c:v>
                </c:pt>
                <c:pt idx="8">
                  <c:v>0.220070938009422</c:v>
                </c:pt>
                <c:pt idx="9">
                  <c:v>0.449738645969113</c:v>
                </c:pt>
                <c:pt idx="10">
                  <c:v>0.51248283141428</c:v>
                </c:pt>
                <c:pt idx="11">
                  <c:v>0.520403146843342</c:v>
                </c:pt>
                <c:pt idx="12">
                  <c:v>0.503345855329617</c:v>
                </c:pt>
                <c:pt idx="13">
                  <c:v>0.424401692470146</c:v>
                </c:pt>
                <c:pt idx="14">
                  <c:v>0.352770637248496</c:v>
                </c:pt>
                <c:pt idx="15">
                  <c:v>0.283407655980598</c:v>
                </c:pt>
                <c:pt idx="16">
                  <c:v>0.193106426938611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SumWorld!$AA$112</c:f>
              <c:strCache>
                <c:ptCount val="1"/>
                <c:pt idx="0">
                  <c:v>Labor productivity (0 - 30000 $ / person-yr)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SumWorld!$AB$112:$AR$112</c:f>
              <c:numCache>
                <c:formatCode>#,##0.000</c:formatCode>
                <c:ptCount val="17"/>
                <c:pt idx="9">
                  <c:v>0.536389791132228</c:v>
                </c:pt>
                <c:pt idx="10">
                  <c:v>0.587992688921539</c:v>
                </c:pt>
                <c:pt idx="11">
                  <c:v>0.645208078810984</c:v>
                </c:pt>
                <c:pt idx="12">
                  <c:v>0.705727344152362</c:v>
                </c:pt>
                <c:pt idx="13">
                  <c:v>0.761364415294289</c:v>
                </c:pt>
                <c:pt idx="14">
                  <c:v>0.811135472455647</c:v>
                </c:pt>
                <c:pt idx="15">
                  <c:v>0.853729159730239</c:v>
                </c:pt>
                <c:pt idx="16">
                  <c:v>0.88419569478598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SumWorld!$AA$113</c:f>
              <c:strCache>
                <c:ptCount val="1"/>
                <c:pt idx="0">
                  <c:v>Growth in productivity (0 - 4 % / yr)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SumWorld!$B$95:$R$95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SumWorld!$AB$113:$AR$113</c:f>
              <c:numCache>
                <c:formatCode>#,##0.000</c:formatCode>
                <c:ptCount val="17"/>
                <c:pt idx="9">
                  <c:v>0.449697326537242</c:v>
                </c:pt>
                <c:pt idx="10">
                  <c:v>0.481020506378259</c:v>
                </c:pt>
                <c:pt idx="11">
                  <c:v>0.486531473668368</c:v>
                </c:pt>
                <c:pt idx="12">
                  <c:v>0.468990294207925</c:v>
                </c:pt>
                <c:pt idx="13">
                  <c:v>0.39418248139975</c:v>
                </c:pt>
                <c:pt idx="14">
                  <c:v>0.326854369350323</c:v>
                </c:pt>
                <c:pt idx="15">
                  <c:v>0.262555939919891</c:v>
                </c:pt>
                <c:pt idx="16">
                  <c:v>0.178432086502515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199730"/>
        <c:axId val="71302810"/>
      </c:lineChart>
      <c:catAx>
        <c:axId val="9419973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02810"/>
        <c:crosses val="autoZero"/>
        <c:auto val="1"/>
        <c:lblAlgn val="ctr"/>
        <c:lblOffset val="100"/>
        <c:noMultiLvlLbl val="0"/>
      </c:catAx>
      <c:valAx>
        <c:axId val="7130281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9973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3352784941352"/>
          <c:y val="0.11170855551453"/>
          <c:w val="0.227466586185565"/>
          <c:h val="0.7876162426261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4. Production (GDP) and Consumption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40943292347"/>
          <c:y val="0.116441005802708"/>
          <c:w val="0.7110662506882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SumWorld!$AA$135</c:f>
              <c:strCache>
                <c:ptCount val="1"/>
                <c:pt idx="0">
                  <c:v>GDP SumWorld (0 - 150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SumWorld!$AB$135:$AR$135</c:f>
              <c:numCache>
                <c:formatCode>#,##0.000</c:formatCode>
                <c:ptCount val="17"/>
                <c:pt idx="0">
                  <c:v>0.110823326795402</c:v>
                </c:pt>
                <c:pt idx="1">
                  <c:v>0.134914016399365</c:v>
                </c:pt>
                <c:pt idx="2">
                  <c:v>0.163026580763979</c:v>
                </c:pt>
                <c:pt idx="3">
                  <c:v>0.186852075452107</c:v>
                </c:pt>
                <c:pt idx="4">
                  <c:v>0.241524114871637</c:v>
                </c:pt>
                <c:pt idx="5">
                  <c:v>0.276707287998242</c:v>
                </c:pt>
                <c:pt idx="6">
                  <c:v>0.326160025977608</c:v>
                </c:pt>
                <c:pt idx="7">
                  <c:v>0.395677769603648</c:v>
                </c:pt>
                <c:pt idx="8">
                  <c:v>0.44536111273394</c:v>
                </c:pt>
                <c:pt idx="9">
                  <c:v>0.515411300171733</c:v>
                </c:pt>
                <c:pt idx="10">
                  <c:v>0.595131039539352</c:v>
                </c:pt>
                <c:pt idx="11">
                  <c:v>0.68538597491533</c:v>
                </c:pt>
                <c:pt idx="12">
                  <c:v>0.772124650381354</c:v>
                </c:pt>
                <c:pt idx="13">
                  <c:v>0.843835046874499</c:v>
                </c:pt>
                <c:pt idx="14">
                  <c:v>0.900916085802151</c:v>
                </c:pt>
                <c:pt idx="15">
                  <c:v>0.947318747915282</c:v>
                </c:pt>
                <c:pt idx="16">
                  <c:v>0.969142992247518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SumWorld!$AA$137</c:f>
              <c:strCache>
                <c:ptCount val="1"/>
                <c:pt idx="0">
                  <c:v>Consumption (0 - 150 T$ / yr)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SumWorld!$AB$137:$AR$137</c:f>
              <c:numCache>
                <c:formatCode>#,##0.000</c:formatCode>
                <c:ptCount val="17"/>
                <c:pt idx="0">
                  <c:v>0.0854814526103913</c:v>
                </c:pt>
                <c:pt idx="1">
                  <c:v>0.10508231912818</c:v>
                </c:pt>
                <c:pt idx="2">
                  <c:v>0.125607656971026</c:v>
                </c:pt>
                <c:pt idx="3">
                  <c:v>0.145913727422684</c:v>
                </c:pt>
                <c:pt idx="4">
                  <c:v>0.183079771420498</c:v>
                </c:pt>
                <c:pt idx="5">
                  <c:v>0.210846469532585</c:v>
                </c:pt>
                <c:pt idx="6">
                  <c:v>0.246952132745448</c:v>
                </c:pt>
                <c:pt idx="7">
                  <c:v>0.297473997221096</c:v>
                </c:pt>
                <c:pt idx="8">
                  <c:v>0.339627036792238</c:v>
                </c:pt>
                <c:pt idx="9">
                  <c:v>0.387831079909969</c:v>
                </c:pt>
                <c:pt idx="10">
                  <c:v>0.435495779943285</c:v>
                </c:pt>
                <c:pt idx="11">
                  <c:v>0.491677980818134</c:v>
                </c:pt>
                <c:pt idx="12">
                  <c:v>0.544234756685395</c:v>
                </c:pt>
                <c:pt idx="13">
                  <c:v>0.585329185088176</c:v>
                </c:pt>
                <c:pt idx="14">
                  <c:v>0.615085067092335</c:v>
                </c:pt>
                <c:pt idx="15">
                  <c:v>0.630850233382245</c:v>
                </c:pt>
                <c:pt idx="16">
                  <c:v>0.626561191395327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SumWorld!$AB$136:$AR$136</c:f>
              <c:numCache>
                <c:formatCode>#,##0.000</c:formatCode>
                <c:ptCount val="17"/>
                <c:pt idx="0">
                  <c:v>0.571672835444565</c:v>
                </c:pt>
                <c:pt idx="1">
                  <c:v>0.552790919493477</c:v>
                </c:pt>
                <c:pt idx="2">
                  <c:v>0.573816300654776</c:v>
                </c:pt>
                <c:pt idx="3">
                  <c:v>0.547737400432517</c:v>
                </c:pt>
                <c:pt idx="4">
                  <c:v>0.604953500007654</c:v>
                </c:pt>
                <c:pt idx="5">
                  <c:v>0.595040511420098</c:v>
                </c:pt>
                <c:pt idx="6">
                  <c:v>0.607124470532126</c:v>
                </c:pt>
                <c:pt idx="7">
                  <c:v>0.620478201750653</c:v>
                </c:pt>
                <c:pt idx="8">
                  <c:v>0.593530019339994</c:v>
                </c:pt>
                <c:pt idx="9">
                  <c:v>0.618827236710053</c:v>
                </c:pt>
                <c:pt idx="10">
                  <c:v>0.670588698077439</c:v>
                </c:pt>
                <c:pt idx="11">
                  <c:v>0.706565355824234</c:v>
                </c:pt>
                <c:pt idx="12">
                  <c:v>0.737866268041705</c:v>
                </c:pt>
                <c:pt idx="13">
                  <c:v>0.765866097716043</c:v>
                </c:pt>
                <c:pt idx="14">
                  <c:v>0.793167707887355</c:v>
                </c:pt>
                <c:pt idx="15">
                  <c:v>0.835169036898811</c:v>
                </c:pt>
                <c:pt idx="16">
                  <c:v>0.883723567091263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SumWorld!$U$158</c:f>
              <c:strCache>
                <c:ptCount val="1"/>
                <c:pt idx="0">
                  <c:v>GDP SumWorld (0 - 150 T$ / yr) your forcast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SumWorld!$AB$148:$AR$148</c:f>
              <c:numCache>
                <c:formatCode>#,##0.000</c:formatCode>
                <c:ptCount val="17"/>
                <c:pt idx="9">
                  <c:v>0.515406068881099</c:v>
                </c:pt>
                <c:pt idx="10">
                  <c:v>0.579895263863971</c:v>
                </c:pt>
                <c:pt idx="11">
                  <c:v>0.663741929145736</c:v>
                </c:pt>
                <c:pt idx="12">
                  <c:v>0.743073551693551</c:v>
                </c:pt>
                <c:pt idx="13">
                  <c:v>0.80756174228521</c:v>
                </c:pt>
                <c:pt idx="14">
                  <c:v>0.85801465943809</c:v>
                </c:pt>
                <c:pt idx="15">
                  <c:v>0.89864694683488</c:v>
                </c:pt>
                <c:pt idx="16">
                  <c:v>0.916752055786915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SumWorld!$U$160</c:f>
              <c:strCache>
                <c:ptCount val="1"/>
                <c:pt idx="0">
                  <c:v>Consumption (0 - 150 T$ / yr) your forcast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SumWorld!$AB$150:$AR$150</c:f>
              <c:numCache>
                <c:formatCode>#,##0.000</c:formatCode>
                <c:ptCount val="17"/>
                <c:pt idx="9">
                  <c:v>0.387826824296457</c:v>
                </c:pt>
                <c:pt idx="10">
                  <c:v>0.424728922836426</c:v>
                </c:pt>
                <c:pt idx="11">
                  <c:v>0.476862504146252</c:v>
                </c:pt>
                <c:pt idx="12">
                  <c:v>0.524789444970151</c:v>
                </c:pt>
                <c:pt idx="13">
                  <c:v>0.561493401906425</c:v>
                </c:pt>
                <c:pt idx="14">
                  <c:v>0.587393075964591</c:v>
                </c:pt>
                <c:pt idx="15">
                  <c:v>0.600409425772738</c:v>
                </c:pt>
                <c:pt idx="16">
                  <c:v>0.595049376660132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SumWorld!$U$159</c:f>
              <c:strCache>
                <c:ptCount val="1"/>
                <c:pt idx="0">
                  <c:v>% Investment share (0 - 40% /yr) your forcast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SumWorld!$AB$149:$AR$149</c:f>
              <c:numCache>
                <c:formatCode>#,##0.000</c:formatCode>
                <c:ptCount val="17"/>
                <c:pt idx="9">
                  <c:v>0.618828785144136</c:v>
                </c:pt>
                <c:pt idx="10">
                  <c:v>0.66894123256688</c:v>
                </c:pt>
                <c:pt idx="11">
                  <c:v>0.703885865851528</c:v>
                </c:pt>
                <c:pt idx="12">
                  <c:v>0.734396030601227</c:v>
                </c:pt>
                <c:pt idx="13">
                  <c:v>0.761763242035431</c:v>
                </c:pt>
                <c:pt idx="14">
                  <c:v>0.788510955193726</c:v>
                </c:pt>
                <c:pt idx="15">
                  <c:v>0.829684900484452</c:v>
                </c:pt>
                <c:pt idx="16">
                  <c:v>0.877289222031365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10533"/>
        <c:axId val="53317885"/>
      </c:lineChart>
      <c:catAx>
        <c:axId val="141053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17885"/>
        <c:crosses val="autoZero"/>
        <c:auto val="1"/>
        <c:lblAlgn val="ctr"/>
        <c:lblOffset val="100"/>
        <c:noMultiLvlLbl val="0"/>
      </c:catAx>
      <c:valAx>
        <c:axId val="5331788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053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2533413814437"/>
          <c:y val="0.111708597400935"/>
          <c:w val="0.219816062124666"/>
          <c:h val="0.5469472912338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4a. Share in investment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897937991396"/>
          <c:y val="0.116452548694571"/>
          <c:w val="0.711059190031153"/>
          <c:h val="0.806361375880647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SumWorld!$AA$136</c:f>
              <c:strCache>
                <c:ptCount val="1"/>
                <c:pt idx="0">
                  <c:v>% Investment share (0 - 40% /yr)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SumWorld!$AB$136:$AR$136</c:f>
              <c:numCache>
                <c:formatCode>#,##0.000</c:formatCode>
                <c:ptCount val="17"/>
                <c:pt idx="0">
                  <c:v>0.571672835444565</c:v>
                </c:pt>
                <c:pt idx="1">
                  <c:v>0.552790919493477</c:v>
                </c:pt>
                <c:pt idx="2">
                  <c:v>0.573816300654776</c:v>
                </c:pt>
                <c:pt idx="3">
                  <c:v>0.547737400432517</c:v>
                </c:pt>
                <c:pt idx="4">
                  <c:v>0.604953500007654</c:v>
                </c:pt>
                <c:pt idx="5">
                  <c:v>0.595040511420098</c:v>
                </c:pt>
                <c:pt idx="6">
                  <c:v>0.607124470532126</c:v>
                </c:pt>
                <c:pt idx="7">
                  <c:v>0.620478201750653</c:v>
                </c:pt>
                <c:pt idx="8">
                  <c:v>0.593530019339994</c:v>
                </c:pt>
                <c:pt idx="9">
                  <c:v>0.618827236710053</c:v>
                </c:pt>
                <c:pt idx="10">
                  <c:v>0.670588698077439</c:v>
                </c:pt>
                <c:pt idx="11">
                  <c:v>0.706565355824234</c:v>
                </c:pt>
                <c:pt idx="12">
                  <c:v>0.737866268041705</c:v>
                </c:pt>
                <c:pt idx="13">
                  <c:v>0.765866097716043</c:v>
                </c:pt>
                <c:pt idx="14">
                  <c:v>0.793167707887355</c:v>
                </c:pt>
                <c:pt idx="15">
                  <c:v>0.835169036898811</c:v>
                </c:pt>
                <c:pt idx="16">
                  <c:v>0.883723567091263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SumWorld!$AA$138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33"/>
            </a:solidFill>
            <a:ln w="28440">
              <a:solidFill>
                <a:srgbClr val="9966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SumWorld!$AB$138:$AR$138</c:f>
              <c:numCache>
                <c:formatCode>0.00</c:formatCode>
                <c:ptCount val="17"/>
                <c:pt idx="9">
                  <c:v>0.612908469941563</c:v>
                </c:pt>
                <c:pt idx="10">
                  <c:v>0.622444591625315</c:v>
                </c:pt>
                <c:pt idx="11">
                  <c:v>0.625816899384414</c:v>
                </c:pt>
                <c:pt idx="12">
                  <c:v>0.624593777549717</c:v>
                </c:pt>
                <c:pt idx="13">
                  <c:v>0.620341148725492</c:v>
                </c:pt>
                <c:pt idx="14">
                  <c:v>0.615720586486639</c:v>
                </c:pt>
                <c:pt idx="15">
                  <c:v>0.611925213930987</c:v>
                </c:pt>
                <c:pt idx="16">
                  <c:v>0.608379439344158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SumWorld!$AA$139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SumWorld!$AB$139:$AR$139</c:f>
              <c:numCache>
                <c:formatCode>0.00</c:formatCode>
                <c:ptCount val="17"/>
                <c:pt idx="9">
                  <c:v>0.615077236710053</c:v>
                </c:pt>
                <c:pt idx="10">
                  <c:v>0.650588698077439</c:v>
                </c:pt>
                <c:pt idx="11">
                  <c:v>0.669065355824234</c:v>
                </c:pt>
                <c:pt idx="12">
                  <c:v>0.682866268041705</c:v>
                </c:pt>
                <c:pt idx="13">
                  <c:v>0.693366097716043</c:v>
                </c:pt>
                <c:pt idx="14">
                  <c:v>0.703167707887355</c:v>
                </c:pt>
                <c:pt idx="15">
                  <c:v>0.717669036898811</c:v>
                </c:pt>
                <c:pt idx="16">
                  <c:v>0.733723567091263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SumWorld!$AA$140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SumWorld!$AB$140:$AR$140</c:f>
              <c:numCache>
                <c:formatCode>0.00</c:formatCode>
                <c:ptCount val="17"/>
                <c:pt idx="9">
                  <c:v>0.618827236710053</c:v>
                </c:pt>
                <c:pt idx="10">
                  <c:v>0.670588698077439</c:v>
                </c:pt>
                <c:pt idx="11">
                  <c:v>0.706565355824234</c:v>
                </c:pt>
                <c:pt idx="12">
                  <c:v>0.737866268041705</c:v>
                </c:pt>
                <c:pt idx="13">
                  <c:v>0.765866097716043</c:v>
                </c:pt>
                <c:pt idx="14">
                  <c:v>0.793167707887355</c:v>
                </c:pt>
                <c:pt idx="15">
                  <c:v>0.835169036898811</c:v>
                </c:pt>
                <c:pt idx="16">
                  <c:v>0.883723567091263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SumWorld!$AA$151</c:f>
              <c:strCache>
                <c:ptCount val="1"/>
                <c:pt idx="0">
                  <c:v>normal + norm change inv. (0 - 40% /yr)</c:v>
                </c:pt>
              </c:strCache>
            </c:strRef>
          </c:tx>
          <c:spPr>
            <a:solidFill>
              <a:srgbClr val="996600"/>
            </a:solidFill>
            <a:ln w="28440">
              <a:solidFill>
                <a:srgbClr val="9966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SumWorld!$AB$151:$AR$151</c:f>
              <c:numCache>
                <c:formatCode>0.00</c:formatCode>
                <c:ptCount val="17"/>
                <c:pt idx="9">
                  <c:v>0.612910021737611</c:v>
                </c:pt>
                <c:pt idx="10">
                  <c:v>0.621772393671739</c:v>
                </c:pt>
                <c:pt idx="11">
                  <c:v>0.624793645686198</c:v>
                </c:pt>
                <c:pt idx="12">
                  <c:v>0.623476637236023</c:v>
                </c:pt>
                <c:pt idx="13">
                  <c:v>0.619295195144781</c:v>
                </c:pt>
                <c:pt idx="14">
                  <c:v>0.614826996998465</c:v>
                </c:pt>
                <c:pt idx="15">
                  <c:v>0.611201452089268</c:v>
                </c:pt>
                <c:pt idx="16">
                  <c:v>0.607830227043945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SumWorld!$AA$152</c:f>
              <c:strCache>
                <c:ptCount val="1"/>
                <c:pt idx="0">
                  <c:v>normal + voluntary inv. (0 - 40% /yr)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SumWorld!$AB$152:$AR$152</c:f>
              <c:numCache>
                <c:formatCode>0.00</c:formatCode>
                <c:ptCount val="17"/>
                <c:pt idx="9">
                  <c:v>0.615078785144136</c:v>
                </c:pt>
                <c:pt idx="10">
                  <c:v>0.64934123256688</c:v>
                </c:pt>
                <c:pt idx="11">
                  <c:v>0.667135865851528</c:v>
                </c:pt>
                <c:pt idx="12">
                  <c:v>0.680496030601227</c:v>
                </c:pt>
                <c:pt idx="13">
                  <c:v>0.690713242035431</c:v>
                </c:pt>
                <c:pt idx="14">
                  <c:v>0.700310955193726</c:v>
                </c:pt>
                <c:pt idx="15">
                  <c:v>0.714534900484452</c:v>
                </c:pt>
                <c:pt idx="16">
                  <c:v>0.730289222031365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SumWorld!$AA$153</c:f>
              <c:strCache>
                <c:ptCount val="1"/>
                <c:pt idx="0">
                  <c:v>normal + voluntary + forced inv. (0 - 40% /yr)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SumWorld!$AB$134:$AR$134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SumWorld!$AB$153:$AR$153</c:f>
              <c:numCache>
                <c:formatCode>0.00</c:formatCode>
                <c:ptCount val="17"/>
                <c:pt idx="9">
                  <c:v>0.618828785144136</c:v>
                </c:pt>
                <c:pt idx="10">
                  <c:v>0.66894123256688</c:v>
                </c:pt>
                <c:pt idx="11">
                  <c:v>0.703885865851528</c:v>
                </c:pt>
                <c:pt idx="12">
                  <c:v>0.734396030601227</c:v>
                </c:pt>
                <c:pt idx="13">
                  <c:v>0.761763242035431</c:v>
                </c:pt>
                <c:pt idx="14">
                  <c:v>0.788510955193726</c:v>
                </c:pt>
                <c:pt idx="15">
                  <c:v>0.829684900484452</c:v>
                </c:pt>
                <c:pt idx="16">
                  <c:v>0.877289222031365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459123"/>
        <c:axId val="32950584"/>
      </c:lineChart>
      <c:catAx>
        <c:axId val="4345912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950584"/>
        <c:crosses val="autoZero"/>
        <c:auto val="1"/>
        <c:lblAlgn val="ctr"/>
        <c:lblOffset val="100"/>
        <c:noMultiLvlLbl val="0"/>
      </c:catAx>
      <c:valAx>
        <c:axId val="32950584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45912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6412994565718"/>
          <c:y val="0.140948335405446"/>
          <c:w val="0.219816062124666"/>
          <c:h val="0.51049437076944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5. Consumption per person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441005802708"/>
          <c:w val="0.711068448645057"/>
          <c:h val="0.806286266924565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SumWorld!$AA$199</c:f>
              <c:strCache>
                <c:ptCount val="1"/>
                <c:pt idx="0">
                  <c:v>Consumption (0 - 150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SumWorld!$B$197:$R$197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SumWorld!$AB$199:$AR$199</c:f>
              <c:numCache>
                <c:formatCode>#,##0.000</c:formatCode>
                <c:ptCount val="17"/>
                <c:pt idx="0">
                  <c:v>0.0854814526103913</c:v>
                </c:pt>
                <c:pt idx="1">
                  <c:v>0.10508231912818</c:v>
                </c:pt>
                <c:pt idx="2">
                  <c:v>0.125607656971026</c:v>
                </c:pt>
                <c:pt idx="3">
                  <c:v>0.145913727422684</c:v>
                </c:pt>
                <c:pt idx="4">
                  <c:v>0.183079771420498</c:v>
                </c:pt>
                <c:pt idx="5">
                  <c:v>0.210846469532585</c:v>
                </c:pt>
                <c:pt idx="6">
                  <c:v>0.246952132745448</c:v>
                </c:pt>
                <c:pt idx="7">
                  <c:v>0.297473997221096</c:v>
                </c:pt>
                <c:pt idx="8">
                  <c:v>0.339627036792238</c:v>
                </c:pt>
                <c:pt idx="9">
                  <c:v>0.387831079909969</c:v>
                </c:pt>
                <c:pt idx="10">
                  <c:v>0.435495779943285</c:v>
                </c:pt>
                <c:pt idx="11">
                  <c:v>0.491677980818134</c:v>
                </c:pt>
                <c:pt idx="12">
                  <c:v>0.544234756685395</c:v>
                </c:pt>
                <c:pt idx="13">
                  <c:v>0.585329185088176</c:v>
                </c:pt>
                <c:pt idx="14">
                  <c:v>0.615085067092335</c:v>
                </c:pt>
                <c:pt idx="15">
                  <c:v>0.630850233382245</c:v>
                </c:pt>
                <c:pt idx="16">
                  <c:v>0.626561191395327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SumWorld!$AA$200</c:f>
              <c:strCache>
                <c:ptCount val="1"/>
                <c:pt idx="0">
                  <c:v>Consumption per person (0 - 12000 $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SumWorld!$B$197:$R$197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SumWorld!$AB$200:$AR$200</c:f>
              <c:numCache>
                <c:formatCode>#,##0.000</c:formatCode>
                <c:ptCount val="17"/>
                <c:pt idx="0">
                  <c:v>0.289086660998492</c:v>
                </c:pt>
                <c:pt idx="1">
                  <c:v>0.322226179988228</c:v>
                </c:pt>
                <c:pt idx="2">
                  <c:v>0.352592201988173</c:v>
                </c:pt>
                <c:pt idx="3">
                  <c:v>0.375038629643936</c:v>
                </c:pt>
                <c:pt idx="4">
                  <c:v>0.431269089140199</c:v>
                </c:pt>
                <c:pt idx="5">
                  <c:v>0.460263835333141</c:v>
                </c:pt>
                <c:pt idx="6">
                  <c:v>0.50416748439044</c:v>
                </c:pt>
                <c:pt idx="7">
                  <c:v>0.571480783004364</c:v>
                </c:pt>
                <c:pt idx="8">
                  <c:v>0.615633161847816</c:v>
                </c:pt>
                <c:pt idx="9">
                  <c:v>0.670286321322483</c:v>
                </c:pt>
                <c:pt idx="10">
                  <c:v>0.724646115126669</c:v>
                </c:pt>
                <c:pt idx="11">
                  <c:v>0.794611670493241</c:v>
                </c:pt>
                <c:pt idx="12">
                  <c:v>0.860607561580567</c:v>
                </c:pt>
                <c:pt idx="13">
                  <c:v>0.912516690947072</c:v>
                </c:pt>
                <c:pt idx="14">
                  <c:v>0.952990480028455</c:v>
                </c:pt>
                <c:pt idx="15">
                  <c:v>0.979613135905374</c:v>
                </c:pt>
                <c:pt idx="16">
                  <c:v>0.983224690079626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SumWorld!$U$205</c:f>
              <c:strCache>
                <c:ptCount val="1"/>
                <c:pt idx="0">
                  <c:v>Consumption from Your forecast (0 - 150 T$ / yr)</c:v>
                </c:pt>
              </c:strCache>
            </c:strRef>
          </c:tx>
          <c:spPr>
            <a:solidFill>
              <a:srgbClr val="604a7b"/>
            </a:solidFill>
            <a:ln w="28440">
              <a:solidFill>
                <a:srgbClr val="604a7b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SumWorld!$B$197:$R$197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SumWorld!$AB$205:$AR$205</c:f>
              <c:numCache>
                <c:formatCode>#,##0.000</c:formatCode>
                <c:ptCount val="17"/>
                <c:pt idx="9">
                  <c:v>0.387826824296457</c:v>
                </c:pt>
                <c:pt idx="10">
                  <c:v>0.424728922836426</c:v>
                </c:pt>
                <c:pt idx="11">
                  <c:v>0.476862504146252</c:v>
                </c:pt>
                <c:pt idx="12">
                  <c:v>0.524789444970151</c:v>
                </c:pt>
                <c:pt idx="13">
                  <c:v>0.561493401906425</c:v>
                </c:pt>
                <c:pt idx="14">
                  <c:v>0.587393075964591</c:v>
                </c:pt>
                <c:pt idx="15">
                  <c:v>0.600409425772738</c:v>
                </c:pt>
                <c:pt idx="16">
                  <c:v>0.595049376660132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SumWorld!$U$206</c:f>
              <c:strCache>
                <c:ptCount val="1"/>
                <c:pt idx="0">
                  <c:v>Consumption per person from Your forecast (0 - 12000 $ / 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SumWorld!$B$197:$R$197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SumWorld!$AB$206:$AR$206</c:f>
              <c:numCache>
                <c:formatCode>#,##0.000</c:formatCode>
                <c:ptCount val="17"/>
                <c:pt idx="9">
                  <c:v>0.670278047918058</c:v>
                </c:pt>
                <c:pt idx="10">
                  <c:v>0.707256147117465</c:v>
                </c:pt>
                <c:pt idx="11">
                  <c:v>0.771696862425703</c:v>
                </c:pt>
                <c:pt idx="12">
                  <c:v>0.831348275073227</c:v>
                </c:pt>
                <c:pt idx="13">
                  <c:v>0.877211545644203</c:v>
                </c:pt>
                <c:pt idx="14">
                  <c:v>0.91217050485411</c:v>
                </c:pt>
                <c:pt idx="15">
                  <c:v>0.934489568708652</c:v>
                </c:pt>
                <c:pt idx="16">
                  <c:v>0.935784536337159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447613"/>
        <c:axId val="65877370"/>
      </c:lineChart>
      <c:catAx>
        <c:axId val="3644761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877370"/>
        <c:crosses val="autoZero"/>
        <c:auto val="1"/>
        <c:lblAlgn val="ctr"/>
        <c:lblOffset val="100"/>
        <c:noMultiLvlLbl val="0"/>
      </c:catAx>
      <c:valAx>
        <c:axId val="65877370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4761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4"/>
          <c:y val="0.0858401568983478"/>
          <c:w val="0.219816062124666"/>
          <c:h val="0.54448847995995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6. Energy Use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392037336889"/>
          <c:w val="0.71107355426556"/>
          <c:h val="0.806362510715306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SumWorld!$AA$253</c:f>
              <c:strCache>
                <c:ptCount val="1"/>
                <c:pt idx="0">
                  <c:v>Energy use (0 - 20000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SumWorld!$AB$253:$AR$253</c:f>
              <c:numCache>
                <c:formatCode>0.000</c:formatCode>
                <c:ptCount val="17"/>
                <c:pt idx="0">
                  <c:v>0.244929411613598</c:v>
                </c:pt>
                <c:pt idx="1">
                  <c:v>0.284780186848771</c:v>
                </c:pt>
                <c:pt idx="2">
                  <c:v>0.325977075119419</c:v>
                </c:pt>
                <c:pt idx="3">
                  <c:v>0.350339917596507</c:v>
                </c:pt>
                <c:pt idx="4">
                  <c:v>0.397754281711197</c:v>
                </c:pt>
                <c:pt idx="5">
                  <c:v>0.420016012670141</c:v>
                </c:pt>
                <c:pt idx="6">
                  <c:v>0.458687094877224</c:v>
                </c:pt>
                <c:pt idx="7">
                  <c:v>0.528621424356886</c:v>
                </c:pt>
                <c:pt idx="8">
                  <c:v>0.589079318478399</c:v>
                </c:pt>
                <c:pt idx="9">
                  <c:v>0.66054059883104</c:v>
                </c:pt>
                <c:pt idx="10">
                  <c:v>0.73970597040358</c:v>
                </c:pt>
                <c:pt idx="11">
                  <c:v>0.810571339377892</c:v>
                </c:pt>
                <c:pt idx="12">
                  <c:v>0.861793538012307</c:v>
                </c:pt>
                <c:pt idx="13">
                  <c:v>0.893551899982467</c:v>
                </c:pt>
                <c:pt idx="14">
                  <c:v>0.90201198659591</c:v>
                </c:pt>
                <c:pt idx="15">
                  <c:v>0.895126907340508</c:v>
                </c:pt>
                <c:pt idx="16">
                  <c:v>0.865185870168176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SumWorld!$AA$254</c:f>
              <c:strCache>
                <c:ptCount val="1"/>
                <c:pt idx="0">
                  <c:v>GDP SumWorld (0 - 150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SumWorld!$AB$254:$AR$254</c:f>
              <c:numCache>
                <c:formatCode>0.000</c:formatCode>
                <c:ptCount val="17"/>
                <c:pt idx="0">
                  <c:v>0.110823326795402</c:v>
                </c:pt>
                <c:pt idx="1">
                  <c:v>0.134914016399365</c:v>
                </c:pt>
                <c:pt idx="2">
                  <c:v>0.163026580763979</c:v>
                </c:pt>
                <c:pt idx="3">
                  <c:v>0.186852075452107</c:v>
                </c:pt>
                <c:pt idx="4">
                  <c:v>0.241524114871637</c:v>
                </c:pt>
                <c:pt idx="5">
                  <c:v>0.276707287998242</c:v>
                </c:pt>
                <c:pt idx="6">
                  <c:v>0.326160025977608</c:v>
                </c:pt>
                <c:pt idx="7">
                  <c:v>0.395677769603648</c:v>
                </c:pt>
                <c:pt idx="8">
                  <c:v>0.44536111273394</c:v>
                </c:pt>
                <c:pt idx="9">
                  <c:v>0.515411300171733</c:v>
                </c:pt>
                <c:pt idx="10">
                  <c:v>0.595131039539352</c:v>
                </c:pt>
                <c:pt idx="11">
                  <c:v>0.68538597491533</c:v>
                </c:pt>
                <c:pt idx="12">
                  <c:v>0.772124650381354</c:v>
                </c:pt>
                <c:pt idx="13">
                  <c:v>0.843835046874499</c:v>
                </c:pt>
                <c:pt idx="14">
                  <c:v>0.900916085802151</c:v>
                </c:pt>
                <c:pt idx="15">
                  <c:v>0.947318747915282</c:v>
                </c:pt>
                <c:pt idx="16">
                  <c:v>0.969142992247518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SumWorld!$AA$255</c:f>
              <c:strCache>
                <c:ptCount val="1"/>
                <c:pt idx="0">
                  <c:v>Energy intensity (0 - 300 toe / M$)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SumWorld!$AB$255:$AR$255</c:f>
              <c:numCache>
                <c:formatCode>0.000</c:formatCode>
                <c:ptCount val="17"/>
                <c:pt idx="0">
                  <c:v>0.982261762216169</c:v>
                </c:pt>
                <c:pt idx="1">
                  <c:v>0.938145459683925</c:v>
                </c:pt>
                <c:pt idx="2">
                  <c:v>0.888681461477884</c:v>
                </c:pt>
                <c:pt idx="3">
                  <c:v>0.833314961400052</c:v>
                </c:pt>
                <c:pt idx="4">
                  <c:v>0.731933872750079</c:v>
                </c:pt>
                <c:pt idx="5">
                  <c:v>0.674625467075292</c:v>
                </c:pt>
                <c:pt idx="6">
                  <c:v>0.62503346461758</c:v>
                </c:pt>
                <c:pt idx="7">
                  <c:v>0.593773199603986</c:v>
                </c:pt>
                <c:pt idx="8">
                  <c:v>0.587866840972377</c:v>
                </c:pt>
                <c:pt idx="9">
                  <c:v>0.569590925504824</c:v>
                </c:pt>
                <c:pt idx="10">
                  <c:v>0.552413144713013</c:v>
                </c:pt>
                <c:pt idx="11">
                  <c:v>0.525621973307669</c:v>
                </c:pt>
                <c:pt idx="12">
                  <c:v>0.496058958923949</c:v>
                </c:pt>
                <c:pt idx="13">
                  <c:v>0.47063010625233</c:v>
                </c:pt>
                <c:pt idx="14">
                  <c:v>0.444985079723495</c:v>
                </c:pt>
                <c:pt idx="15">
                  <c:v>0.419958099547507</c:v>
                </c:pt>
                <c:pt idx="16">
                  <c:v>0.396770194371762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SumWorld!$AA$260</c:f>
              <c:strCache>
                <c:ptCount val="1"/>
                <c:pt idx="0">
                  <c:v>Energy use (0 - 20000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SumWorld!$AB$260:$AR$260</c:f>
              <c:numCache>
                <c:formatCode>0.000</c:formatCode>
                <c:ptCount val="17"/>
                <c:pt idx="9">
                  <c:v>0.660533652108605</c:v>
                </c:pt>
                <c:pt idx="10">
                  <c:v>0.720814123515237</c:v>
                </c:pt>
                <c:pt idx="11">
                  <c:v>0.785527349308722</c:v>
                </c:pt>
                <c:pt idx="12">
                  <c:v>0.830759222833685</c:v>
                </c:pt>
                <c:pt idx="13">
                  <c:v>0.857305768540567</c:v>
                </c:pt>
                <c:pt idx="14">
                  <c:v>0.86210632861385</c:v>
                </c:pt>
                <c:pt idx="15">
                  <c:v>0.853135981829373</c:v>
                </c:pt>
                <c:pt idx="16">
                  <c:v>0.82313509984376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SumWorld!$AA$259</c:f>
              <c:strCache>
                <c:ptCount val="1"/>
                <c:pt idx="0">
                  <c:v>GDP SumWorld calculated from Your forecast (0 - 150 T$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SumWorld!$AB$259:$AR$259</c:f>
              <c:numCache>
                <c:formatCode>0.000</c:formatCode>
                <c:ptCount val="17"/>
                <c:pt idx="9">
                  <c:v>0.515406068881099</c:v>
                </c:pt>
                <c:pt idx="10">
                  <c:v>0.579895263863971</c:v>
                </c:pt>
                <c:pt idx="11">
                  <c:v>0.663741929145736</c:v>
                </c:pt>
                <c:pt idx="12">
                  <c:v>0.743073551693551</c:v>
                </c:pt>
                <c:pt idx="13">
                  <c:v>0.80756174228521</c:v>
                </c:pt>
                <c:pt idx="14">
                  <c:v>0.85801465943809</c:v>
                </c:pt>
                <c:pt idx="15">
                  <c:v>0.89864694683488</c:v>
                </c:pt>
                <c:pt idx="16">
                  <c:v>0.916752055786915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SumWorld!$AA$261</c:f>
              <c:strCache>
                <c:ptCount val="1"/>
                <c:pt idx="0">
                  <c:v>Energy intensity (0 - 300 toe / M$),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SumWorld!$AB$261:$AR$261</c:f>
              <c:numCache>
                <c:formatCode>0.000</c:formatCode>
                <c:ptCount val="17"/>
                <c:pt idx="9">
                  <c:v>0.569590716472517</c:v>
                </c:pt>
                <c:pt idx="10">
                  <c:v>0.552447748130924</c:v>
                </c:pt>
                <c:pt idx="11">
                  <c:v>0.525992484471741</c:v>
                </c:pt>
                <c:pt idx="12">
                  <c:v>0.496890678477125</c:v>
                </c:pt>
                <c:pt idx="13">
                  <c:v>0.471821244205823</c:v>
                </c:pt>
                <c:pt idx="14">
                  <c:v>0.446563894984907</c:v>
                </c:pt>
                <c:pt idx="15">
                  <c:v>0.421936054882509</c:v>
                </c:pt>
                <c:pt idx="16">
                  <c:v>0.399058632967839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573078"/>
        <c:axId val="79416099"/>
      </c:lineChart>
      <c:catAx>
        <c:axId val="4157307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416099"/>
        <c:crosses val="autoZero"/>
        <c:auto val="1"/>
        <c:lblAlgn val="ctr"/>
        <c:lblOffset val="100"/>
        <c:noMultiLvlLbl val="0"/>
      </c:catAx>
      <c:valAx>
        <c:axId val="7941609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573078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78653833063167"/>
          <c:y val="0.111708583284862"/>
          <c:w val="0.207575223627228"/>
          <c:h val="0.47777999635382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7. Shares of total energy use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55801104972"/>
          <c:y val="0.116417298626768"/>
          <c:w val="0.711049723756906"/>
          <c:h val="0.806312769010043"/>
        </c:manualLayout>
      </c:layout>
      <c:lineChart>
        <c:grouping val="standard"/>
        <c:varyColors val="0"/>
        <c:ser>
          <c:idx val="0"/>
          <c:order val="0"/>
          <c:tx>
            <c:strRef>
              <c:f>SumWorld!$A$243</c:f>
              <c:strCache>
                <c:ptCount val="1"/>
                <c:pt idx="0">
                  <c:v>% oil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SumWorld!$B$243:$R$243</c:f>
              <c:numCache>
                <c:formatCode>0.0</c:formatCode>
                <c:ptCount val="17"/>
                <c:pt idx="0">
                  <c:v>45.6226087896419</c:v>
                </c:pt>
                <c:pt idx="1">
                  <c:v>46.584244887111</c:v>
                </c:pt>
                <c:pt idx="2">
                  <c:v>44.6046682148841</c:v>
                </c:pt>
                <c:pt idx="3">
                  <c:v>38.9261003900476</c:v>
                </c:pt>
                <c:pt idx="4">
                  <c:v>38.4092414469843</c:v>
                </c:pt>
                <c:pt idx="5">
                  <c:v>37.7152259010013</c:v>
                </c:pt>
                <c:pt idx="6">
                  <c:v>37.6425551389798</c:v>
                </c:pt>
                <c:pt idx="7">
                  <c:v>35.8229466658118</c:v>
                </c:pt>
                <c:pt idx="8">
                  <c:v>33.2038948465544</c:v>
                </c:pt>
                <c:pt idx="9">
                  <c:v>30.1756925339241</c:v>
                </c:pt>
                <c:pt idx="10">
                  <c:v>26.9199468691554</c:v>
                </c:pt>
                <c:pt idx="11">
                  <c:v>25.0340342289581</c:v>
                </c:pt>
                <c:pt idx="12">
                  <c:v>22.8810580497101</c:v>
                </c:pt>
                <c:pt idx="13">
                  <c:v>20.8937626664845</c:v>
                </c:pt>
                <c:pt idx="14">
                  <c:v>18.9850741068731</c:v>
                </c:pt>
                <c:pt idx="15">
                  <c:v>17.2221031102606</c:v>
                </c:pt>
                <c:pt idx="16">
                  <c:v>15.2337943124087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SumWorld!$A$244</c:f>
              <c:strCache>
                <c:ptCount val="1"/>
                <c:pt idx="0">
                  <c:v>% gas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SumWorld!$B$244:$R$244</c:f>
              <c:numCache>
                <c:formatCode>0.0</c:formatCode>
                <c:ptCount val="17"/>
                <c:pt idx="0">
                  <c:v>18.1570943718428</c:v>
                </c:pt>
                <c:pt idx="1">
                  <c:v>18.6109782085221</c:v>
                </c:pt>
                <c:pt idx="2">
                  <c:v>19.574005377375</c:v>
                </c:pt>
                <c:pt idx="3">
                  <c:v>20.8714487713924</c:v>
                </c:pt>
                <c:pt idx="4">
                  <c:v>21.8942047239728</c:v>
                </c:pt>
                <c:pt idx="5">
                  <c:v>22.5295281755887</c:v>
                </c:pt>
                <c:pt idx="6">
                  <c:v>23.1769958828251</c:v>
                </c:pt>
                <c:pt idx="7">
                  <c:v>23.0649597897963</c:v>
                </c:pt>
                <c:pt idx="8">
                  <c:v>23.4352111877449</c:v>
                </c:pt>
                <c:pt idx="9">
                  <c:v>24.4619761631705</c:v>
                </c:pt>
                <c:pt idx="10">
                  <c:v>26.0381794286093</c:v>
                </c:pt>
                <c:pt idx="11">
                  <c:v>26.3048799467694</c:v>
                </c:pt>
                <c:pt idx="12">
                  <c:v>26.5415921689591</c:v>
                </c:pt>
                <c:pt idx="13">
                  <c:v>26.2164460329577</c:v>
                </c:pt>
                <c:pt idx="14">
                  <c:v>25.3209146533287</c:v>
                </c:pt>
                <c:pt idx="15">
                  <c:v>24.3736663197746</c:v>
                </c:pt>
                <c:pt idx="16">
                  <c:v>22.1581778722333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SumWorld!$A$247</c:f>
              <c:strCache>
                <c:ptCount val="1"/>
                <c:pt idx="0">
                  <c:v>% coal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SumWorld!$B$247:$R$247</c:f>
              <c:numCache>
                <c:formatCode>0.0</c:formatCode>
                <c:ptCount val="17"/>
                <c:pt idx="0">
                  <c:v>30.5038647171822</c:v>
                </c:pt>
                <c:pt idx="1">
                  <c:v>27.7254771716808</c:v>
                </c:pt>
                <c:pt idx="2">
                  <c:v>27.5571069873502</c:v>
                </c:pt>
                <c:pt idx="3">
                  <c:v>29.1481687940388</c:v>
                </c:pt>
                <c:pt idx="4">
                  <c:v>27.6560116801869</c:v>
                </c:pt>
                <c:pt idx="5">
                  <c:v>26.5908813071317</c:v>
                </c:pt>
                <c:pt idx="6">
                  <c:v>25.8133934492345</c:v>
                </c:pt>
                <c:pt idx="7">
                  <c:v>28.1646781582154</c:v>
                </c:pt>
                <c:pt idx="8">
                  <c:v>29.8180653388632</c:v>
                </c:pt>
                <c:pt idx="9">
                  <c:v>30.3042607635774</c:v>
                </c:pt>
                <c:pt idx="10">
                  <c:v>30.4862073207964</c:v>
                </c:pt>
                <c:pt idx="11">
                  <c:v>29.4920579662855</c:v>
                </c:pt>
                <c:pt idx="12">
                  <c:v>28.9718184968949</c:v>
                </c:pt>
                <c:pt idx="13">
                  <c:v>27.675312105298</c:v>
                </c:pt>
                <c:pt idx="14">
                  <c:v>26.7802994811365</c:v>
                </c:pt>
                <c:pt idx="15">
                  <c:v>24.7266383357192</c:v>
                </c:pt>
                <c:pt idx="16">
                  <c:v>23.0527131221553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SumWorld!$A$246</c:f>
              <c:strCache>
                <c:ptCount val="1"/>
                <c:pt idx="0">
                  <c:v>% nuclear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SumWorld!$B$246:$R$246</c:f>
              <c:numCache>
                <c:formatCode>0.0</c:formatCode>
                <c:ptCount val="17"/>
                <c:pt idx="0">
                  <c:v>0.357171680348483</c:v>
                </c:pt>
                <c:pt idx="1">
                  <c:v>1.4474493299096</c:v>
                </c:pt>
                <c:pt idx="2">
                  <c:v>2.46912887971806</c:v>
                </c:pt>
                <c:pt idx="3">
                  <c:v>4.7858115118556</c:v>
                </c:pt>
                <c:pt idx="4">
                  <c:v>5.68712942522689</c:v>
                </c:pt>
                <c:pt idx="5">
                  <c:v>6.2377679414124</c:v>
                </c:pt>
                <c:pt idx="6">
                  <c:v>6.34936669778227</c:v>
                </c:pt>
                <c:pt idx="7">
                  <c:v>5.90545673223403</c:v>
                </c:pt>
                <c:pt idx="8">
                  <c:v>5.30339123760311</c:v>
                </c:pt>
                <c:pt idx="9">
                  <c:v>5.08361465155527</c:v>
                </c:pt>
                <c:pt idx="10">
                  <c:v>4.58112169748968</c:v>
                </c:pt>
                <c:pt idx="11">
                  <c:v>4.25826286304119</c:v>
                </c:pt>
                <c:pt idx="12">
                  <c:v>3.63791497099261</c:v>
                </c:pt>
                <c:pt idx="13">
                  <c:v>3.38791562533449</c:v>
                </c:pt>
                <c:pt idx="14">
                  <c:v>3.0975838804806</c:v>
                </c:pt>
                <c:pt idx="15">
                  <c:v>2.72851949870933</c:v>
                </c:pt>
                <c:pt idx="16">
                  <c:v>2.50025289061026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SumWorld!$A$245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SumWorld!$B$245:$R$245</c:f>
              <c:numCache>
                <c:formatCode>0.0</c:formatCode>
                <c:ptCount val="17"/>
                <c:pt idx="0">
                  <c:v>5.35926044098461</c:v>
                </c:pt>
                <c:pt idx="1">
                  <c:v>5.63185040277656</c:v>
                </c:pt>
                <c:pt idx="2">
                  <c:v>5.7950905406726</c:v>
                </c:pt>
                <c:pt idx="3">
                  <c:v>6.26847053266568</c:v>
                </c:pt>
                <c:pt idx="4">
                  <c:v>6.35341272362911</c:v>
                </c:pt>
                <c:pt idx="5">
                  <c:v>6.92659667486589</c:v>
                </c:pt>
                <c:pt idx="6">
                  <c:v>7.01768883117836</c:v>
                </c:pt>
                <c:pt idx="7">
                  <c:v>7.04195865394241</c:v>
                </c:pt>
                <c:pt idx="8">
                  <c:v>8.23943738923445</c:v>
                </c:pt>
                <c:pt idx="9">
                  <c:v>9.9744558877726</c:v>
                </c:pt>
                <c:pt idx="10">
                  <c:v>11.9745446839491</c:v>
                </c:pt>
                <c:pt idx="11">
                  <c:v>14.9107649949458</c:v>
                </c:pt>
                <c:pt idx="12">
                  <c:v>17.9676163134433</c:v>
                </c:pt>
                <c:pt idx="13">
                  <c:v>21.8265635699253</c:v>
                </c:pt>
                <c:pt idx="14">
                  <c:v>25.8161278781811</c:v>
                </c:pt>
                <c:pt idx="15">
                  <c:v>30.9490727355362</c:v>
                </c:pt>
                <c:pt idx="16">
                  <c:v>37.0550618025925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SumWorld!$U$258</c:f>
              <c:strCache>
                <c:ptCount val="1"/>
                <c:pt idx="0">
                  <c:v>% oil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SumWorld!$B$258:$R$258</c:f>
              <c:numCache>
                <c:formatCode>#,##0.00</c:formatCode>
                <c:ptCount val="17"/>
                <c:pt idx="9">
                  <c:v>30.1756312806523</c:v>
                </c:pt>
                <c:pt idx="10">
                  <c:v>26.4187943375671</c:v>
                </c:pt>
                <c:pt idx="11">
                  <c:v>24.5980499192625</c:v>
                </c:pt>
                <c:pt idx="12">
                  <c:v>22.51166900996</c:v>
                </c:pt>
                <c:pt idx="13">
                  <c:v>20.5730606270487</c:v>
                </c:pt>
                <c:pt idx="14">
                  <c:v>18.703301661301</c:v>
                </c:pt>
                <c:pt idx="15">
                  <c:v>16.9723111852314</c:v>
                </c:pt>
                <c:pt idx="16">
                  <c:v>15.0172931946003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SumWorld!$U$259</c:f>
              <c:strCache>
                <c:ptCount val="1"/>
                <c:pt idx="0">
                  <c:v>% gas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SumWorld!$B$259:$R$259</c:f>
              <c:numCache>
                <c:formatCode>#,##0.00</c:formatCode>
                <c:ptCount val="17"/>
                <c:pt idx="9">
                  <c:v>24.4619126622792</c:v>
                </c:pt>
                <c:pt idx="10">
                  <c:v>25.5658563952538</c:v>
                </c:pt>
                <c:pt idx="11">
                  <c:v>25.8622955171436</c:v>
                </c:pt>
                <c:pt idx="12">
                  <c:v>26.1215709049778</c:v>
                </c:pt>
                <c:pt idx="13">
                  <c:v>25.8209428159709</c:v>
                </c:pt>
                <c:pt idx="14">
                  <c:v>24.9488508814502</c:v>
                </c:pt>
                <c:pt idx="15">
                  <c:v>24.0152043397854</c:v>
                </c:pt>
                <c:pt idx="16">
                  <c:v>21.8367378324336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SumWorld!$U$260</c:f>
              <c:strCache>
                <c:ptCount val="1"/>
                <c:pt idx="0">
                  <c:v>% renewables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SumWorld!$B$260:$R$260</c:f>
              <c:numCache>
                <c:formatCode>#,##0.00</c:formatCode>
                <c:ptCount val="17"/>
                <c:pt idx="9">
                  <c:v>9.9744871696299</c:v>
                </c:pt>
                <c:pt idx="10">
                  <c:v>11.7345042793743</c:v>
                </c:pt>
                <c:pt idx="11">
                  <c:v>14.611085497657</c:v>
                </c:pt>
                <c:pt idx="12">
                  <c:v>17.6067952901693</c:v>
                </c:pt>
                <c:pt idx="13">
                  <c:v>21.3863264818617</c:v>
                </c:pt>
                <c:pt idx="14">
                  <c:v>25.2958099225955</c:v>
                </c:pt>
                <c:pt idx="15">
                  <c:v>30.329989172566</c:v>
                </c:pt>
                <c:pt idx="16">
                  <c:v>36.3200341834129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SumWorld!$U$261</c:f>
              <c:strCache>
                <c:ptCount val="1"/>
                <c:pt idx="0">
                  <c:v>% nuclear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SumWorld!$B$261:$R$261</c:f>
              <c:numCache>
                <c:formatCode>#,##0.00</c:formatCode>
                <c:ptCount val="17"/>
                <c:pt idx="9">
                  <c:v>5.08358398041617</c:v>
                </c:pt>
                <c:pt idx="10">
                  <c:v>4.49951357900696</c:v>
                </c:pt>
                <c:pt idx="11">
                  <c:v>4.18550592721421</c:v>
                </c:pt>
                <c:pt idx="12">
                  <c:v>3.57867494143361</c:v>
                </c:pt>
                <c:pt idx="13">
                  <c:v>3.32892223248652</c:v>
                </c:pt>
                <c:pt idx="14">
                  <c:v>3.04466646756023</c:v>
                </c:pt>
                <c:pt idx="15">
                  <c:v>2.6799554319907</c:v>
                </c:pt>
                <c:pt idx="16">
                  <c:v>2.45259207948184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SumWorld!$U$262</c:f>
              <c:strCache>
                <c:ptCount val="1"/>
                <c:pt idx="0">
                  <c:v>% coal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SumWorld!$B$262:$R$262</c:f>
              <c:numCache>
                <c:formatCode>#,##0.00</c:formatCode>
                <c:ptCount val="17"/>
                <c:pt idx="9">
                  <c:v>30.3043849070224</c:v>
                </c:pt>
                <c:pt idx="10">
                  <c:v>31.7813314087978</c:v>
                </c:pt>
                <c:pt idx="11">
                  <c:v>30.7430631387226</c:v>
                </c:pt>
                <c:pt idx="12">
                  <c:v>30.1812898534593</c:v>
                </c:pt>
                <c:pt idx="13">
                  <c:v>28.8907478426322</c:v>
                </c:pt>
                <c:pt idx="14">
                  <c:v>28.007371067093</c:v>
                </c:pt>
                <c:pt idx="15">
                  <c:v>26.0025398704265</c:v>
                </c:pt>
                <c:pt idx="16">
                  <c:v>24.3733427100714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130320"/>
        <c:axId val="99091366"/>
      </c:lineChart>
      <c:catAx>
        <c:axId val="3113032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091366"/>
        <c:crosses val="autoZero"/>
        <c:auto val="1"/>
        <c:lblAlgn val="ctr"/>
        <c:lblOffset val="100"/>
        <c:noMultiLvlLbl val="0"/>
      </c:catAx>
      <c:valAx>
        <c:axId val="9909136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130320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92424776372773"/>
          <c:y val="0.111708583284862"/>
          <c:w val="0.198286282610359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9. CO2 Emissions from Energy Use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40777659691"/>
          <c:y val="0.116397275592152"/>
          <c:w val="0.711071206068824"/>
          <c:h val="0.806343397377249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SumWorld!$AA$370</c:f>
              <c:strCache>
                <c:ptCount val="1"/>
                <c:pt idx="0">
                  <c:v>CO2 Emissions (0 - 42 MtCO2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SumWorld!$AB$370:$AR$370</c:f>
              <c:numCache>
                <c:formatCode>#,##0.000</c:formatCode>
                <c:ptCount val="17"/>
                <c:pt idx="0">
                  <c:v>0.348963196825397</c:v>
                </c:pt>
                <c:pt idx="1">
                  <c:v>0.390170698412698</c:v>
                </c:pt>
                <c:pt idx="2">
                  <c:v>0.45270080952381</c:v>
                </c:pt>
                <c:pt idx="3">
                  <c:v>0.467616844444444</c:v>
                </c:pt>
                <c:pt idx="4">
                  <c:v>0.510189061904762</c:v>
                </c:pt>
                <c:pt idx="5">
                  <c:v>0.530643003174603</c:v>
                </c:pt>
                <c:pt idx="6">
                  <c:v>0.55563534452381</c:v>
                </c:pt>
                <c:pt idx="7">
                  <c:v>0.650462336507937</c:v>
                </c:pt>
                <c:pt idx="8">
                  <c:v>0.700974633333333</c:v>
                </c:pt>
                <c:pt idx="9">
                  <c:v>0.809260218689982</c:v>
                </c:pt>
                <c:pt idx="10">
                  <c:v>0.886998384568254</c:v>
                </c:pt>
                <c:pt idx="11">
                  <c:v>0.938005370933608</c:v>
                </c:pt>
                <c:pt idx="12">
                  <c:v>0.965268905032495</c:v>
                </c:pt>
                <c:pt idx="13">
                  <c:v>0.951831677640393</c:v>
                </c:pt>
                <c:pt idx="14">
                  <c:v>0.913897817221019</c:v>
                </c:pt>
                <c:pt idx="15">
                  <c:v>0.842485953499638</c:v>
                </c:pt>
                <c:pt idx="16">
                  <c:v>0.744394136587003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SumWorld!$AA$371</c:f>
              <c:strCache>
                <c:ptCount val="1"/>
                <c:pt idx="0">
                  <c:v>Energy use (0 - 20 Mtoe / yr)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SumWorld!$AB$371:$AR$371</c:f>
              <c:numCache>
                <c:formatCode>#,##0.000</c:formatCode>
                <c:ptCount val="17"/>
                <c:pt idx="0">
                  <c:v>0.244929411613598</c:v>
                </c:pt>
                <c:pt idx="1">
                  <c:v>0.284780186848771</c:v>
                </c:pt>
                <c:pt idx="2">
                  <c:v>0.325977075119419</c:v>
                </c:pt>
                <c:pt idx="3">
                  <c:v>0.350339917596507</c:v>
                </c:pt>
                <c:pt idx="4">
                  <c:v>0.397754281711197</c:v>
                </c:pt>
                <c:pt idx="5">
                  <c:v>0.420016012670141</c:v>
                </c:pt>
                <c:pt idx="6">
                  <c:v>0.458687094877224</c:v>
                </c:pt>
                <c:pt idx="7">
                  <c:v>0.528621424356886</c:v>
                </c:pt>
                <c:pt idx="8">
                  <c:v>0.589079318478399</c:v>
                </c:pt>
                <c:pt idx="9">
                  <c:v>0.66054059883104</c:v>
                </c:pt>
                <c:pt idx="10">
                  <c:v>0.73970597040358</c:v>
                </c:pt>
                <c:pt idx="11">
                  <c:v>0.810571339377892</c:v>
                </c:pt>
                <c:pt idx="12">
                  <c:v>0.861793538012307</c:v>
                </c:pt>
                <c:pt idx="13">
                  <c:v>0.893551899982467</c:v>
                </c:pt>
                <c:pt idx="14">
                  <c:v>0.90201198659591</c:v>
                </c:pt>
                <c:pt idx="15">
                  <c:v>0.895126907340508</c:v>
                </c:pt>
                <c:pt idx="16">
                  <c:v>0.865185870168176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SumWorld!$AA$372</c:f>
              <c:strCache>
                <c:ptCount val="1"/>
                <c:pt idx="0">
                  <c:v>Climate intensity (0 - 4 tCO2 / toe)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SumWorld!$AB$372:$AR$372</c:f>
              <c:numCache>
                <c:formatCode>#,##0.000</c:formatCode>
                <c:ptCount val="17"/>
                <c:pt idx="0">
                  <c:v>0.747993787787152</c:v>
                </c:pt>
                <c:pt idx="1">
                  <c:v>0.719290267112031</c:v>
                </c:pt>
                <c:pt idx="2">
                  <c:v>0.729093985866743</c:v>
                </c:pt>
                <c:pt idx="3">
                  <c:v>0.700744708218145</c:v>
                </c:pt>
                <c:pt idx="4">
                  <c:v>0.673403832003199</c:v>
                </c:pt>
                <c:pt idx="5">
                  <c:v>0.663278466208037</c:v>
                </c:pt>
                <c:pt idx="6">
                  <c:v>0.635964166275664</c:v>
                </c:pt>
                <c:pt idx="7">
                  <c:v>0.646006217175406</c:v>
                </c:pt>
                <c:pt idx="8">
                  <c:v>0.624723481127431</c:v>
                </c:pt>
                <c:pt idx="9">
                  <c:v>0.643202878920871</c:v>
                </c:pt>
                <c:pt idx="10">
                  <c:v>0.629539533991139</c:v>
                </c:pt>
                <c:pt idx="11">
                  <c:v>0.607537912848113</c:v>
                </c:pt>
                <c:pt idx="12">
                  <c:v>0.588036638463194</c:v>
                </c:pt>
                <c:pt idx="13">
                  <c:v>0.55924186470983</c:v>
                </c:pt>
                <c:pt idx="14">
                  <c:v>0.531917935871043</c:v>
                </c:pt>
                <c:pt idx="15">
                  <c:v>0.494125606056725</c:v>
                </c:pt>
                <c:pt idx="16">
                  <c:v>0.451702848120036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SumWorld!$AA$373</c:f>
              <c:strCache>
                <c:ptCount val="1"/>
                <c:pt idx="0">
                  <c:v>Fraction renewable (0 - 40 %)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SumWorld!$AB$373:$AR$373</c:f>
              <c:numCache>
                <c:formatCode>#,##0.000</c:formatCode>
                <c:ptCount val="17"/>
                <c:pt idx="0">
                  <c:v>0.133981511024615</c:v>
                </c:pt>
                <c:pt idx="1">
                  <c:v>0.140796260069414</c:v>
                </c:pt>
                <c:pt idx="2">
                  <c:v>0.144877263516815</c:v>
                </c:pt>
                <c:pt idx="3">
                  <c:v>0.156711763316642</c:v>
                </c:pt>
                <c:pt idx="4">
                  <c:v>0.158835318090728</c:v>
                </c:pt>
                <c:pt idx="5">
                  <c:v>0.173164916871647</c:v>
                </c:pt>
                <c:pt idx="6">
                  <c:v>0.175442220779459</c:v>
                </c:pt>
                <c:pt idx="7">
                  <c:v>0.17604896634856</c:v>
                </c:pt>
                <c:pt idx="8">
                  <c:v>0.205985934730861</c:v>
                </c:pt>
                <c:pt idx="9">
                  <c:v>0.249361397194315</c:v>
                </c:pt>
                <c:pt idx="10">
                  <c:v>0.299363617098729</c:v>
                </c:pt>
                <c:pt idx="11">
                  <c:v>0.372769124873645</c:v>
                </c:pt>
                <c:pt idx="12">
                  <c:v>0.449190407836081</c:v>
                </c:pt>
                <c:pt idx="13">
                  <c:v>0.545664089248133</c:v>
                </c:pt>
                <c:pt idx="14">
                  <c:v>0.645403196954527</c:v>
                </c:pt>
                <c:pt idx="15">
                  <c:v>0.773726818388405</c:v>
                </c:pt>
                <c:pt idx="16">
                  <c:v>0.926376545064812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SumWorld!$AA$375</c:f>
              <c:strCache>
                <c:ptCount val="1"/>
                <c:pt idx="0">
                  <c:v>CO2 Emissions (0 - 42 MtCO2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SumWorld!$AB$375:$AR$375</c:f>
              <c:numCache>
                <c:formatCode>#,##0.000</c:formatCode>
                <c:ptCount val="17"/>
                <c:pt idx="9">
                  <c:v>0.809252243196962</c:v>
                </c:pt>
                <c:pt idx="10">
                  <c:v>0.873192936288659</c:v>
                </c:pt>
                <c:pt idx="11">
                  <c:v>0.918970240406428</c:v>
                </c:pt>
                <c:pt idx="12">
                  <c:v>0.94134465628054</c:v>
                </c:pt>
                <c:pt idx="13">
                  <c:v>0.925289037638728</c:v>
                </c:pt>
                <c:pt idx="14">
                  <c:v>0.88645572635832</c:v>
                </c:pt>
                <c:pt idx="15">
                  <c:v>0.817084882654834</c:v>
                </c:pt>
                <c:pt idx="16">
                  <c:v>0.723205602251028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SumWorld!$AA$376</c:f>
              <c:strCache>
                <c:ptCount val="1"/>
                <c:pt idx="0">
                  <c:v>Energy use (0 - 20 Mtoe / yr),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SumWorld!$AB$376:$AR$376</c:f>
              <c:numCache>
                <c:formatCode>#,##0.000</c:formatCode>
                <c:ptCount val="17"/>
                <c:pt idx="9">
                  <c:v>0.660533652108605</c:v>
                </c:pt>
                <c:pt idx="10">
                  <c:v>0.720814123515237</c:v>
                </c:pt>
                <c:pt idx="11">
                  <c:v>0.785527349308722</c:v>
                </c:pt>
                <c:pt idx="12">
                  <c:v>0.830759222833685</c:v>
                </c:pt>
                <c:pt idx="13">
                  <c:v>0.857305768540567</c:v>
                </c:pt>
                <c:pt idx="14">
                  <c:v>0.86210632861385</c:v>
                </c:pt>
                <c:pt idx="15">
                  <c:v>0.853135981829373</c:v>
                </c:pt>
                <c:pt idx="16">
                  <c:v>0.82313509984376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SumWorld!$AA$377</c:f>
              <c:strCache>
                <c:ptCount val="1"/>
                <c:pt idx="0">
                  <c:v>Climate intensity (0 - 4 tCO2 / toe),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SumWorld!$AB$377:$AR$377</c:f>
              <c:numCache>
                <c:formatCode>#,##0.000</c:formatCode>
                <c:ptCount val="17"/>
                <c:pt idx="9">
                  <c:v>0.643203304361773</c:v>
                </c:pt>
                <c:pt idx="10">
                  <c:v>0.635984058297736</c:v>
                </c:pt>
                <c:pt idx="11">
                  <c:v>0.61418533248772</c:v>
                </c:pt>
                <c:pt idx="12">
                  <c:v>0.594884692175391</c:v>
                </c:pt>
                <c:pt idx="13">
                  <c:v>0.566631839637908</c:v>
                </c:pt>
                <c:pt idx="14">
                  <c:v>0.539828140557095</c:v>
                </c:pt>
                <c:pt idx="15">
                  <c:v>0.502814993776199</c:v>
                </c:pt>
                <c:pt idx="16">
                  <c:v>0.461264428225522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SumWorld!$AA$378</c:f>
              <c:strCache>
                <c:ptCount val="1"/>
                <c:pt idx="0">
                  <c:v>Fraction renewable (0 - 40 %),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SumWorld!$AB$369:$AR$369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SumWorld!$AB$378:$AR$378</c:f>
              <c:numCache>
                <c:formatCode>#,##0.000</c:formatCode>
                <c:ptCount val="17"/>
                <c:pt idx="9">
                  <c:v>0.249362179240748</c:v>
                </c:pt>
                <c:pt idx="10">
                  <c:v>0.293362606984357</c:v>
                </c:pt>
                <c:pt idx="11">
                  <c:v>0.365277137441426</c:v>
                </c:pt>
                <c:pt idx="12">
                  <c:v>0.440169882254232</c:v>
                </c:pt>
                <c:pt idx="13">
                  <c:v>0.534658162046542</c:v>
                </c:pt>
                <c:pt idx="14">
                  <c:v>0.632395248064888</c:v>
                </c:pt>
                <c:pt idx="15">
                  <c:v>0.758249729314151</c:v>
                </c:pt>
                <c:pt idx="16">
                  <c:v>0.908000854585323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94849"/>
        <c:axId val="33592713"/>
      </c:lineChart>
      <c:catAx>
        <c:axId val="7994849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92713"/>
        <c:crosses val="autoZero"/>
        <c:auto val="1"/>
        <c:lblAlgn val="ctr"/>
        <c:lblOffset val="100"/>
        <c:noMultiLvlLbl val="0"/>
      </c:catAx>
      <c:valAx>
        <c:axId val="3359271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484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77123728250976"/>
          <c:y val="0.11170855551453"/>
          <c:w val="0.213695642875947"/>
          <c:h val="0.6264579522979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11. Food Production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38731721655"/>
          <c:y val="0.116392037336889"/>
          <c:w val="0.71107355426556"/>
          <c:h val="0.806362510715306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SumWorld!$AA$443</c:f>
              <c:strCache>
                <c:ptCount val="1"/>
                <c:pt idx="0">
                  <c:v>Food production (0 - 11000 Mt / yr)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SumWorld!$AB$443:$AR$443</c:f>
              <c:numCache>
                <c:formatCode>#,##0.000</c:formatCode>
                <c:ptCount val="17"/>
                <c:pt idx="0">
                  <c:v>0.274606418818182</c:v>
                </c:pt>
                <c:pt idx="1">
                  <c:v>0.304743231363636</c:v>
                </c:pt>
                <c:pt idx="2">
                  <c:v>0.336063111090909</c:v>
                </c:pt>
                <c:pt idx="3">
                  <c:v>0.391700531363636</c:v>
                </c:pt>
                <c:pt idx="4">
                  <c:v>0.416357602181818</c:v>
                </c:pt>
                <c:pt idx="5">
                  <c:v>0.433070966272727</c:v>
                </c:pt>
                <c:pt idx="6">
                  <c:v>0.489670484090909</c:v>
                </c:pt>
                <c:pt idx="7">
                  <c:v>0.549564568454546</c:v>
                </c:pt>
                <c:pt idx="8">
                  <c:v>0.601525277727273</c:v>
                </c:pt>
                <c:pt idx="9">
                  <c:v>0.654545454545455</c:v>
                </c:pt>
                <c:pt idx="10">
                  <c:v>0.718636363636364</c:v>
                </c:pt>
                <c:pt idx="11">
                  <c:v>0.785454545454545</c:v>
                </c:pt>
                <c:pt idx="12">
                  <c:v>0.855</c:v>
                </c:pt>
                <c:pt idx="13">
                  <c:v>0.911818181818182</c:v>
                </c:pt>
                <c:pt idx="14">
                  <c:v>0.942727272727273</c:v>
                </c:pt>
                <c:pt idx="15">
                  <c:v>0.93</c:v>
                </c:pt>
                <c:pt idx="16">
                  <c:v>0.916363636363636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SumWorld!$AA$444</c:f>
              <c:strCache>
                <c:ptCount val="1"/>
                <c:pt idx="0">
                  <c:v>Cultivated land (0 - 4000 Mha)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SumWorld!$AB$444:$AR$444</c:f>
              <c:numCache>
                <c:formatCode>#,##0.000</c:formatCode>
                <c:ptCount val="17"/>
                <c:pt idx="0">
                  <c:v>0.3164707315</c:v>
                </c:pt>
                <c:pt idx="1">
                  <c:v>0.330419863</c:v>
                </c:pt>
                <c:pt idx="2">
                  <c:v>0.3341440275</c:v>
                </c:pt>
                <c:pt idx="3">
                  <c:v>0.34406214825</c:v>
                </c:pt>
                <c:pt idx="4">
                  <c:v>0.340951887</c:v>
                </c:pt>
                <c:pt idx="5">
                  <c:v>0.341532163</c:v>
                </c:pt>
                <c:pt idx="6">
                  <c:v>0.33967629575</c:v>
                </c:pt>
                <c:pt idx="7">
                  <c:v>0.35694069775</c:v>
                </c:pt>
                <c:pt idx="8">
                  <c:v>0.36283681225</c:v>
                </c:pt>
                <c:pt idx="9">
                  <c:v>0.375</c:v>
                </c:pt>
                <c:pt idx="10">
                  <c:v>0.3875</c:v>
                </c:pt>
                <c:pt idx="11">
                  <c:v>0.4</c:v>
                </c:pt>
                <c:pt idx="12">
                  <c:v>0.4125</c:v>
                </c:pt>
                <c:pt idx="13">
                  <c:v>0.425</c:v>
                </c:pt>
                <c:pt idx="14">
                  <c:v>0.425</c:v>
                </c:pt>
                <c:pt idx="15">
                  <c:v>0.4125</c:v>
                </c:pt>
                <c:pt idx="16">
                  <c:v>0.4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SumWorld!$AA$445</c:f>
              <c:strCache>
                <c:ptCount val="1"/>
                <c:pt idx="0">
                  <c:v>Gross yield (0 - 8 t / ha-yr)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SumWorld!$AB$445:$AR$445</c:f>
              <c:numCache>
                <c:formatCode>#,##0.000</c:formatCode>
                <c:ptCount val="17"/>
                <c:pt idx="0">
                  <c:v>0.298277050839218</c:v>
                </c:pt>
                <c:pt idx="1">
                  <c:v>0.317037495355568</c:v>
                </c:pt>
                <c:pt idx="2">
                  <c:v>0.345724253405966</c:v>
                </c:pt>
                <c:pt idx="3">
                  <c:v>0.391345163486027</c:v>
                </c:pt>
                <c:pt idx="4">
                  <c:v>0.419774552384278</c:v>
                </c:pt>
                <c:pt idx="5">
                  <c:v>0.435883236731207</c:v>
                </c:pt>
                <c:pt idx="6">
                  <c:v>0.495543053820087</c:v>
                </c:pt>
                <c:pt idx="7">
                  <c:v>0.529255480243847</c:v>
                </c:pt>
                <c:pt idx="8">
                  <c:v>0.569882402329892</c:v>
                </c:pt>
                <c:pt idx="9">
                  <c:v>0.6</c:v>
                </c:pt>
                <c:pt idx="10">
                  <c:v>0.6375</c:v>
                </c:pt>
                <c:pt idx="11">
                  <c:v>0.675</c:v>
                </c:pt>
                <c:pt idx="12">
                  <c:v>0.7125</c:v>
                </c:pt>
                <c:pt idx="13">
                  <c:v>0.7375</c:v>
                </c:pt>
                <c:pt idx="14">
                  <c:v>0.7625</c:v>
                </c:pt>
                <c:pt idx="15">
                  <c:v>0.775</c:v>
                </c:pt>
                <c:pt idx="16">
                  <c:v>0.7875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SumWorld!$AA$446</c:f>
              <c:strCache>
                <c:ptCount val="1"/>
                <c:pt idx="0">
                  <c:v>Food per person (0 - 2 t / person - yr)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SumWorld!$AB$446:$AR$446</c:f>
              <c:numCache>
                <c:formatCode>#,##0.000</c:formatCode>
                <c:ptCount val="17"/>
                <c:pt idx="0">
                  <c:v>0.408619906699043</c:v>
                </c:pt>
                <c:pt idx="1">
                  <c:v>0.411166685119586</c:v>
                </c:pt>
                <c:pt idx="2">
                  <c:v>0.415078375711634</c:v>
                </c:pt>
                <c:pt idx="3">
                  <c:v>0.442982621084466</c:v>
                </c:pt>
                <c:pt idx="4">
                  <c:v>0.431546049466808</c:v>
                </c:pt>
                <c:pt idx="5">
                  <c:v>0.415960665189209</c:v>
                </c:pt>
                <c:pt idx="6">
                  <c:v>0.439864238854288</c:v>
                </c:pt>
                <c:pt idx="7">
                  <c:v>0.464540971121284</c:v>
                </c:pt>
                <c:pt idx="8">
                  <c:v>0.479762510513768</c:v>
                </c:pt>
                <c:pt idx="9">
                  <c:v>0.497748815246287</c:v>
                </c:pt>
                <c:pt idx="10">
                  <c:v>0.526143104378401</c:v>
                </c:pt>
                <c:pt idx="11">
                  <c:v>0.558531811543625</c:v>
                </c:pt>
                <c:pt idx="12">
                  <c:v>0.59489137856325</c:v>
                </c:pt>
                <c:pt idx="13">
                  <c:v>0.625462911699532</c:v>
                </c:pt>
                <c:pt idx="14">
                  <c:v>0.642676065904981</c:v>
                </c:pt>
                <c:pt idx="15">
                  <c:v>0.63542450172891</c:v>
                </c:pt>
                <c:pt idx="16">
                  <c:v>0.632717443219324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SumWorld!$AA$450</c:f>
              <c:strCache>
                <c:ptCount val="1"/>
                <c:pt idx="0">
                  <c:v>Food production (0 - 11000 Mt / yr),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SumWorld!$AB$450:$AR$450</c:f>
              <c:numCache>
                <c:formatCode>#,##0.000</c:formatCode>
                <c:ptCount val="17"/>
                <c:pt idx="9">
                  <c:v>0.654545454545455</c:v>
                </c:pt>
                <c:pt idx="10">
                  <c:v>0.690178363636364</c:v>
                </c:pt>
                <c:pt idx="11">
                  <c:v>0.754350545454545</c:v>
                </c:pt>
                <c:pt idx="12">
                  <c:v>0.821142</c:v>
                </c:pt>
                <c:pt idx="13">
                  <c:v>0.875710181818182</c:v>
                </c:pt>
                <c:pt idx="14">
                  <c:v>0.905395272727273</c:v>
                </c:pt>
                <c:pt idx="15">
                  <c:v>0.893172</c:v>
                </c:pt>
                <c:pt idx="16">
                  <c:v>0.880075636363636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SumWorld!$AA$451</c:f>
              <c:strCache>
                <c:ptCount val="1"/>
                <c:pt idx="0">
                  <c:v>Cultivated land (0 - 4000 Mha), Your forecast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SumWorld!$AB$451:$AR$451</c:f>
              <c:numCache>
                <c:formatCode>#,##0.000</c:formatCode>
                <c:ptCount val="17"/>
                <c:pt idx="9">
                  <c:v>0.375</c:v>
                </c:pt>
                <c:pt idx="10">
                  <c:v>0.37975</c:v>
                </c:pt>
                <c:pt idx="11">
                  <c:v>0.392</c:v>
                </c:pt>
                <c:pt idx="12">
                  <c:v>0.40425</c:v>
                </c:pt>
                <c:pt idx="13">
                  <c:v>0.4165</c:v>
                </c:pt>
                <c:pt idx="14">
                  <c:v>0.4165</c:v>
                </c:pt>
                <c:pt idx="15">
                  <c:v>0.40425</c:v>
                </c:pt>
                <c:pt idx="16">
                  <c:v>0.392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SumWorld!$AA$452</c:f>
              <c:strCache>
                <c:ptCount val="1"/>
                <c:pt idx="0">
                  <c:v>Gross yield (0 - 8 t / ha-yr),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SumWorld!$AB$452:$AR$452</c:f>
              <c:numCache>
                <c:formatCode>#,##0.000</c:formatCode>
                <c:ptCount val="17"/>
                <c:pt idx="9">
                  <c:v>0.6</c:v>
                </c:pt>
                <c:pt idx="10">
                  <c:v>0.62475</c:v>
                </c:pt>
                <c:pt idx="11">
                  <c:v>0.6615</c:v>
                </c:pt>
                <c:pt idx="12">
                  <c:v>0.69825</c:v>
                </c:pt>
                <c:pt idx="13">
                  <c:v>0.72275</c:v>
                </c:pt>
                <c:pt idx="14">
                  <c:v>0.74725</c:v>
                </c:pt>
                <c:pt idx="15">
                  <c:v>0.7595</c:v>
                </c:pt>
                <c:pt idx="16">
                  <c:v>0.77175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SumWorld!$AA$453</c:f>
              <c:strCache>
                <c:ptCount val="1"/>
                <c:pt idx="0">
                  <c:v>Food per person (0 - 2 t / person - yr),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SumWorld!$AB$442:$AR$442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SumWorld!$AB$453:$AR$453</c:f>
              <c:numCache>
                <c:formatCode>#,##0.000</c:formatCode>
                <c:ptCount val="17"/>
                <c:pt idx="9">
                  <c:v>0.49774813320504</c:v>
                </c:pt>
                <c:pt idx="10">
                  <c:v>0.505683649450934</c:v>
                </c:pt>
                <c:pt idx="11">
                  <c:v>0.537130043514294</c:v>
                </c:pt>
                <c:pt idx="12">
                  <c:v>0.572359441308434</c:v>
                </c:pt>
                <c:pt idx="13">
                  <c:v>0.601967102354535</c:v>
                </c:pt>
                <c:pt idx="14">
                  <c:v>0.61864014847362</c:v>
                </c:pt>
                <c:pt idx="15">
                  <c:v>0.611666552427796</c:v>
                </c:pt>
                <c:pt idx="16">
                  <c:v>0.608969489915266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121880"/>
        <c:axId val="47902837"/>
      </c:lineChart>
      <c:catAx>
        <c:axId val="11121880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02837"/>
        <c:crosses val="autoZero"/>
        <c:auto val="1"/>
        <c:lblAlgn val="ctr"/>
        <c:lblOffset val="100"/>
        <c:noMultiLvlLbl val="0"/>
      </c:catAx>
      <c:valAx>
        <c:axId val="4790283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2188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69473204190087"/>
          <c:y val="0.108093212860323"/>
          <c:w val="0.230526795809913"/>
          <c:h val="0.6373630777068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12. Non-energy Ecological Footprint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086834527062"/>
          <c:y val="0.116373605596521"/>
          <c:w val="0.711068448645057"/>
          <c:h val="0.806296086216676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SumWorld!$AA$496</c:f>
              <c:strCache>
                <c:ptCount val="1"/>
                <c:pt idx="0">
                  <c:v>Total bio-capacity, SumWorld (0 - 12500 Mgha)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SumWorld!$AB$496:$AR$496</c:f>
              <c:numCache>
                <c:formatCode>#,##0.000</c:formatCode>
                <c:ptCount val="17"/>
                <c:pt idx="0">
                  <c:v>0.92490335568</c:v>
                </c:pt>
                <c:pt idx="1">
                  <c:v>0.92828643168</c:v>
                </c:pt>
                <c:pt idx="2">
                  <c:v>0.93232534352</c:v>
                </c:pt>
                <c:pt idx="3">
                  <c:v>0.93897361376</c:v>
                </c:pt>
                <c:pt idx="4">
                  <c:v>0.95117337264</c:v>
                </c:pt>
                <c:pt idx="5">
                  <c:v>0.95720172712</c:v>
                </c:pt>
                <c:pt idx="6">
                  <c:v>0.95672474904</c:v>
                </c:pt>
                <c:pt idx="7">
                  <c:v>0.95349944144</c:v>
                </c:pt>
                <c:pt idx="8">
                  <c:v>0.95156721144</c:v>
                </c:pt>
                <c:pt idx="9">
                  <c:v>0.96</c:v>
                </c:pt>
                <c:pt idx="10">
                  <c:v>0.96</c:v>
                </c:pt>
                <c:pt idx="11">
                  <c:v>0.96</c:v>
                </c:pt>
                <c:pt idx="12">
                  <c:v>0.96</c:v>
                </c:pt>
                <c:pt idx="13">
                  <c:v>0.952</c:v>
                </c:pt>
                <c:pt idx="14">
                  <c:v>0.936</c:v>
                </c:pt>
                <c:pt idx="15">
                  <c:v>0.912</c:v>
                </c:pt>
                <c:pt idx="16">
                  <c:v>0.864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SumWorld!$AA$498</c:f>
              <c:strCache>
                <c:ptCount val="1"/>
                <c:pt idx="0">
                  <c:v>Nonenergy footprint (0 - 12500 Mgha)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SumWorld!$AB$498:$AR$498</c:f>
              <c:numCache>
                <c:formatCode>#,##0.000</c:formatCode>
                <c:ptCount val="17"/>
                <c:pt idx="0">
                  <c:v>0.5563365472</c:v>
                </c:pt>
                <c:pt idx="1">
                  <c:v>0.5731655052</c:v>
                </c:pt>
                <c:pt idx="2">
                  <c:v>0.58918259408</c:v>
                </c:pt>
                <c:pt idx="3">
                  <c:v>0.59169085944</c:v>
                </c:pt>
                <c:pt idx="4">
                  <c:v>0.62818916624</c:v>
                </c:pt>
                <c:pt idx="5">
                  <c:v>0.64031406304</c:v>
                </c:pt>
                <c:pt idx="6">
                  <c:v>0.65029919472</c:v>
                </c:pt>
                <c:pt idx="7">
                  <c:v>0.66822387432</c:v>
                </c:pt>
                <c:pt idx="8">
                  <c:v>0.66881657104</c:v>
                </c:pt>
                <c:pt idx="9">
                  <c:v>0.684490159742165</c:v>
                </c:pt>
                <c:pt idx="10">
                  <c:v>0.695505750510739</c:v>
                </c:pt>
                <c:pt idx="11">
                  <c:v>0.702232982381532</c:v>
                </c:pt>
                <c:pt idx="12">
                  <c:v>0.705195042699732</c:v>
                </c:pt>
                <c:pt idx="13">
                  <c:v>0.704560378324276</c:v>
                </c:pt>
                <c:pt idx="14">
                  <c:v>0.69989059848221</c:v>
                </c:pt>
                <c:pt idx="15">
                  <c:v>0.691185987477967</c:v>
                </c:pt>
                <c:pt idx="16">
                  <c:v>0.678685699368748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SumWorld!$AA$501</c:f>
              <c:strCache>
                <c:ptCount val="1"/>
                <c:pt idx="0">
                  <c:v>Unused bio-capacity (0 - 12500 Mgha)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SumWorld!$AB$501:$AR$501</c:f>
              <c:numCache>
                <c:formatCode>#,##0.000</c:formatCode>
                <c:ptCount val="17"/>
                <c:pt idx="0">
                  <c:v>0.36856680848</c:v>
                </c:pt>
                <c:pt idx="1">
                  <c:v>0.35512092648</c:v>
                </c:pt>
                <c:pt idx="2">
                  <c:v>0.34314274944</c:v>
                </c:pt>
                <c:pt idx="3">
                  <c:v>0.34728275432</c:v>
                </c:pt>
                <c:pt idx="4">
                  <c:v>0.3229842064</c:v>
                </c:pt>
                <c:pt idx="5">
                  <c:v>0.31688766408</c:v>
                </c:pt>
                <c:pt idx="6">
                  <c:v>0.30642555432</c:v>
                </c:pt>
                <c:pt idx="7">
                  <c:v>0.28527556712</c:v>
                </c:pt>
                <c:pt idx="8">
                  <c:v>0.2827506404</c:v>
                </c:pt>
                <c:pt idx="9">
                  <c:v>0.275509840257835</c:v>
                </c:pt>
                <c:pt idx="10">
                  <c:v>0.264494249489261</c:v>
                </c:pt>
                <c:pt idx="11">
                  <c:v>0.257767017618468</c:v>
                </c:pt>
                <c:pt idx="12">
                  <c:v>0.254804957300268</c:v>
                </c:pt>
                <c:pt idx="13">
                  <c:v>0.247439621675724</c:v>
                </c:pt>
                <c:pt idx="14">
                  <c:v>0.23610940151779</c:v>
                </c:pt>
                <c:pt idx="15">
                  <c:v>0.220814012522033</c:v>
                </c:pt>
                <c:pt idx="16">
                  <c:v>0.185314300631252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SumWorld!$AA$502</c:f>
              <c:strCache>
                <c:ptCount val="1"/>
                <c:pt idx="0">
                  <c:v>Unused bio-capacity per person (0 - 2.5 gha / person)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SumWorld!$AB$502:$AR$502</c:f>
              <c:numCache>
                <c:formatCode>#,##0.000</c:formatCode>
                <c:ptCount val="17"/>
                <c:pt idx="0">
                  <c:v>0.498577152187523</c:v>
                </c:pt>
                <c:pt idx="1">
                  <c:v>0.43557949814164</c:v>
                </c:pt>
                <c:pt idx="2">
                  <c:v>0.385293255328326</c:v>
                </c:pt>
                <c:pt idx="3">
                  <c:v>0.357045085694649</c:v>
                </c:pt>
                <c:pt idx="4">
                  <c:v>0.304333140510362</c:v>
                </c:pt>
                <c:pt idx="5">
                  <c:v>0.276697887259013</c:v>
                </c:pt>
                <c:pt idx="6">
                  <c:v>0.250234406412201</c:v>
                </c:pt>
                <c:pt idx="7">
                  <c:v>0.219218494379636</c:v>
                </c:pt>
                <c:pt idx="8">
                  <c:v>0.205013914567034</c:v>
                </c:pt>
                <c:pt idx="9">
                  <c:v>0.190464856356987</c:v>
                </c:pt>
                <c:pt idx="10">
                  <c:v>0.176042790027217</c:v>
                </c:pt>
                <c:pt idx="11">
                  <c:v>0.166633193641945</c:v>
                </c:pt>
                <c:pt idx="12">
                  <c:v>0.161170943448279</c:v>
                </c:pt>
                <c:pt idx="13">
                  <c:v>0.154301402037018</c:v>
                </c:pt>
                <c:pt idx="14">
                  <c:v>0.14632773509222</c:v>
                </c:pt>
                <c:pt idx="15">
                  <c:v>0.137156044850023</c:v>
                </c:pt>
                <c:pt idx="16">
                  <c:v>0.116321022308912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SumWorld!$AA$504</c:f>
              <c:strCache>
                <c:ptCount val="1"/>
                <c:pt idx="0">
                  <c:v>Total bio-capacity, SumWorld (0 - 12500 Mgha), Your forecast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SumWorld!$AB$504:$AR$504</c:f>
              <c:numCache>
                <c:formatCode>#,##0.000</c:formatCode>
                <c:ptCount val="17"/>
                <c:pt idx="9">
                  <c:v>0.96</c:v>
                </c:pt>
                <c:pt idx="10">
                  <c:v>0.9408</c:v>
                </c:pt>
                <c:pt idx="11">
                  <c:v>0.9408</c:v>
                </c:pt>
                <c:pt idx="12">
                  <c:v>0.9408</c:v>
                </c:pt>
                <c:pt idx="13">
                  <c:v>0.93296</c:v>
                </c:pt>
                <c:pt idx="14">
                  <c:v>0.91728</c:v>
                </c:pt>
                <c:pt idx="15">
                  <c:v>0.89376</c:v>
                </c:pt>
                <c:pt idx="16">
                  <c:v>0.84672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SumWorld!$AA$506</c:f>
              <c:strCache>
                <c:ptCount val="1"/>
                <c:pt idx="0">
                  <c:v>Nonenergy footprint (0 - 12500 Mgha), Your forecast</c:v>
                </c:pt>
              </c:strCache>
            </c:strRef>
          </c:tx>
          <c:spPr>
            <a:solidFill>
              <a:srgbClr val="0000ff"/>
            </a:solidFill>
            <a:ln w="28440">
              <a:solidFill>
                <a:srgbClr val="0000ff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SumWorld!$AB$506:$AR$506</c:f>
              <c:numCache>
                <c:formatCode>#,##0.000</c:formatCode>
                <c:ptCount val="17"/>
                <c:pt idx="9">
                  <c:v>0.684492050409956</c:v>
                </c:pt>
                <c:pt idx="10">
                  <c:v>0.695295620649881</c:v>
                </c:pt>
                <c:pt idx="11">
                  <c:v>0.701883753582099</c:v>
                </c:pt>
                <c:pt idx="12">
                  <c:v>0.704769539783915</c:v>
                </c:pt>
                <c:pt idx="13">
                  <c:v>0.704128346297358</c:v>
                </c:pt>
                <c:pt idx="14">
                  <c:v>0.699529832078869</c:v>
                </c:pt>
                <c:pt idx="15">
                  <c:v>0.690974160005747</c:v>
                </c:pt>
                <c:pt idx="16">
                  <c:v>0.678694744206175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SumWorld!$AA$509</c:f>
              <c:strCache>
                <c:ptCount val="1"/>
                <c:pt idx="0">
                  <c:v>Unused bio-capacity (0 - 12500 Mgha),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SumWorld!$AB$509:$AR$509</c:f>
              <c:numCache>
                <c:formatCode>#,##0.000</c:formatCode>
                <c:ptCount val="17"/>
                <c:pt idx="9">
                  <c:v>0.275507949590044</c:v>
                </c:pt>
                <c:pt idx="10">
                  <c:v>0.245504379350119</c:v>
                </c:pt>
                <c:pt idx="11">
                  <c:v>0.238916246417901</c:v>
                </c:pt>
                <c:pt idx="12">
                  <c:v>0.236030460216085</c:v>
                </c:pt>
                <c:pt idx="13">
                  <c:v>0.228831653702643</c:v>
                </c:pt>
                <c:pt idx="14">
                  <c:v>0.217750167921131</c:v>
                </c:pt>
                <c:pt idx="15">
                  <c:v>0.202785839994253</c:v>
                </c:pt>
                <c:pt idx="16">
                  <c:v>0.168025255793825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SumWorld!$AA$510</c:f>
              <c:strCache>
                <c:ptCount val="1"/>
                <c:pt idx="0">
                  <c:v>Unused bio-capacity per person (0 - 2.5 gha / person), Your forecast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SumWorld!$AB$495:$AR$495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SumWorld!$AB$510:$AR$510</c:f>
              <c:numCache>
                <c:formatCode>#,##0.000</c:formatCode>
                <c:ptCount val="17"/>
                <c:pt idx="9">
                  <c:v>0.190463288321657</c:v>
                </c:pt>
                <c:pt idx="10">
                  <c:v>0.163524989332079</c:v>
                </c:pt>
                <c:pt idx="11">
                  <c:v>0.15465331506683</c:v>
                </c:pt>
                <c:pt idx="12">
                  <c:v>0.149563614776241</c:v>
                </c:pt>
                <c:pt idx="13">
                  <c:v>0.142999912700856</c:v>
                </c:pt>
                <c:pt idx="14">
                  <c:v>0.135258850491904</c:v>
                </c:pt>
                <c:pt idx="15">
                  <c:v>0.126248019449434</c:v>
                </c:pt>
                <c:pt idx="16">
                  <c:v>0.105695723584138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581548"/>
        <c:axId val="46240668"/>
      </c:lineChart>
      <c:catAx>
        <c:axId val="2758154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40668"/>
        <c:crosses val="autoZero"/>
        <c:auto val="1"/>
        <c:lblAlgn val="ctr"/>
        <c:lblOffset val="100"/>
        <c:noMultiLvlLbl val="0"/>
      </c:catAx>
      <c:valAx>
        <c:axId val="46240668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8154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57232365692635"/>
          <c:y val="0.065403910957236"/>
          <c:w val="0.233587005434282"/>
          <c:h val="0.7601464438076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8. Energy usages (Mtoe/yr)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799001065041"/>
          <c:y val="0.116399959229436"/>
          <c:w val="0.694223070990488"/>
          <c:h val="0.806339822648048"/>
        </c:manualLayout>
      </c:layout>
      <c:lineChart>
        <c:grouping val="standard"/>
        <c:varyColors val="0"/>
        <c:ser>
          <c:idx val="0"/>
          <c:order val="0"/>
          <c:tx>
            <c:strRef>
              <c:f>SumWorld!$A$232</c:f>
              <c:strCache>
                <c:ptCount val="1"/>
                <c:pt idx="0">
                  <c:v>Oil use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SumWorld!$B$232:$R$232</c:f>
              <c:numCache>
                <c:formatCode>#,##0</c:formatCode>
                <c:ptCount val="17"/>
                <c:pt idx="0">
                  <c:v>2234.86374542487</c:v>
                </c:pt>
                <c:pt idx="1">
                  <c:v>2653.25399263207</c:v>
                </c:pt>
                <c:pt idx="2">
                  <c:v>2908.01985627201</c:v>
                </c:pt>
                <c:pt idx="3">
                  <c:v>2727.47336060053</c:v>
                </c:pt>
                <c:pt idx="4">
                  <c:v>3055.48804856343</c:v>
                </c:pt>
                <c:pt idx="5">
                  <c:v>3168.19975997844</c:v>
                </c:pt>
                <c:pt idx="6">
                  <c:v>3453.23085209087</c:v>
                </c:pt>
                <c:pt idx="7">
                  <c:v>3787.35541822844</c:v>
                </c:pt>
                <c:pt idx="8">
                  <c:v>3911.94554940734</c:v>
                </c:pt>
                <c:pt idx="9">
                  <c:v>3986.45400329992</c:v>
                </c:pt>
                <c:pt idx="10">
                  <c:v>3982.56908441228</c:v>
                </c:pt>
                <c:pt idx="11">
                  <c:v>4058.37413099971</c:v>
                </c:pt>
                <c:pt idx="12">
                  <c:v>3943.74959402493</c:v>
                </c:pt>
                <c:pt idx="13">
                  <c:v>3733.93226568398</c:v>
                </c:pt>
                <c:pt idx="14">
                  <c:v>3424.95288216224</c:v>
                </c:pt>
                <c:pt idx="15">
                  <c:v>3083.19357899739</c:v>
                </c:pt>
                <c:pt idx="16">
                  <c:v>2636.01271762887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SumWorld!$A$233</c:f>
              <c:strCache>
                <c:ptCount val="1"/>
                <c:pt idx="0">
                  <c:v>Gas use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SumWorld!$B$233:$R$233</c:f>
              <c:numCache>
                <c:formatCode>#,##0</c:formatCode>
                <c:ptCount val="17"/>
                <c:pt idx="0">
                  <c:v>889.441288221606</c:v>
                </c:pt>
                <c:pt idx="1">
                  <c:v>1060.00757033227</c:v>
                </c:pt>
                <c:pt idx="2">
                  <c:v>1276.1354042577</c:v>
                </c:pt>
                <c:pt idx="3">
                  <c:v>1462.42032853786</c:v>
                </c:pt>
                <c:pt idx="4">
                  <c:v>1741.70273472434</c:v>
                </c:pt>
                <c:pt idx="5">
                  <c:v>1892.55251833007</c:v>
                </c:pt>
                <c:pt idx="6">
                  <c:v>2126.19778189488</c:v>
                </c:pt>
                <c:pt idx="7">
                  <c:v>2438.52637936328</c:v>
                </c:pt>
                <c:pt idx="8">
                  <c:v>2761.03964697482</c:v>
                </c:pt>
                <c:pt idx="9">
                  <c:v>3231.62567668226</c:v>
                </c:pt>
                <c:pt idx="10">
                  <c:v>3852.1193563564</c:v>
                </c:pt>
                <c:pt idx="11">
                  <c:v>4264.39635412551</c:v>
                </c:pt>
                <c:pt idx="12">
                  <c:v>4574.67452395341</c:v>
                </c:pt>
                <c:pt idx="13">
                  <c:v>4685.15103270744</c:v>
                </c:pt>
                <c:pt idx="14">
                  <c:v>4567.9537057749</c:v>
                </c:pt>
                <c:pt idx="15">
                  <c:v>4363.50491067387</c:v>
                </c:pt>
                <c:pt idx="16">
                  <c:v>3834.18848074587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SumWorld!$A$234</c:f>
              <c:strCache>
                <c:ptCount val="1"/>
                <c:pt idx="0">
                  <c:v>Coal use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SumWorld!$B$234:$R$234</c:f>
              <c:numCache>
                <c:formatCode>#,##0</c:formatCode>
                <c:ptCount val="17"/>
                <c:pt idx="0">
                  <c:v>1494.25872742404</c:v>
                </c:pt>
                <c:pt idx="1">
                  <c:v>1579.13331388452</c:v>
                </c:pt>
                <c:pt idx="2">
                  <c:v>1796.59702689787</c:v>
                </c:pt>
                <c:pt idx="3">
                  <c:v>2042.35341067853</c:v>
                </c:pt>
                <c:pt idx="4">
                  <c:v>2200.05941216984</c:v>
                </c:pt>
                <c:pt idx="5">
                  <c:v>2233.71918800129</c:v>
                </c:pt>
                <c:pt idx="6">
                  <c:v>2368.05409003042</c:v>
                </c:pt>
                <c:pt idx="7">
                  <c:v>2977.69045690982</c:v>
                </c:pt>
                <c:pt idx="8">
                  <c:v>3513.04112163238</c:v>
                </c:pt>
                <c:pt idx="9">
                  <c:v>4003.43891038108</c:v>
                </c:pt>
                <c:pt idx="10">
                  <c:v>4510.16591403089</c:v>
                </c:pt>
                <c:pt idx="11">
                  <c:v>4781.08338534849</c:v>
                </c:pt>
                <c:pt idx="12">
                  <c:v>4993.54519301789</c:v>
                </c:pt>
                <c:pt idx="13">
                  <c:v>4945.86554285936</c:v>
                </c:pt>
                <c:pt idx="14">
                  <c:v>4831.23022732268</c:v>
                </c:pt>
                <c:pt idx="15">
                  <c:v>4426.69586047592</c:v>
                </c:pt>
                <c:pt idx="16">
                  <c:v>3988.97633246585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SumWorld!$A$235</c:f>
              <c:strCache>
                <c:ptCount val="1"/>
                <c:pt idx="0">
                  <c:v>Nuclear use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SumWorld!$B$235:$R$235</c:f>
              <c:numCache>
                <c:formatCode>#,##0</c:formatCode>
                <c:ptCount val="17"/>
                <c:pt idx="0">
                  <c:v>17.4963699025588</c:v>
                </c:pt>
                <c:pt idx="1">
                  <c:v>82.4409781251566</c:v>
                </c:pt>
                <c:pt idx="2">
                  <c:v>160.975882060676</c:v>
                </c:pt>
                <c:pt idx="3">
                  <c:v>335.332162139181</c:v>
                </c:pt>
                <c:pt idx="4">
                  <c:v>452.416015905947</c:v>
                </c:pt>
                <c:pt idx="5">
                  <c:v>523.992483742734</c:v>
                </c:pt>
                <c:pt idx="6">
                  <c:v>582.474512983188</c:v>
                </c:pt>
                <c:pt idx="7">
                  <c:v>624.350189854303</c:v>
                </c:pt>
                <c:pt idx="8">
                  <c:v>624.82361917431</c:v>
                </c:pt>
                <c:pt idx="9">
                  <c:v>671.586773232913</c:v>
                </c:pt>
                <c:pt idx="10">
                  <c:v>677.7366141557</c:v>
                </c:pt>
                <c:pt idx="11">
                  <c:v>690.325166463687</c:v>
                </c:pt>
                <c:pt idx="12">
                  <c:v>627.026322767932</c:v>
                </c:pt>
                <c:pt idx="13">
                  <c:v>605.455688799585</c:v>
                </c:pt>
                <c:pt idx="14">
                  <c:v>558.811557935956</c:v>
                </c:pt>
                <c:pt idx="15">
                  <c:v>488.47424409959</c:v>
                </c:pt>
                <c:pt idx="16">
                  <c:v>432.636694560627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SumWorld!$A$239</c:f>
              <c:strCache>
                <c:ptCount val="1"/>
                <c:pt idx="0">
                  <c:v>Renewable use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SumWorld!$B$239:$R$239</c:f>
              <c:numCache>
                <c:formatCode>#,##0</c:formatCode>
                <c:ptCount val="17"/>
                <c:pt idx="0">
                  <c:v>262.528101298878</c:v>
                </c:pt>
                <c:pt idx="1">
                  <c:v>320.767882001407</c:v>
                </c:pt>
                <c:pt idx="2">
                  <c:v>377.813332900134</c:v>
                </c:pt>
                <c:pt idx="3">
                  <c:v>439.219089974046</c:v>
                </c:pt>
                <c:pt idx="4">
                  <c:v>505.419422860376</c:v>
                </c:pt>
                <c:pt idx="5">
                  <c:v>581.856303350286</c:v>
                </c:pt>
                <c:pt idx="6">
                  <c:v>643.784660545109</c:v>
                </c:pt>
                <c:pt idx="7">
                  <c:v>744.506042781867</c:v>
                </c:pt>
                <c:pt idx="8">
                  <c:v>970.736432379134</c:v>
                </c:pt>
                <c:pt idx="9">
                  <c:v>1317.70661302462</c:v>
                </c:pt>
                <c:pt idx="10">
                  <c:v>1771.52843911633</c:v>
                </c:pt>
                <c:pt idx="11">
                  <c:v>2417.24775062044</c:v>
                </c:pt>
                <c:pt idx="12">
                  <c:v>3096.87512648198</c:v>
                </c:pt>
                <c:pt idx="13">
                  <c:v>3900.63346959897</c:v>
                </c:pt>
                <c:pt idx="14">
                  <c:v>4657.29135872243</c:v>
                </c:pt>
                <c:pt idx="15">
                  <c:v>5540.66955256339</c:v>
                </c:pt>
                <c:pt idx="16">
                  <c:v>6411.9031779623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SumWorld!$U$250</c:f>
              <c:strCache>
                <c:ptCount val="1"/>
                <c:pt idx="0">
                  <c:v>Oil use Your forecast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SumWorld!$B$250:$R$250</c:f>
              <c:numCache>
                <c:formatCode>#,##0</c:formatCode>
                <c:ptCount val="17"/>
                <c:pt idx="9">
                  <c:v>3986.40398689839</c:v>
                </c:pt>
                <c:pt idx="10">
                  <c:v>3808.60801695255</c:v>
                </c:pt>
                <c:pt idx="11">
                  <c:v>3864.48819024838</c:v>
                </c:pt>
                <c:pt idx="12">
                  <c:v>3740.3553302807</c:v>
                </c:pt>
                <c:pt idx="13">
                  <c:v>3527.48071042074</c:v>
                </c:pt>
                <c:pt idx="14">
                  <c:v>3224.84694563631</c:v>
                </c:pt>
                <c:pt idx="15">
                  <c:v>2895.93787338521</c:v>
                </c:pt>
                <c:pt idx="16">
                  <c:v>2472.25222662407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SumWorld!$U$251</c:f>
              <c:strCache>
                <c:ptCount val="1"/>
                <c:pt idx="0">
                  <c:v>Gas use Your forecast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SumWorld!$B$251:$R$251</c:f>
              <c:numCache>
                <c:formatCode>#,##0</c:formatCode>
                <c:ptCount val="17"/>
                <c:pt idx="9">
                  <c:v>3231.58330167541</c:v>
                </c:pt>
                <c:pt idx="10">
                  <c:v>3685.64607389226</c:v>
                </c:pt>
                <c:pt idx="11">
                  <c:v>4063.10808892413</c:v>
                </c:pt>
                <c:pt idx="12">
                  <c:v>4340.14718884288</c:v>
                </c:pt>
                <c:pt idx="13">
                  <c:v>4427.2886450576</c:v>
                </c:pt>
                <c:pt idx="14">
                  <c:v>4301.7124473083</c:v>
                </c:pt>
                <c:pt idx="15">
                  <c:v>4097.64698665116</c:v>
                </c:pt>
                <c:pt idx="16">
                  <c:v>3594.91707519245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SumWorld!$U$254</c:f>
              <c:strCache>
                <c:ptCount val="1"/>
                <c:pt idx="0">
                  <c:v>Renewable use Your forecast</c:v>
                </c:pt>
              </c:strCache>
            </c:strRef>
          </c:tx>
          <c:spPr>
            <a:solidFill>
              <a:srgbClr val="ffc000"/>
            </a:solidFill>
            <a:ln w="28440">
              <a:solidFill>
                <a:srgbClr val="ffc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SumWorld!$B$254:$R$254</c:f>
              <c:numCache>
                <c:formatCode>#,##0</c:formatCode>
                <c:ptCount val="17"/>
                <c:pt idx="9">
                  <c:v>1317.69688761321</c:v>
                </c:pt>
                <c:pt idx="10">
                  <c:v>1691.67928340459</c:v>
                </c:pt>
                <c:pt idx="11">
                  <c:v>2295.48145229953</c:v>
                </c:pt>
                <c:pt idx="12">
                  <c:v>2925.40151437056</c:v>
                </c:pt>
                <c:pt idx="13">
                  <c:v>3666.92421215838</c:v>
                </c:pt>
                <c:pt idx="14">
                  <c:v>4361.53556433652</c:v>
                </c:pt>
                <c:pt idx="15">
                  <c:v>5175.12101832228</c:v>
                </c:pt>
                <c:pt idx="16">
                  <c:v>5979.25899277848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SumWorld!$U$253</c:f>
              <c:strCache>
                <c:ptCount val="1"/>
                <c:pt idx="0">
                  <c:v>Nuclear use Your forecast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SumWorld!$B$253:$R$253</c:f>
              <c:numCache>
                <c:formatCode>#,##0</c:formatCode>
                <c:ptCount val="17"/>
                <c:pt idx="9">
                  <c:v>671.575658477019</c:v>
                </c:pt>
                <c:pt idx="10">
                  <c:v>648.662587339361</c:v>
                </c:pt>
                <c:pt idx="11">
                  <c:v>657.565875304104</c:v>
                </c:pt>
                <c:pt idx="12">
                  <c:v>594.603442623953</c:v>
                </c:pt>
                <c:pt idx="13">
                  <c:v>570.780846586728</c:v>
                </c:pt>
                <c:pt idx="14">
                  <c:v>524.96524604041</c:v>
                </c:pt>
                <c:pt idx="15">
                  <c:v>457.27328174607</c:v>
                </c:pt>
                <c:pt idx="16">
                  <c:v>403.76292524406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SumWorld!$U$252</c:f>
              <c:strCache>
                <c:ptCount val="1"/>
                <c:pt idx="0">
                  <c:v>Coal use Your forecast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SumWorld!$B$230:$R$230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SumWorld!$B$252:$R$252</c:f>
              <c:numCache>
                <c:formatCode>#,##0</c:formatCode>
                <c:ptCount val="17"/>
                <c:pt idx="9">
                  <c:v>4003.41320750808</c:v>
                </c:pt>
                <c:pt idx="10">
                  <c:v>4581.68650871597</c:v>
                </c:pt>
                <c:pt idx="11">
                  <c:v>4829.9033793983</c:v>
                </c:pt>
                <c:pt idx="12">
                  <c:v>5014.6769805556</c:v>
                </c:pt>
                <c:pt idx="13">
                  <c:v>4953.6409565879</c:v>
                </c:pt>
                <c:pt idx="14">
                  <c:v>4829.06636895547</c:v>
                </c:pt>
                <c:pt idx="15">
                  <c:v>4436.74047648275</c:v>
                </c:pt>
                <c:pt idx="16">
                  <c:v>4012.51077703615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403696"/>
        <c:axId val="42704166"/>
      </c:lineChart>
      <c:catAx>
        <c:axId val="44403696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04166"/>
        <c:crosses val="autoZero"/>
        <c:auto val="1"/>
        <c:lblAlgn val="ctr"/>
        <c:lblOffset val="100"/>
        <c:noMultiLvlLbl val="0"/>
      </c:catAx>
      <c:valAx>
        <c:axId val="4270416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403696"/>
        <c:crosses val="autoZero"/>
        <c:crossBetween val="midCat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52642051256109"/>
          <c:y val="0.111708569323571"/>
          <c:w val="0.247357948743891"/>
          <c:h val="0.5726360685177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000" strike="noStrike" u="none">
                <a:solidFill>
                  <a:srgbClr val="000000"/>
                </a:solidFill>
                <a:uFillTx/>
                <a:latin typeface="Calibri"/>
              </a:rPr>
              <a:t>Graph 10. Climate Change - SumWorld 1970 to 2050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174956739443"/>
          <c:y val="0.11638707231542"/>
          <c:w val="0.711056293950885"/>
          <c:h val="0.806369064543645"/>
        </c:manualLayout>
      </c:layout>
      <c:lineChart>
        <c:grouping val="standard"/>
        <c:varyColors val="0"/>
        <c:ser>
          <c:idx val="0"/>
          <c:order val="0"/>
          <c:tx>
            <c:strRef>
              <c:f>SumWorld!$AA$396</c:f>
              <c:strCache>
                <c:ptCount val="1"/>
                <c:pt idx="0">
                  <c:v>Temperature rise from pre-industrial times (0 - 2.5 deg C)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SumWorld!$AB$395:$AR$395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SumWorld!$AB$396:$AR$396</c:f>
              <c:numCache>
                <c:formatCode>#,##0.000</c:formatCode>
                <c:ptCount val="17"/>
                <c:pt idx="0">
                  <c:v>0.184141635767619</c:v>
                </c:pt>
                <c:pt idx="1">
                  <c:v>0.145741635767619</c:v>
                </c:pt>
                <c:pt idx="2">
                  <c:v>0.237741635767619</c:v>
                </c:pt>
                <c:pt idx="3">
                  <c:v>0.212141635767619</c:v>
                </c:pt>
                <c:pt idx="4">
                  <c:v>0.278141635767619</c:v>
                </c:pt>
                <c:pt idx="5">
                  <c:v>0.282941635767619</c:v>
                </c:pt>
                <c:pt idx="6">
                  <c:v>0.284589290618897</c:v>
                </c:pt>
                <c:pt idx="7">
                  <c:v>0.350262093544006</c:v>
                </c:pt>
                <c:pt idx="8">
                  <c:v>0.387973523139954</c:v>
                </c:pt>
                <c:pt idx="9">
                  <c:v>0.436459398269653</c:v>
                </c:pt>
                <c:pt idx="10">
                  <c:v>0.489414548873901</c:v>
                </c:pt>
                <c:pt idx="11">
                  <c:v>0.541863822937012</c:v>
                </c:pt>
                <c:pt idx="12">
                  <c:v>0.592993974685669</c:v>
                </c:pt>
                <c:pt idx="13">
                  <c:v>0.645321273803711</c:v>
                </c:pt>
                <c:pt idx="14">
                  <c:v>0.697778797149658</c:v>
                </c:pt>
                <c:pt idx="15">
                  <c:v>0.750726127624512</c:v>
                </c:pt>
                <c:pt idx="16">
                  <c:v>0.803888893127441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SumWorld!$AA$397</c:f>
              <c:strCache>
                <c:ptCount val="1"/>
                <c:pt idx="0">
                  <c:v>CO2 in atmosphere (0 - 600 ppm)</c:v>
                </c:pt>
              </c:strCache>
            </c:strRef>
          </c:tx>
          <c:spPr>
            <a:solidFill>
              <a:srgbClr val="00ff00"/>
            </a:solidFill>
            <a:ln w="28440">
              <a:solidFill>
                <a:srgbClr val="00f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SumWorld!$AB$395:$AR$395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SumWorld!$AB$397:$AR$397</c:f>
              <c:numCache>
                <c:formatCode>#,##0.000</c:formatCode>
                <c:ptCount val="17"/>
                <c:pt idx="0">
                  <c:v>0.543982682611091</c:v>
                </c:pt>
                <c:pt idx="1">
                  <c:v>0.553009251883416</c:v>
                </c:pt>
                <c:pt idx="2">
                  <c:v>0.565695165892355</c:v>
                </c:pt>
                <c:pt idx="3">
                  <c:v>0.577704609174023</c:v>
                </c:pt>
                <c:pt idx="4">
                  <c:v>0.59155138035692</c:v>
                </c:pt>
                <c:pt idx="5">
                  <c:v>0.60235820901233</c:v>
                </c:pt>
                <c:pt idx="6">
                  <c:v>0.61861811319987</c:v>
                </c:pt>
                <c:pt idx="7">
                  <c:v>0.634060974121094</c:v>
                </c:pt>
                <c:pt idx="8">
                  <c:v>0.652031809488932</c:v>
                </c:pt>
                <c:pt idx="9">
                  <c:v>0.672254943847656</c:v>
                </c:pt>
                <c:pt idx="10">
                  <c:v>0.693705088297526</c:v>
                </c:pt>
                <c:pt idx="11">
                  <c:v>0.715850423177083</c:v>
                </c:pt>
                <c:pt idx="12">
                  <c:v>0.738145294189453</c:v>
                </c:pt>
                <c:pt idx="13">
                  <c:v>0.759998321533203</c:v>
                </c:pt>
                <c:pt idx="14">
                  <c:v>0.78092763264974</c:v>
                </c:pt>
                <c:pt idx="15">
                  <c:v>0.800646260579427</c:v>
                </c:pt>
                <c:pt idx="16">
                  <c:v>0.819027099609375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SumWorld!$AA$398</c:f>
              <c:strCache>
                <c:ptCount val="1"/>
                <c:pt idx="0">
                  <c:v>CO2 equivalent in atmosphere (0 - 600 ppme)</c:v>
                </c:pt>
              </c:strCache>
            </c:strRef>
          </c:tx>
          <c:spPr>
            <a:solidFill>
              <a:srgbClr val="4f6228"/>
            </a:solidFill>
            <a:ln w="28440">
              <a:solidFill>
                <a:srgbClr val="4f62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SumWorld!$AB$395:$AR$395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SumWorld!$AB$398:$AR$398</c:f>
              <c:numCache>
                <c:formatCode>#,##0.000</c:formatCode>
                <c:ptCount val="17"/>
                <c:pt idx="6">
                  <c:v>0.656160125732422</c:v>
                </c:pt>
                <c:pt idx="7">
                  <c:v>0.650354156494141</c:v>
                </c:pt>
                <c:pt idx="8">
                  <c:v>0.675690460205078</c:v>
                </c:pt>
                <c:pt idx="9">
                  <c:v>0.707522125244141</c:v>
                </c:pt>
                <c:pt idx="10">
                  <c:v>0.739240163167318</c:v>
                </c:pt>
                <c:pt idx="11">
                  <c:v>0.769280497233073</c:v>
                </c:pt>
                <c:pt idx="12">
                  <c:v>0.798983561197917</c:v>
                </c:pt>
                <c:pt idx="13">
                  <c:v>0.833339335123698</c:v>
                </c:pt>
                <c:pt idx="14">
                  <c:v>0.865260823567708</c:v>
                </c:pt>
                <c:pt idx="15">
                  <c:v>0.90160166422526</c:v>
                </c:pt>
                <c:pt idx="16">
                  <c:v>0.936482442220052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SumWorld!$AA$399</c:f>
              <c:strCache>
                <c:ptCount val="1"/>
                <c:pt idx="0">
                  <c:v>Sea level rise from year 1850 (0 - 0,8 m)</c:v>
                </c:pt>
              </c:strCache>
            </c:strRef>
          </c:tx>
          <c:spPr>
            <a:solidFill>
              <a:srgbClr val="00b0f0"/>
            </a:solidFill>
            <a:ln w="2844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SumWorld!$AB$395:$AR$395</c:f>
              <c:strCache>
                <c:ptCount val="17"/>
                <c:pt idx="0">
                  <c:v>1970</c:v>
                </c:pt>
                <c:pt idx="1">
                  <c:v>1975</c:v>
                </c:pt>
                <c:pt idx="2">
                  <c:v>1980</c:v>
                </c:pt>
                <c:pt idx="3">
                  <c:v>1985</c:v>
                </c:pt>
                <c:pt idx="4">
                  <c:v>1990</c:v>
                </c:pt>
                <c:pt idx="5">
                  <c:v>1995</c:v>
                </c:pt>
                <c:pt idx="6">
                  <c:v>2000</c:v>
                </c:pt>
                <c:pt idx="7">
                  <c:v>2005</c:v>
                </c:pt>
                <c:pt idx="8">
                  <c:v>2010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  <c:pt idx="15">
                  <c:v>2045</c:v>
                </c:pt>
                <c:pt idx="16">
                  <c:v>2050</c:v>
                </c:pt>
              </c:strCache>
            </c:strRef>
          </c:cat>
          <c:val>
            <c:numRef>
              <c:f>SumWorld!$AB$399:$AR$399</c:f>
              <c:numCache>
                <c:formatCode>#,##0.000</c:formatCode>
                <c:ptCount val="17"/>
                <c:pt idx="6">
                  <c:v>0.25</c:v>
                </c:pt>
                <c:pt idx="7">
                  <c:v>0.273493106365204</c:v>
                </c:pt>
                <c:pt idx="8">
                  <c:v>0.305828404426575</c:v>
                </c:pt>
                <c:pt idx="9">
                  <c:v>0.34025673866272</c:v>
                </c:pt>
                <c:pt idx="10">
                  <c:v>0.378428058624268</c:v>
                </c:pt>
                <c:pt idx="11">
                  <c:v>0.421287422180176</c:v>
                </c:pt>
                <c:pt idx="12">
                  <c:v>0.468884449005127</c:v>
                </c:pt>
                <c:pt idx="13">
                  <c:v>0.520819759368897</c:v>
                </c:pt>
                <c:pt idx="14">
                  <c:v>0.577321701049805</c:v>
                </c:pt>
                <c:pt idx="15">
                  <c:v>0.638355827331543</c:v>
                </c:pt>
                <c:pt idx="16">
                  <c:v>0.704001922607422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917498"/>
        <c:axId val="27567246"/>
      </c:lineChart>
      <c:catAx>
        <c:axId val="70917498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67246"/>
        <c:crosses val="autoZero"/>
        <c:auto val="1"/>
        <c:lblAlgn val="ctr"/>
        <c:lblOffset val="100"/>
        <c:noMultiLvlLbl val="0"/>
      </c:catAx>
      <c:valAx>
        <c:axId val="2756724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#,##0.0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91749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86304357124054"/>
          <c:y val="0.111708541855262"/>
          <c:w val="0.206045118815048"/>
          <c:h val="0.53990099122642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  <c:userShapes r:id="rId1"/>
</c:chartSpace>
</file>

<file path=xl/ctrlProps/ctrlProps2.xml><?xml version="1.0" encoding="utf-8"?>
<formControlPr xmlns="http://schemas.microsoft.com/office/spreadsheetml/2009/9/main" objectType="Button" lockText="1"/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Relationship Id="rId6" Type="http://schemas.openxmlformats.org/officeDocument/2006/relationships/chart" Target="../charts/chart21.xml"/><Relationship Id="rId7" Type="http://schemas.openxmlformats.org/officeDocument/2006/relationships/chart" Target="../charts/chart22.xml"/><Relationship Id="rId8" Type="http://schemas.openxmlformats.org/officeDocument/2006/relationships/chart" Target="../charts/chart23.xml"/><Relationship Id="rId9" Type="http://schemas.openxmlformats.org/officeDocument/2006/relationships/chart" Target="../charts/chart24.xml"/><Relationship Id="rId10" Type="http://schemas.openxmlformats.org/officeDocument/2006/relationships/chart" Target="../charts/chart25.xml"/><Relationship Id="rId11" Type="http://schemas.openxmlformats.org/officeDocument/2006/relationships/chart" Target="../charts/chart26.xml"/><Relationship Id="rId12" Type="http://schemas.openxmlformats.org/officeDocument/2006/relationships/chart" Target="../charts/chart27.xml"/><Relationship Id="rId13" Type="http://schemas.openxmlformats.org/officeDocument/2006/relationships/chart" Target="../charts/chart28.xml"/><Relationship Id="rId14" Type="http://schemas.openxmlformats.org/officeDocument/2006/relationships/chart" Target="../charts/chart29.xml"/><Relationship Id="rId15" Type="http://schemas.openxmlformats.org/officeDocument/2006/relationships/chart" Target="../charts/chart30.xml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Relationship Id="rId8" Type="http://schemas.openxmlformats.org/officeDocument/2006/relationships/chart" Target="../charts/chart38.xml"/><Relationship Id="rId9" Type="http://schemas.openxmlformats.org/officeDocument/2006/relationships/chart" Target="../charts/chart39.xml"/><Relationship Id="rId10" Type="http://schemas.openxmlformats.org/officeDocument/2006/relationships/chart" Target="../charts/chart40.xml"/><Relationship Id="rId11" Type="http://schemas.openxmlformats.org/officeDocument/2006/relationships/chart" Target="../charts/chart41.xml"/><Relationship Id="rId12" Type="http://schemas.openxmlformats.org/officeDocument/2006/relationships/chart" Target="../charts/chart42.xml"/><Relationship Id="rId13" Type="http://schemas.openxmlformats.org/officeDocument/2006/relationships/chart" Target="../charts/chart43.xml"/><Relationship Id="rId14" Type="http://schemas.openxmlformats.org/officeDocument/2006/relationships/chart" Target="../charts/chart44.xml"/><Relationship Id="rId15" Type="http://schemas.openxmlformats.org/officeDocument/2006/relationships/chart" Target="../charts/chart45.xml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Relationship Id="rId4" Type="http://schemas.openxmlformats.org/officeDocument/2006/relationships/chart" Target="../charts/chart49.xml"/><Relationship Id="rId5" Type="http://schemas.openxmlformats.org/officeDocument/2006/relationships/chart" Target="../charts/chart50.xml"/><Relationship Id="rId6" Type="http://schemas.openxmlformats.org/officeDocument/2006/relationships/chart" Target="../charts/chart51.xml"/><Relationship Id="rId7" Type="http://schemas.openxmlformats.org/officeDocument/2006/relationships/chart" Target="../charts/chart52.xml"/><Relationship Id="rId8" Type="http://schemas.openxmlformats.org/officeDocument/2006/relationships/chart" Target="../charts/chart53.xml"/><Relationship Id="rId9" Type="http://schemas.openxmlformats.org/officeDocument/2006/relationships/chart" Target="../charts/chart54.xml"/><Relationship Id="rId10" Type="http://schemas.openxmlformats.org/officeDocument/2006/relationships/chart" Target="../charts/chart55.xml"/><Relationship Id="rId11" Type="http://schemas.openxmlformats.org/officeDocument/2006/relationships/chart" Target="../charts/chart56.xml"/><Relationship Id="rId12" Type="http://schemas.openxmlformats.org/officeDocument/2006/relationships/chart" Target="../charts/chart57.xml"/><Relationship Id="rId13" Type="http://schemas.openxmlformats.org/officeDocument/2006/relationships/chart" Target="../charts/chart58.xml"/><Relationship Id="rId14" Type="http://schemas.openxmlformats.org/officeDocument/2006/relationships/chart" Target="../charts/chart59.xml"/><Relationship Id="rId15" Type="http://schemas.openxmlformats.org/officeDocument/2006/relationships/chart" Target="../charts/chart60.xml"/>
</Relationships>
</file>

<file path=xl/drawings/_rels/drawing67.xml.rels><?xml version="1.0" encoding="UTF-8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Relationship Id="rId5" Type="http://schemas.openxmlformats.org/officeDocument/2006/relationships/chart" Target="../charts/chart65.xml"/><Relationship Id="rId6" Type="http://schemas.openxmlformats.org/officeDocument/2006/relationships/chart" Target="../charts/chart66.xml"/><Relationship Id="rId7" Type="http://schemas.openxmlformats.org/officeDocument/2006/relationships/chart" Target="../charts/chart67.xml"/><Relationship Id="rId8" Type="http://schemas.openxmlformats.org/officeDocument/2006/relationships/chart" Target="../charts/chart68.xml"/><Relationship Id="rId9" Type="http://schemas.openxmlformats.org/officeDocument/2006/relationships/chart" Target="../charts/chart69.xml"/><Relationship Id="rId10" Type="http://schemas.openxmlformats.org/officeDocument/2006/relationships/chart" Target="../charts/chart70.xml"/><Relationship Id="rId11" Type="http://schemas.openxmlformats.org/officeDocument/2006/relationships/chart" Target="../charts/chart71.xml"/><Relationship Id="rId12" Type="http://schemas.openxmlformats.org/officeDocument/2006/relationships/chart" Target="../charts/chart72.xml"/><Relationship Id="rId13" Type="http://schemas.openxmlformats.org/officeDocument/2006/relationships/chart" Target="../charts/chart73.xml"/><Relationship Id="rId14" Type="http://schemas.openxmlformats.org/officeDocument/2006/relationships/chart" Target="../charts/chart74.xml"/><Relationship Id="rId15" Type="http://schemas.openxmlformats.org/officeDocument/2006/relationships/chart" Target="../charts/chart75.xml"/>
</Relationships>
</file>

<file path=xl/drawings/_rels/drawing83.xml.rels><?xml version="1.0" encoding="UTF-8"?>
<Relationships xmlns="http://schemas.openxmlformats.org/package/2006/relationships"><Relationship Id="rId1" Type="http://schemas.openxmlformats.org/officeDocument/2006/relationships/chart" Target="../charts/chart76.xml"/><Relationship Id="rId2" Type="http://schemas.openxmlformats.org/officeDocument/2006/relationships/chart" Target="../charts/chart77.xml"/><Relationship Id="rId3" Type="http://schemas.openxmlformats.org/officeDocument/2006/relationships/chart" Target="../charts/chart78.xml"/><Relationship Id="rId4" Type="http://schemas.openxmlformats.org/officeDocument/2006/relationships/chart" Target="../charts/chart79.xml"/><Relationship Id="rId5" Type="http://schemas.openxmlformats.org/officeDocument/2006/relationships/chart" Target="../charts/chart80.xml"/><Relationship Id="rId6" Type="http://schemas.openxmlformats.org/officeDocument/2006/relationships/chart" Target="../charts/chart81.xml"/><Relationship Id="rId7" Type="http://schemas.openxmlformats.org/officeDocument/2006/relationships/chart" Target="../charts/chart82.xml"/><Relationship Id="rId8" Type="http://schemas.openxmlformats.org/officeDocument/2006/relationships/chart" Target="../charts/chart83.xml"/><Relationship Id="rId9" Type="http://schemas.openxmlformats.org/officeDocument/2006/relationships/chart" Target="../charts/chart84.xml"/><Relationship Id="rId10" Type="http://schemas.openxmlformats.org/officeDocument/2006/relationships/chart" Target="../charts/chart85.xml"/><Relationship Id="rId11" Type="http://schemas.openxmlformats.org/officeDocument/2006/relationships/chart" Target="../charts/chart86.xml"/><Relationship Id="rId12" Type="http://schemas.openxmlformats.org/officeDocument/2006/relationships/chart" Target="../charts/chart87.xml"/><Relationship Id="rId13" Type="http://schemas.openxmlformats.org/officeDocument/2006/relationships/chart" Target="../charts/chart88.xml"/><Relationship Id="rId14" Type="http://schemas.openxmlformats.org/officeDocument/2006/relationships/chart" Target="../charts/chart89.xml"/><Relationship Id="rId15" Type="http://schemas.openxmlformats.org/officeDocument/2006/relationships/chart" Target="../charts/chart90.xml"/><Relationship Id="rId16" Type="http://schemas.openxmlformats.org/officeDocument/2006/relationships/chart" Target="../charts/chart9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7560</xdr:colOff>
          <xdr:row>1</xdr:row>
          <xdr:rowOff>9720</xdr:rowOff>
        </xdr:from>
        <xdr:to>
          <xdr:col>29</xdr:col>
          <xdr:colOff>0</xdr:colOff>
          <xdr:row>3</xdr:row>
          <xdr:rowOff>16920</xdr:rowOff>
        </xdr:to>
        <xdr:sp>
          <xdr:nvSpPr>
            <xdr:cNvPr id="1001" name="CommandButton1" descr="lock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lock</a:t>
              </a:r>
            </a:p>
          </xdr:txBody>
        </xdr:sp>
        <xdr:clientData/>
      </xdr:twoCellAnchor>
    </mc:Choice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113400</xdr:rowOff>
    </xdr:from>
    <xdr:to>
      <xdr:col>17</xdr:col>
      <xdr:colOff>281520</xdr:colOff>
      <xdr:row>49</xdr:row>
      <xdr:rowOff>16200</xdr:rowOff>
    </xdr:to>
    <xdr:graphicFrame>
      <xdr:nvGraphicFramePr>
        <xdr:cNvPr id="0" name="Diagramm 1"/>
        <xdr:cNvGraphicFramePr/>
      </xdr:nvGraphicFramePr>
      <xdr:xfrm>
        <a:off x="0" y="4202280"/>
        <a:ext cx="97124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9360</xdr:colOff>
      <xdr:row>507</xdr:row>
      <xdr:rowOff>127080</xdr:rowOff>
    </xdr:from>
    <xdr:to>
      <xdr:col>17</xdr:col>
      <xdr:colOff>408960</xdr:colOff>
      <xdr:row>533</xdr:row>
      <xdr:rowOff>8640</xdr:rowOff>
    </xdr:to>
    <xdr:graphicFrame>
      <xdr:nvGraphicFramePr>
        <xdr:cNvPr id="3" name="Diagramm 4"/>
        <xdr:cNvGraphicFramePr/>
      </xdr:nvGraphicFramePr>
      <xdr:xfrm>
        <a:off x="9360" y="77067000"/>
        <a:ext cx="9830520" cy="383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567</xdr:row>
      <xdr:rowOff>125280</xdr:rowOff>
    </xdr:from>
    <xdr:to>
      <xdr:col>17</xdr:col>
      <xdr:colOff>399600</xdr:colOff>
      <xdr:row>593</xdr:row>
      <xdr:rowOff>2880</xdr:rowOff>
    </xdr:to>
    <xdr:graphicFrame>
      <xdr:nvGraphicFramePr>
        <xdr:cNvPr id="6" name="Diagramm 5"/>
        <xdr:cNvGraphicFramePr/>
      </xdr:nvGraphicFramePr>
      <xdr:xfrm>
        <a:off x="47520" y="86106240"/>
        <a:ext cx="9783000" cy="35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538</xdr:row>
      <xdr:rowOff>73800</xdr:rowOff>
    </xdr:from>
    <xdr:to>
      <xdr:col>17</xdr:col>
      <xdr:colOff>408960</xdr:colOff>
      <xdr:row>561</xdr:row>
      <xdr:rowOff>50760</xdr:rowOff>
    </xdr:to>
    <xdr:graphicFrame>
      <xdr:nvGraphicFramePr>
        <xdr:cNvPr id="9" name="Diagramm 6"/>
        <xdr:cNvGraphicFramePr/>
      </xdr:nvGraphicFramePr>
      <xdr:xfrm>
        <a:off x="47520" y="8167716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123840</xdr:colOff>
      <xdr:row>68</xdr:row>
      <xdr:rowOff>18360</xdr:rowOff>
    </xdr:from>
    <xdr:to>
      <xdr:col>17</xdr:col>
      <xdr:colOff>409320</xdr:colOff>
      <xdr:row>90</xdr:row>
      <xdr:rowOff>161640</xdr:rowOff>
    </xdr:to>
    <xdr:graphicFrame>
      <xdr:nvGraphicFramePr>
        <xdr:cNvPr id="12" name="Diagramm 8"/>
        <xdr:cNvGraphicFramePr/>
      </xdr:nvGraphicFramePr>
      <xdr:xfrm>
        <a:off x="123840" y="10517400"/>
        <a:ext cx="9716400" cy="350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150480</xdr:rowOff>
    </xdr:from>
    <xdr:to>
      <xdr:col>17</xdr:col>
      <xdr:colOff>428400</xdr:colOff>
      <xdr:row>130</xdr:row>
      <xdr:rowOff>107280</xdr:rowOff>
    </xdr:to>
    <xdr:graphicFrame>
      <xdr:nvGraphicFramePr>
        <xdr:cNvPr id="15" name="Diagramm 10"/>
        <xdr:cNvGraphicFramePr/>
      </xdr:nvGraphicFramePr>
      <xdr:xfrm>
        <a:off x="118080" y="1641348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32400</xdr:colOff>
      <xdr:row>153</xdr:row>
      <xdr:rowOff>265320</xdr:rowOff>
    </xdr:from>
    <xdr:to>
      <xdr:col>17</xdr:col>
      <xdr:colOff>409320</xdr:colOff>
      <xdr:row>178</xdr:row>
      <xdr:rowOff>133920</xdr:rowOff>
    </xdr:to>
    <xdr:graphicFrame>
      <xdr:nvGraphicFramePr>
        <xdr:cNvPr id="18" name="Diagramm 12"/>
        <xdr:cNvGraphicFramePr/>
      </xdr:nvGraphicFramePr>
      <xdr:xfrm>
        <a:off x="32400" y="23643000"/>
        <a:ext cx="9807840" cy="372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66600</xdr:colOff>
      <xdr:row>180</xdr:row>
      <xdr:rowOff>10800</xdr:rowOff>
    </xdr:from>
    <xdr:to>
      <xdr:col>17</xdr:col>
      <xdr:colOff>342360</xdr:colOff>
      <xdr:row>204</xdr:row>
      <xdr:rowOff>38520</xdr:rowOff>
    </xdr:to>
    <xdr:graphicFrame>
      <xdr:nvGraphicFramePr>
        <xdr:cNvPr id="21" name="Diagramm 13"/>
        <xdr:cNvGraphicFramePr/>
      </xdr:nvGraphicFramePr>
      <xdr:xfrm>
        <a:off x="66600" y="2752740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211</xdr:row>
      <xdr:rowOff>302400</xdr:rowOff>
    </xdr:from>
    <xdr:to>
      <xdr:col>17</xdr:col>
      <xdr:colOff>409320</xdr:colOff>
      <xdr:row>237</xdr:row>
      <xdr:rowOff>28440</xdr:rowOff>
    </xdr:to>
    <xdr:graphicFrame>
      <xdr:nvGraphicFramePr>
        <xdr:cNvPr id="24" name="Diagramm 15"/>
        <xdr:cNvGraphicFramePr/>
      </xdr:nvGraphicFramePr>
      <xdr:xfrm>
        <a:off x="89640" y="32301360"/>
        <a:ext cx="975060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41760</xdr:colOff>
      <xdr:row>275</xdr:row>
      <xdr:rowOff>141840</xdr:rowOff>
    </xdr:from>
    <xdr:to>
      <xdr:col>17</xdr:col>
      <xdr:colOff>408960</xdr:colOff>
      <xdr:row>302</xdr:row>
      <xdr:rowOff>10080</xdr:rowOff>
    </xdr:to>
    <xdr:graphicFrame>
      <xdr:nvGraphicFramePr>
        <xdr:cNvPr id="27" name="Diagramm 17"/>
        <xdr:cNvGraphicFramePr/>
      </xdr:nvGraphicFramePr>
      <xdr:xfrm>
        <a:off x="41760" y="41883480"/>
        <a:ext cx="979812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304</xdr:row>
      <xdr:rowOff>50400</xdr:rowOff>
    </xdr:from>
    <xdr:to>
      <xdr:col>17</xdr:col>
      <xdr:colOff>399960</xdr:colOff>
      <xdr:row>326</xdr:row>
      <xdr:rowOff>28800</xdr:rowOff>
    </xdr:to>
    <xdr:graphicFrame>
      <xdr:nvGraphicFramePr>
        <xdr:cNvPr id="30" name="Diagramm 19"/>
        <xdr:cNvGraphicFramePr/>
      </xdr:nvGraphicFramePr>
      <xdr:xfrm>
        <a:off x="57240" y="4602456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379</xdr:row>
      <xdr:rowOff>65880</xdr:rowOff>
    </xdr:from>
    <xdr:to>
      <xdr:col>17</xdr:col>
      <xdr:colOff>462600</xdr:colOff>
      <xdr:row>403</xdr:row>
      <xdr:rowOff>65520</xdr:rowOff>
    </xdr:to>
    <xdr:graphicFrame>
      <xdr:nvGraphicFramePr>
        <xdr:cNvPr id="33" name="Diagramm 20"/>
        <xdr:cNvGraphicFramePr/>
      </xdr:nvGraphicFramePr>
      <xdr:xfrm>
        <a:off x="70560" y="5752332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428</xdr:row>
      <xdr:rowOff>139680</xdr:rowOff>
    </xdr:from>
    <xdr:to>
      <xdr:col>17</xdr:col>
      <xdr:colOff>399600</xdr:colOff>
      <xdr:row>454</xdr:row>
      <xdr:rowOff>121680</xdr:rowOff>
    </xdr:to>
    <xdr:graphicFrame>
      <xdr:nvGraphicFramePr>
        <xdr:cNvPr id="36" name="Diagramm 24"/>
        <xdr:cNvGraphicFramePr/>
      </xdr:nvGraphicFramePr>
      <xdr:xfrm>
        <a:off x="32400" y="65190960"/>
        <a:ext cx="979812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476</xdr:row>
      <xdr:rowOff>71640</xdr:rowOff>
    </xdr:from>
    <xdr:to>
      <xdr:col>17</xdr:col>
      <xdr:colOff>418680</xdr:colOff>
      <xdr:row>502</xdr:row>
      <xdr:rowOff>132480</xdr:rowOff>
    </xdr:to>
    <xdr:graphicFrame>
      <xdr:nvGraphicFramePr>
        <xdr:cNvPr id="39" name="Diagramm 27"/>
        <xdr:cNvGraphicFramePr/>
      </xdr:nvGraphicFramePr>
      <xdr:xfrm>
        <a:off x="99000" y="72315720"/>
        <a:ext cx="9750600" cy="380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330</xdr:row>
      <xdr:rowOff>11880</xdr:rowOff>
    </xdr:from>
    <xdr:to>
      <xdr:col>17</xdr:col>
      <xdr:colOff>399600</xdr:colOff>
      <xdr:row>353</xdr:row>
      <xdr:rowOff>150840</xdr:rowOff>
    </xdr:to>
    <xdr:graphicFrame>
      <xdr:nvGraphicFramePr>
        <xdr:cNvPr id="42" name="Diagramm 32"/>
        <xdr:cNvGraphicFramePr/>
      </xdr:nvGraphicFramePr>
      <xdr:xfrm>
        <a:off x="28440" y="50091840"/>
        <a:ext cx="9802080" cy="35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0.118774339003894</cdr:y>
    </cdr:from>
    <cdr:to>
      <cdr:x>0.385285396590067</cdr:x>
      <cdr:y>0.921192867390859</cdr:y>
    </cdr:to>
    <cdr:sp>
      <cdr:nvSpPr>
        <cdr:cNvPr id="1" name="Rechteck 1"/>
        <cdr:cNvSpPr/>
      </cdr:nvSpPr>
      <cdr:spPr>
        <a:xfrm>
          <a:off x="362160" y="417240"/>
          <a:ext cx="338004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0.902336544373847</cdr:y>
    </cdr:from>
    <cdr:to>
      <cdr:x>0.987842846553002</cdr:x>
      <cdr:y>0.989034638245542</cdr:y>
    </cdr:to>
    <cdr:sp>
      <cdr:nvSpPr>
        <cdr:cNvPr id="2" name="Textfeld 2"/>
        <cdr:cNvSpPr/>
      </cdr:nvSpPr>
      <cdr:spPr>
        <a:xfrm>
          <a:off x="8391600" y="3169800"/>
          <a:ext cx="120312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0.0374615497290171</cdr:x>
      <cdr:y>0.110703881214172</cdr:y>
    </cdr:from>
    <cdr:to>
      <cdr:x>0.388420975538304</cdr:x>
      <cdr:y>0.915515459073395</cdr:y>
    </cdr:to>
    <cdr:sp>
      <cdr:nvSpPr>
        <cdr:cNvPr id="4" name="Rechteck 1"/>
        <cdr:cNvSpPr/>
      </cdr:nvSpPr>
      <cdr:spPr>
        <a:xfrm>
          <a:off x="368280" y="424080"/>
          <a:ext cx="3450240" cy="30830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0.850776329280797</cdr:x>
      <cdr:y>0.885912978103562</cdr:y>
    </cdr:from>
    <cdr:to>
      <cdr:x>0.982386113959279</cdr:x>
      <cdr:y>0.97274692228174</cdr:y>
    </cdr:to>
    <cdr:sp>
      <cdr:nvSpPr>
        <cdr:cNvPr id="5" name="Textfeld 1"/>
        <cdr:cNvSpPr/>
      </cdr:nvSpPr>
      <cdr:spPr>
        <a:xfrm>
          <a:off x="8363880" y="3393720"/>
          <a:ext cx="12938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0.118837675350701</cdr:y>
    </cdr:from>
    <cdr:to>
      <cdr:x>0.386296732410951</cdr:x>
      <cdr:y>0.923647294589178</cdr:y>
    </cdr:to>
    <cdr:sp>
      <cdr:nvSpPr>
        <cdr:cNvPr id="7" name="Rechteck 1"/>
        <cdr:cNvSpPr/>
      </cdr:nvSpPr>
      <cdr:spPr>
        <a:xfrm>
          <a:off x="356040" y="426960"/>
          <a:ext cx="3423240" cy="289152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0.915531062124249</cdr:y>
    </cdr:from>
    <cdr:to>
      <cdr:x>0.98023991757433</cdr:x>
      <cdr:y>0.999799599198397</cdr:y>
    </cdr:to>
    <cdr:sp>
      <cdr:nvSpPr>
        <cdr:cNvPr id="8" name="Textfeld 1"/>
        <cdr:cNvSpPr/>
      </cdr:nvSpPr>
      <cdr:spPr>
        <a:xfrm>
          <a:off x="8302680" y="328932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10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11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0.116009042334566</cdr:y>
    </cdr:from>
    <cdr:to>
      <cdr:x>0.396576636656663</cdr:x>
      <cdr:y>0.918413481298808</cdr:y>
    </cdr:to>
    <cdr:sp>
      <cdr:nvSpPr>
        <cdr:cNvPr id="13" name="Rechteck 1"/>
        <cdr:cNvSpPr/>
      </cdr:nvSpPr>
      <cdr:spPr>
        <a:xfrm>
          <a:off x="363600" y="406440"/>
          <a:ext cx="3489840" cy="28112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0.894369091656391</cdr:y>
    </cdr:from>
    <cdr:to>
      <cdr:x>0.98629172687192</cdr:x>
      <cdr:y>0.981298808055898</cdr:y>
    </cdr:to>
    <cdr:sp>
      <cdr:nvSpPr>
        <cdr:cNvPr id="14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16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17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0.116065383499371</cdr:y>
    </cdr:from>
    <cdr:to>
      <cdr:x>0.396549825656084</cdr:x>
      <cdr:y>0.918464068091692</cdr:y>
    </cdr:to>
    <cdr:sp>
      <cdr:nvSpPr>
        <cdr:cNvPr id="19" name="Rechteck 1"/>
        <cdr:cNvSpPr/>
      </cdr:nvSpPr>
      <cdr:spPr>
        <a:xfrm>
          <a:off x="366840" y="432000"/>
          <a:ext cx="3522600" cy="29865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0.884031337653545</cdr:y>
    </cdr:from>
    <cdr:to>
      <cdr:x>0.984510919434759</cdr:x>
      <cdr:y>0.972627913724732</cdr:y>
    </cdr:to>
    <cdr:sp>
      <cdr:nvSpPr>
        <cdr:cNvPr id="20" name="Textfeld 1"/>
        <cdr:cNvSpPr/>
      </cdr:nvSpPr>
      <cdr:spPr>
        <a:xfrm>
          <a:off x="8272440" y="329040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22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23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0.11605415860735</cdr:y>
    </cdr:from>
    <cdr:to>
      <cdr:x>0.396551724137931</cdr:x>
      <cdr:y>0.918471953578337</cdr:y>
    </cdr:to>
    <cdr:sp>
      <cdr:nvSpPr>
        <cdr:cNvPr id="25" name="Rechteck 1"/>
        <cdr:cNvSpPr/>
      </cdr:nvSpPr>
      <cdr:spPr>
        <a:xfrm>
          <a:off x="364680" y="432000"/>
          <a:ext cx="350208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0.87852998065764</cdr:y>
    </cdr:from>
    <cdr:to>
      <cdr:x>0.983386251199882</cdr:x>
      <cdr:y>0.967117988394584</cdr:y>
    </cdr:to>
    <cdr:sp>
      <cdr:nvSpPr>
        <cdr:cNvPr id="26" name="Textfeld 1"/>
        <cdr:cNvSpPr/>
      </cdr:nvSpPr>
      <cdr:spPr>
        <a:xfrm>
          <a:off x="8213040" y="327024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0.116011048671302</cdr:y>
    </cdr:from>
    <cdr:to>
      <cdr:x>0.391946505988684</cdr:x>
      <cdr:y>0.91846842556434</cdr:y>
    </cdr:to>
    <cdr:sp>
      <cdr:nvSpPr>
        <cdr:cNvPr id="28" name="Rechteck 1"/>
        <cdr:cNvSpPr/>
      </cdr:nvSpPr>
      <cdr:spPr>
        <a:xfrm>
          <a:off x="366480" y="438480"/>
          <a:ext cx="3474000" cy="30330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0.881988760834365</cdr:y>
    </cdr:from>
    <cdr:to>
      <cdr:x>0.976522889264457</cdr:x>
      <cdr:y>0.970092389751405</cdr:y>
    </cdr:to>
    <cdr:sp>
      <cdr:nvSpPr>
        <cdr:cNvPr id="29" name="Textfeld 1"/>
        <cdr:cNvSpPr/>
      </cdr:nvSpPr>
      <cdr:spPr>
        <a:xfrm>
          <a:off x="8185680" y="333360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31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32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34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35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0.116011048671302</cdr:y>
    </cdr:from>
    <cdr:to>
      <cdr:x>0.396539055037108</cdr:x>
      <cdr:y>0.91846842556434</cdr:y>
    </cdr:to>
    <cdr:sp>
      <cdr:nvSpPr>
        <cdr:cNvPr id="37" name="Rechteck 1"/>
        <cdr:cNvSpPr/>
      </cdr:nvSpPr>
      <cdr:spPr>
        <a:xfrm>
          <a:off x="366480" y="438480"/>
          <a:ext cx="3519000" cy="30330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0.885989141823031</cdr:y>
    </cdr:from>
    <cdr:to>
      <cdr:x>0.971930340216034</cdr:x>
      <cdr:y>0.973616534908087</cdr:y>
    </cdr:to>
    <cdr:sp>
      <cdr:nvSpPr>
        <cdr:cNvPr id="38" name="Textfeld 1"/>
        <cdr:cNvSpPr/>
      </cdr:nvSpPr>
      <cdr:spPr>
        <a:xfrm>
          <a:off x="8140680" y="334872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0.115995462280204</cdr:y>
    </cdr:from>
    <cdr:to>
      <cdr:x>0.395407221442812</cdr:x>
      <cdr:y>0.918415579504632</cdr:y>
    </cdr:to>
    <cdr:sp>
      <cdr:nvSpPr>
        <cdr:cNvPr id="40" name="Rechteck 1"/>
        <cdr:cNvSpPr/>
      </cdr:nvSpPr>
      <cdr:spPr>
        <a:xfrm>
          <a:off x="364680" y="441720"/>
          <a:ext cx="3490920" cy="30556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0.891094724900737</cdr:y>
    </cdr:from>
    <cdr:to>
      <cdr:x>0.977663737724286</cdr:x>
      <cdr:y>0.976838721875591</cdr:y>
    </cdr:to>
    <cdr:sp>
      <cdr:nvSpPr>
        <cdr:cNvPr id="41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0.115992253592906</cdr:y>
    </cdr:from>
    <cdr:to>
      <cdr:x>0.385214293584046</cdr:x>
      <cdr:y>0.918458872693915</cdr:y>
    </cdr:to>
    <cdr:sp>
      <cdr:nvSpPr>
        <cdr:cNvPr id="43" name="Rechteck 1"/>
        <cdr:cNvSpPr/>
      </cdr:nvSpPr>
      <cdr:spPr>
        <a:xfrm>
          <a:off x="366840" y="409680"/>
          <a:ext cx="3409200" cy="2834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0.868922637855468</cdr:y>
    </cdr:from>
    <cdr:to>
      <cdr:x>0.977670865621213</cdr:x>
      <cdr:y>0.95657934970951</cdr:y>
    </cdr:to>
    <cdr:sp>
      <cdr:nvSpPr>
        <cdr:cNvPr id="44" name="Textfeld 1"/>
        <cdr:cNvSpPr/>
      </cdr:nvSpPr>
      <cdr:spPr>
        <a:xfrm>
          <a:off x="8200080" y="3069000"/>
          <a:ext cx="1383480" cy="3096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89640</xdr:colOff>
      <xdr:row>25</xdr:row>
      <xdr:rowOff>104400</xdr:rowOff>
    </xdr:from>
    <xdr:to>
      <xdr:col>17</xdr:col>
      <xdr:colOff>371160</xdr:colOff>
      <xdr:row>48</xdr:row>
      <xdr:rowOff>85680</xdr:rowOff>
    </xdr:to>
    <xdr:graphicFrame>
      <xdr:nvGraphicFramePr>
        <xdr:cNvPr id="45" name="Diagramm 31"/>
        <xdr:cNvGraphicFramePr/>
      </xdr:nvGraphicFramePr>
      <xdr:xfrm>
        <a:off x="89640" y="4050360"/>
        <a:ext cx="9712440" cy="348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9360</xdr:colOff>
      <xdr:row>508</xdr:row>
      <xdr:rowOff>63000</xdr:rowOff>
    </xdr:from>
    <xdr:to>
      <xdr:col>17</xdr:col>
      <xdr:colOff>408960</xdr:colOff>
      <xdr:row>533</xdr:row>
      <xdr:rowOff>87480</xdr:rowOff>
    </xdr:to>
    <xdr:graphicFrame>
      <xdr:nvGraphicFramePr>
        <xdr:cNvPr id="48" name="Diagramm 32"/>
        <xdr:cNvGraphicFramePr/>
      </xdr:nvGraphicFramePr>
      <xdr:xfrm>
        <a:off x="9360" y="77038200"/>
        <a:ext cx="9830520" cy="38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568</xdr:row>
      <xdr:rowOff>60840</xdr:rowOff>
    </xdr:from>
    <xdr:to>
      <xdr:col>17</xdr:col>
      <xdr:colOff>399600</xdr:colOff>
      <xdr:row>593</xdr:row>
      <xdr:rowOff>81360</xdr:rowOff>
    </xdr:to>
    <xdr:graphicFrame>
      <xdr:nvGraphicFramePr>
        <xdr:cNvPr id="51" name="Diagramm 33"/>
        <xdr:cNvGraphicFramePr/>
      </xdr:nvGraphicFramePr>
      <xdr:xfrm>
        <a:off x="47520" y="86077440"/>
        <a:ext cx="9783000" cy="35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539</xdr:row>
      <xdr:rowOff>9720</xdr:rowOff>
    </xdr:from>
    <xdr:to>
      <xdr:col>17</xdr:col>
      <xdr:colOff>408960</xdr:colOff>
      <xdr:row>561</xdr:row>
      <xdr:rowOff>129240</xdr:rowOff>
    </xdr:to>
    <xdr:graphicFrame>
      <xdr:nvGraphicFramePr>
        <xdr:cNvPr id="54" name="Diagramm 34"/>
        <xdr:cNvGraphicFramePr/>
      </xdr:nvGraphicFramePr>
      <xdr:xfrm>
        <a:off x="47520" y="8164836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123840</xdr:colOff>
      <xdr:row>68</xdr:row>
      <xdr:rowOff>97200</xdr:rowOff>
    </xdr:from>
    <xdr:to>
      <xdr:col>17</xdr:col>
      <xdr:colOff>409320</xdr:colOff>
      <xdr:row>91</xdr:row>
      <xdr:rowOff>64800</xdr:rowOff>
    </xdr:to>
    <xdr:graphicFrame>
      <xdr:nvGraphicFramePr>
        <xdr:cNvPr id="57" name="Diagramm 35"/>
        <xdr:cNvGraphicFramePr/>
      </xdr:nvGraphicFramePr>
      <xdr:xfrm>
        <a:off x="123840" y="10488960"/>
        <a:ext cx="9716400" cy="350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229320</xdr:rowOff>
    </xdr:from>
    <xdr:to>
      <xdr:col>17</xdr:col>
      <xdr:colOff>428400</xdr:colOff>
      <xdr:row>131</xdr:row>
      <xdr:rowOff>25560</xdr:rowOff>
    </xdr:to>
    <xdr:graphicFrame>
      <xdr:nvGraphicFramePr>
        <xdr:cNvPr id="60" name="Diagramm 36"/>
        <xdr:cNvGraphicFramePr/>
      </xdr:nvGraphicFramePr>
      <xdr:xfrm>
        <a:off x="118080" y="1638504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32400</xdr:colOff>
      <xdr:row>153</xdr:row>
      <xdr:rowOff>344160</xdr:rowOff>
    </xdr:from>
    <xdr:to>
      <xdr:col>17</xdr:col>
      <xdr:colOff>409320</xdr:colOff>
      <xdr:row>179</xdr:row>
      <xdr:rowOff>69840</xdr:rowOff>
    </xdr:to>
    <xdr:graphicFrame>
      <xdr:nvGraphicFramePr>
        <xdr:cNvPr id="63" name="Diagramm 37"/>
        <xdr:cNvGraphicFramePr/>
      </xdr:nvGraphicFramePr>
      <xdr:xfrm>
        <a:off x="32400" y="23614200"/>
        <a:ext cx="980784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66600</xdr:colOff>
      <xdr:row>180</xdr:row>
      <xdr:rowOff>89640</xdr:rowOff>
    </xdr:from>
    <xdr:to>
      <xdr:col>17</xdr:col>
      <xdr:colOff>342360</xdr:colOff>
      <xdr:row>204</xdr:row>
      <xdr:rowOff>117360</xdr:rowOff>
    </xdr:to>
    <xdr:graphicFrame>
      <xdr:nvGraphicFramePr>
        <xdr:cNvPr id="66" name="Diagramm 38"/>
        <xdr:cNvGraphicFramePr/>
      </xdr:nvGraphicFramePr>
      <xdr:xfrm>
        <a:off x="66600" y="2749896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212</xdr:row>
      <xdr:rowOff>21600</xdr:rowOff>
    </xdr:from>
    <xdr:to>
      <xdr:col>17</xdr:col>
      <xdr:colOff>409320</xdr:colOff>
      <xdr:row>237</xdr:row>
      <xdr:rowOff>107280</xdr:rowOff>
    </xdr:to>
    <xdr:graphicFrame>
      <xdr:nvGraphicFramePr>
        <xdr:cNvPr id="69" name="Diagramm 39"/>
        <xdr:cNvGraphicFramePr/>
      </xdr:nvGraphicFramePr>
      <xdr:xfrm>
        <a:off x="89640" y="32272560"/>
        <a:ext cx="9750600" cy="372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60840</xdr:colOff>
      <xdr:row>276</xdr:row>
      <xdr:rowOff>115560</xdr:rowOff>
    </xdr:from>
    <xdr:to>
      <xdr:col>17</xdr:col>
      <xdr:colOff>428040</xdr:colOff>
      <xdr:row>302</xdr:row>
      <xdr:rowOff>126360</xdr:rowOff>
    </xdr:to>
    <xdr:graphicFrame>
      <xdr:nvGraphicFramePr>
        <xdr:cNvPr id="72" name="Diagramm 40"/>
        <xdr:cNvGraphicFramePr/>
      </xdr:nvGraphicFramePr>
      <xdr:xfrm>
        <a:off x="60840" y="4189284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304</xdr:row>
      <xdr:rowOff>129600</xdr:rowOff>
    </xdr:from>
    <xdr:to>
      <xdr:col>17</xdr:col>
      <xdr:colOff>399960</xdr:colOff>
      <xdr:row>326</xdr:row>
      <xdr:rowOff>107640</xdr:rowOff>
    </xdr:to>
    <xdr:graphicFrame>
      <xdr:nvGraphicFramePr>
        <xdr:cNvPr id="75" name="Diagramm 41"/>
        <xdr:cNvGraphicFramePr/>
      </xdr:nvGraphicFramePr>
      <xdr:xfrm>
        <a:off x="57240" y="4599612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379</xdr:row>
      <xdr:rowOff>144720</xdr:rowOff>
    </xdr:from>
    <xdr:to>
      <xdr:col>17</xdr:col>
      <xdr:colOff>462600</xdr:colOff>
      <xdr:row>403</xdr:row>
      <xdr:rowOff>144360</xdr:rowOff>
    </xdr:to>
    <xdr:graphicFrame>
      <xdr:nvGraphicFramePr>
        <xdr:cNvPr id="78" name="Diagramm 42"/>
        <xdr:cNvGraphicFramePr/>
      </xdr:nvGraphicFramePr>
      <xdr:xfrm>
        <a:off x="70560" y="5749488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429</xdr:row>
      <xdr:rowOff>75600</xdr:rowOff>
    </xdr:from>
    <xdr:to>
      <xdr:col>17</xdr:col>
      <xdr:colOff>399600</xdr:colOff>
      <xdr:row>455</xdr:row>
      <xdr:rowOff>39600</xdr:rowOff>
    </xdr:to>
    <xdr:graphicFrame>
      <xdr:nvGraphicFramePr>
        <xdr:cNvPr id="81" name="Diagramm 43"/>
        <xdr:cNvGraphicFramePr/>
      </xdr:nvGraphicFramePr>
      <xdr:xfrm>
        <a:off x="32400" y="6516252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477</xdr:row>
      <xdr:rowOff>7560</xdr:rowOff>
    </xdr:from>
    <xdr:to>
      <xdr:col>17</xdr:col>
      <xdr:colOff>418680</xdr:colOff>
      <xdr:row>503</xdr:row>
      <xdr:rowOff>50040</xdr:rowOff>
    </xdr:to>
    <xdr:graphicFrame>
      <xdr:nvGraphicFramePr>
        <xdr:cNvPr id="84" name="Diagramm 44"/>
        <xdr:cNvGraphicFramePr/>
      </xdr:nvGraphicFramePr>
      <xdr:xfrm>
        <a:off x="99000" y="72286920"/>
        <a:ext cx="9750600" cy="380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330</xdr:row>
      <xdr:rowOff>90720</xdr:rowOff>
    </xdr:from>
    <xdr:to>
      <xdr:col>17</xdr:col>
      <xdr:colOff>399600</xdr:colOff>
      <xdr:row>354</xdr:row>
      <xdr:rowOff>68760</xdr:rowOff>
    </xdr:to>
    <xdr:graphicFrame>
      <xdr:nvGraphicFramePr>
        <xdr:cNvPr id="87" name="Diagramm 45"/>
        <xdr:cNvGraphicFramePr/>
      </xdr:nvGraphicFramePr>
      <xdr:xfrm>
        <a:off x="28440" y="50063400"/>
        <a:ext cx="9802080" cy="35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0.118722876627402</cdr:y>
    </cdr:from>
    <cdr:to>
      <cdr:x>0.385285396590067</cdr:x>
      <cdr:y>0.921161396982848</cdr:y>
    </cdr:to>
    <cdr:sp>
      <cdr:nvSpPr>
        <cdr:cNvPr id="46" name="Rechteck 1"/>
        <cdr:cNvSpPr/>
      </cdr:nvSpPr>
      <cdr:spPr>
        <a:xfrm>
          <a:off x="362160" y="413640"/>
          <a:ext cx="3380040" cy="27957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0.902252531514776</cdr:y>
    </cdr:from>
    <cdr:to>
      <cdr:x>0.987842846553002</cdr:x>
      <cdr:y>0.988943996693532</cdr:y>
    </cdr:to>
    <cdr:sp>
      <cdr:nvSpPr>
        <cdr:cNvPr id="47" name="Textfeld 2"/>
        <cdr:cNvSpPr/>
      </cdr:nvSpPr>
      <cdr:spPr>
        <a:xfrm>
          <a:off x="8391600" y="3143520"/>
          <a:ext cx="1203120" cy="302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0.0374615497290171</cdr:x>
      <cdr:y>0.110693478669423</cdr:y>
    </cdr:from>
    <cdr:to>
      <cdr:x>0.388420975538304</cdr:x>
      <cdr:y>0.915523397857546</cdr:y>
    </cdr:to>
    <cdr:sp>
      <cdr:nvSpPr>
        <cdr:cNvPr id="49" name="Rechteck 1"/>
        <cdr:cNvSpPr/>
      </cdr:nvSpPr>
      <cdr:spPr>
        <a:xfrm>
          <a:off x="368280" y="424080"/>
          <a:ext cx="3450240" cy="308340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0.850776329280797</cdr:x>
      <cdr:y>0.885923698552904</cdr:y>
    </cdr:from>
    <cdr:to>
      <cdr:x>0.982386113959279</cdr:x>
      <cdr:y>0.972749483179853</cdr:y>
    </cdr:to>
    <cdr:sp>
      <cdr:nvSpPr>
        <cdr:cNvPr id="50" name="Textfeld 1"/>
        <cdr:cNvSpPr/>
      </cdr:nvSpPr>
      <cdr:spPr>
        <a:xfrm>
          <a:off x="8363880" y="3394080"/>
          <a:ext cx="12938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0.118837675350701</cdr:y>
    </cdr:from>
    <cdr:to>
      <cdr:x>0.386296732410951</cdr:x>
      <cdr:y>0.923647294589178</cdr:y>
    </cdr:to>
    <cdr:sp>
      <cdr:nvSpPr>
        <cdr:cNvPr id="52" name="Rechteck 1"/>
        <cdr:cNvSpPr/>
      </cdr:nvSpPr>
      <cdr:spPr>
        <a:xfrm>
          <a:off x="356040" y="426960"/>
          <a:ext cx="3423240" cy="289152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0.915531062124249</cdr:y>
    </cdr:from>
    <cdr:to>
      <cdr:x>0.98023991757433</cdr:x>
      <cdr:y>0.999799599198397</cdr:y>
    </cdr:to>
    <cdr:sp>
      <cdr:nvSpPr>
        <cdr:cNvPr id="53" name="Textfeld 1"/>
        <cdr:cNvSpPr/>
      </cdr:nvSpPr>
      <cdr:spPr>
        <a:xfrm>
          <a:off x="8302680" y="328932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55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56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0.116020963929709</cdr:y>
    </cdr:from>
    <cdr:to>
      <cdr:x>0.396576636656663</cdr:x>
      <cdr:y>0.918405097112321</cdr:y>
    </cdr:to>
    <cdr:sp>
      <cdr:nvSpPr>
        <cdr:cNvPr id="58" name="Rechteck 1"/>
        <cdr:cNvSpPr/>
      </cdr:nvSpPr>
      <cdr:spPr>
        <a:xfrm>
          <a:off x="363600" y="406440"/>
          <a:ext cx="3489840" cy="28108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0.894461000924879</cdr:y>
    </cdr:from>
    <cdr:to>
      <cdr:x>0.98629172687192</cdr:x>
      <cdr:y>0.981399650601172</cdr:y>
    </cdr:to>
    <cdr:sp>
      <cdr:nvSpPr>
        <cdr:cNvPr id="59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61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62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0.11605415860735</cdr:y>
    </cdr:from>
    <cdr:to>
      <cdr:x>0.396549825656084</cdr:x>
      <cdr:y>0.918471953578337</cdr:y>
    </cdr:to>
    <cdr:sp>
      <cdr:nvSpPr>
        <cdr:cNvPr id="64" name="Rechteck 1"/>
        <cdr:cNvSpPr/>
      </cdr:nvSpPr>
      <cdr:spPr>
        <a:xfrm>
          <a:off x="366840" y="432000"/>
          <a:ext cx="352260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0.884042553191489</cdr:y>
    </cdr:from>
    <cdr:to>
      <cdr:x>0.984510919434759</cdr:x>
      <cdr:y>0.972630560928433</cdr:y>
    </cdr:to>
    <cdr:sp>
      <cdr:nvSpPr>
        <cdr:cNvPr id="65" name="Textfeld 1"/>
        <cdr:cNvSpPr/>
      </cdr:nvSpPr>
      <cdr:spPr>
        <a:xfrm>
          <a:off x="8272440" y="329076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67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68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0.116042935886278</cdr:y>
    </cdr:from>
    <cdr:to>
      <cdr:x>0.396551724137931</cdr:x>
      <cdr:y>0.91847983753989</cdr:y>
    </cdr:to>
    <cdr:sp>
      <cdr:nvSpPr>
        <cdr:cNvPr id="70" name="Rechteck 1"/>
        <cdr:cNvSpPr/>
      </cdr:nvSpPr>
      <cdr:spPr>
        <a:xfrm>
          <a:off x="364680" y="432000"/>
          <a:ext cx="3502080" cy="2987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0.878541727105696</cdr:y>
    </cdr:from>
    <cdr:to>
      <cdr:x>0.983386251199882</cdr:x>
      <cdr:y>0.967121168165555</cdr:y>
    </cdr:to>
    <cdr:sp>
      <cdr:nvSpPr>
        <cdr:cNvPr id="71" name="Textfeld 1"/>
        <cdr:cNvSpPr/>
      </cdr:nvSpPr>
      <cdr:spPr>
        <a:xfrm>
          <a:off x="8213040" y="327060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2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0.391946505988684</cdr:x>
      <cdr:y>0.918460659173176</cdr:y>
    </cdr:to>
    <cdr:sp>
      <cdr:nvSpPr>
        <cdr:cNvPr id="73" name="Rechteck 1"/>
        <cdr:cNvSpPr/>
      </cdr:nvSpPr>
      <cdr:spPr>
        <a:xfrm>
          <a:off x="366480" y="438480"/>
          <a:ext cx="3474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0.881977519527529</cdr:y>
    </cdr:from>
    <cdr:to>
      <cdr:x>0.976522889264457</cdr:x>
      <cdr:y>0.970089540864927</cdr:y>
    </cdr:to>
    <cdr:sp>
      <cdr:nvSpPr>
        <cdr:cNvPr id="74" name="Textfeld 1"/>
        <cdr:cNvSpPr/>
      </cdr:nvSpPr>
      <cdr:spPr>
        <a:xfrm>
          <a:off x="8185680" y="333324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76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77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79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80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0.396539055037108</cdr:x>
      <cdr:y>0.918460659173176</cdr:y>
    </cdr:to>
    <cdr:sp>
      <cdr:nvSpPr>
        <cdr:cNvPr id="82" name="Rechteck 1"/>
        <cdr:cNvSpPr/>
      </cdr:nvSpPr>
      <cdr:spPr>
        <a:xfrm>
          <a:off x="366480" y="438480"/>
          <a:ext cx="3519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0.885978281577443</cdr:y>
    </cdr:from>
    <cdr:to>
      <cdr:x>0.971930340216034</cdr:x>
      <cdr:y>0.973614021718423</cdr:y>
    </cdr:to>
    <cdr:sp>
      <cdr:nvSpPr>
        <cdr:cNvPr id="83" name="Textfeld 1"/>
        <cdr:cNvSpPr/>
      </cdr:nvSpPr>
      <cdr:spPr>
        <a:xfrm>
          <a:off x="8140680" y="334836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0.115995462280204</cdr:y>
    </cdr:from>
    <cdr:to>
      <cdr:x>0.395407221442812</cdr:x>
      <cdr:y>0.918415579504632</cdr:y>
    </cdr:to>
    <cdr:sp>
      <cdr:nvSpPr>
        <cdr:cNvPr id="85" name="Rechteck 1"/>
        <cdr:cNvSpPr/>
      </cdr:nvSpPr>
      <cdr:spPr>
        <a:xfrm>
          <a:off x="364680" y="441720"/>
          <a:ext cx="3490920" cy="30556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0.891094724900737</cdr:y>
    </cdr:from>
    <cdr:to>
      <cdr:x>0.977663737724286</cdr:x>
      <cdr:y>0.976838721875591</cdr:y>
    </cdr:to>
    <cdr:sp>
      <cdr:nvSpPr>
        <cdr:cNvPr id="86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0.116004077471967</cdr:y>
    </cdr:from>
    <cdr:to>
      <cdr:x>0.384185978185023</cdr:x>
      <cdr:y>0.918450560652396</cdr:y>
    </cdr:to>
    <cdr:sp>
      <cdr:nvSpPr>
        <cdr:cNvPr id="88" name="Rechteck 1"/>
        <cdr:cNvSpPr/>
      </cdr:nvSpPr>
      <cdr:spPr>
        <a:xfrm>
          <a:off x="366840" y="409680"/>
          <a:ext cx="3399120" cy="2833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0.868909276248726</cdr:y>
    </cdr:from>
    <cdr:to>
      <cdr:x>0.977670865621213</cdr:x>
      <cdr:y>0.956472986748216</cdr:y>
    </cdr:to>
    <cdr:sp>
      <cdr:nvSpPr>
        <cdr:cNvPr id="89" name="Textfeld 1"/>
        <cdr:cNvSpPr/>
      </cdr:nvSpPr>
      <cdr:spPr>
        <a:xfrm>
          <a:off x="8200080" y="3068640"/>
          <a:ext cx="1383480" cy="309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89640</xdr:colOff>
      <xdr:row>25</xdr:row>
      <xdr:rowOff>104400</xdr:rowOff>
    </xdr:from>
    <xdr:to>
      <xdr:col>17</xdr:col>
      <xdr:colOff>371160</xdr:colOff>
      <xdr:row>48</xdr:row>
      <xdr:rowOff>85680</xdr:rowOff>
    </xdr:to>
    <xdr:graphicFrame>
      <xdr:nvGraphicFramePr>
        <xdr:cNvPr id="90" name="Diagramm 16"/>
        <xdr:cNvGraphicFramePr/>
      </xdr:nvGraphicFramePr>
      <xdr:xfrm>
        <a:off x="89640" y="4050360"/>
        <a:ext cx="9712440" cy="348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9360</xdr:colOff>
      <xdr:row>507</xdr:row>
      <xdr:rowOff>61920</xdr:rowOff>
    </xdr:from>
    <xdr:to>
      <xdr:col>17</xdr:col>
      <xdr:colOff>408960</xdr:colOff>
      <xdr:row>532</xdr:row>
      <xdr:rowOff>86040</xdr:rowOff>
    </xdr:to>
    <xdr:graphicFrame>
      <xdr:nvGraphicFramePr>
        <xdr:cNvPr id="93" name="Diagramm 17"/>
        <xdr:cNvGraphicFramePr/>
      </xdr:nvGraphicFramePr>
      <xdr:xfrm>
        <a:off x="9360" y="76876560"/>
        <a:ext cx="9830520" cy="383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567</xdr:row>
      <xdr:rowOff>60120</xdr:rowOff>
    </xdr:from>
    <xdr:to>
      <xdr:col>17</xdr:col>
      <xdr:colOff>399600</xdr:colOff>
      <xdr:row>592</xdr:row>
      <xdr:rowOff>80280</xdr:rowOff>
    </xdr:to>
    <xdr:graphicFrame>
      <xdr:nvGraphicFramePr>
        <xdr:cNvPr id="96" name="Diagramm 18"/>
        <xdr:cNvGraphicFramePr/>
      </xdr:nvGraphicFramePr>
      <xdr:xfrm>
        <a:off x="47520" y="85915800"/>
        <a:ext cx="9783000" cy="359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538</xdr:row>
      <xdr:rowOff>8280</xdr:rowOff>
    </xdr:from>
    <xdr:to>
      <xdr:col>17</xdr:col>
      <xdr:colOff>408960</xdr:colOff>
      <xdr:row>560</xdr:row>
      <xdr:rowOff>128160</xdr:rowOff>
    </xdr:to>
    <xdr:graphicFrame>
      <xdr:nvGraphicFramePr>
        <xdr:cNvPr id="99" name="Diagramm 19"/>
        <xdr:cNvGraphicFramePr/>
      </xdr:nvGraphicFramePr>
      <xdr:xfrm>
        <a:off x="47520" y="8148636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123840</xdr:colOff>
      <xdr:row>68</xdr:row>
      <xdr:rowOff>97200</xdr:rowOff>
    </xdr:from>
    <xdr:to>
      <xdr:col>17</xdr:col>
      <xdr:colOff>409320</xdr:colOff>
      <xdr:row>91</xdr:row>
      <xdr:rowOff>64800</xdr:rowOff>
    </xdr:to>
    <xdr:graphicFrame>
      <xdr:nvGraphicFramePr>
        <xdr:cNvPr id="102" name="Diagramm 20"/>
        <xdr:cNvGraphicFramePr/>
      </xdr:nvGraphicFramePr>
      <xdr:xfrm>
        <a:off x="123840" y="10488960"/>
        <a:ext cx="9716400" cy="350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229320</xdr:rowOff>
    </xdr:from>
    <xdr:to>
      <xdr:col>17</xdr:col>
      <xdr:colOff>428400</xdr:colOff>
      <xdr:row>131</xdr:row>
      <xdr:rowOff>25560</xdr:rowOff>
    </xdr:to>
    <xdr:graphicFrame>
      <xdr:nvGraphicFramePr>
        <xdr:cNvPr id="105" name="Diagramm 21"/>
        <xdr:cNvGraphicFramePr/>
      </xdr:nvGraphicFramePr>
      <xdr:xfrm>
        <a:off x="118080" y="1638504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32400</xdr:colOff>
      <xdr:row>153</xdr:row>
      <xdr:rowOff>344160</xdr:rowOff>
    </xdr:from>
    <xdr:to>
      <xdr:col>17</xdr:col>
      <xdr:colOff>409320</xdr:colOff>
      <xdr:row>179</xdr:row>
      <xdr:rowOff>69840</xdr:rowOff>
    </xdr:to>
    <xdr:graphicFrame>
      <xdr:nvGraphicFramePr>
        <xdr:cNvPr id="108" name="Diagramm 22"/>
        <xdr:cNvGraphicFramePr/>
      </xdr:nvGraphicFramePr>
      <xdr:xfrm>
        <a:off x="32400" y="23614200"/>
        <a:ext cx="980784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66600</xdr:colOff>
      <xdr:row>180</xdr:row>
      <xdr:rowOff>89640</xdr:rowOff>
    </xdr:from>
    <xdr:to>
      <xdr:col>17</xdr:col>
      <xdr:colOff>342360</xdr:colOff>
      <xdr:row>204</xdr:row>
      <xdr:rowOff>117360</xdr:rowOff>
    </xdr:to>
    <xdr:graphicFrame>
      <xdr:nvGraphicFramePr>
        <xdr:cNvPr id="111" name="Diagramm 23"/>
        <xdr:cNvGraphicFramePr/>
      </xdr:nvGraphicFramePr>
      <xdr:xfrm>
        <a:off x="66600" y="2749896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212</xdr:row>
      <xdr:rowOff>21600</xdr:rowOff>
    </xdr:from>
    <xdr:to>
      <xdr:col>17</xdr:col>
      <xdr:colOff>409320</xdr:colOff>
      <xdr:row>237</xdr:row>
      <xdr:rowOff>107280</xdr:rowOff>
    </xdr:to>
    <xdr:graphicFrame>
      <xdr:nvGraphicFramePr>
        <xdr:cNvPr id="114" name="Diagramm 24"/>
        <xdr:cNvGraphicFramePr/>
      </xdr:nvGraphicFramePr>
      <xdr:xfrm>
        <a:off x="89640" y="32272560"/>
        <a:ext cx="9750600" cy="372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60840</xdr:colOff>
      <xdr:row>276</xdr:row>
      <xdr:rowOff>115560</xdr:rowOff>
    </xdr:from>
    <xdr:to>
      <xdr:col>17</xdr:col>
      <xdr:colOff>428040</xdr:colOff>
      <xdr:row>302</xdr:row>
      <xdr:rowOff>126360</xdr:rowOff>
    </xdr:to>
    <xdr:graphicFrame>
      <xdr:nvGraphicFramePr>
        <xdr:cNvPr id="117" name="Diagramm 25"/>
        <xdr:cNvGraphicFramePr/>
      </xdr:nvGraphicFramePr>
      <xdr:xfrm>
        <a:off x="60840" y="4189284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304</xdr:row>
      <xdr:rowOff>129600</xdr:rowOff>
    </xdr:from>
    <xdr:to>
      <xdr:col>17</xdr:col>
      <xdr:colOff>399960</xdr:colOff>
      <xdr:row>326</xdr:row>
      <xdr:rowOff>107640</xdr:rowOff>
    </xdr:to>
    <xdr:graphicFrame>
      <xdr:nvGraphicFramePr>
        <xdr:cNvPr id="120" name="Diagramm 26"/>
        <xdr:cNvGraphicFramePr/>
      </xdr:nvGraphicFramePr>
      <xdr:xfrm>
        <a:off x="57240" y="4599612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379</xdr:row>
      <xdr:rowOff>144720</xdr:rowOff>
    </xdr:from>
    <xdr:to>
      <xdr:col>17</xdr:col>
      <xdr:colOff>462600</xdr:colOff>
      <xdr:row>403</xdr:row>
      <xdr:rowOff>144360</xdr:rowOff>
    </xdr:to>
    <xdr:graphicFrame>
      <xdr:nvGraphicFramePr>
        <xdr:cNvPr id="123" name="Diagramm 27"/>
        <xdr:cNvGraphicFramePr/>
      </xdr:nvGraphicFramePr>
      <xdr:xfrm>
        <a:off x="70560" y="5749488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428</xdr:row>
      <xdr:rowOff>74160</xdr:rowOff>
    </xdr:from>
    <xdr:to>
      <xdr:col>17</xdr:col>
      <xdr:colOff>399600</xdr:colOff>
      <xdr:row>454</xdr:row>
      <xdr:rowOff>38520</xdr:rowOff>
    </xdr:to>
    <xdr:graphicFrame>
      <xdr:nvGraphicFramePr>
        <xdr:cNvPr id="126" name="Diagramm 28"/>
        <xdr:cNvGraphicFramePr/>
      </xdr:nvGraphicFramePr>
      <xdr:xfrm>
        <a:off x="32400" y="65000520"/>
        <a:ext cx="979812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476</xdr:row>
      <xdr:rowOff>6120</xdr:rowOff>
    </xdr:from>
    <xdr:to>
      <xdr:col>17</xdr:col>
      <xdr:colOff>418680</xdr:colOff>
      <xdr:row>502</xdr:row>
      <xdr:rowOff>49320</xdr:rowOff>
    </xdr:to>
    <xdr:graphicFrame>
      <xdr:nvGraphicFramePr>
        <xdr:cNvPr id="129" name="Diagramm 29"/>
        <xdr:cNvGraphicFramePr/>
      </xdr:nvGraphicFramePr>
      <xdr:xfrm>
        <a:off x="99000" y="72124920"/>
        <a:ext cx="9750600" cy="380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330</xdr:row>
      <xdr:rowOff>90720</xdr:rowOff>
    </xdr:from>
    <xdr:to>
      <xdr:col>17</xdr:col>
      <xdr:colOff>399600</xdr:colOff>
      <xdr:row>354</xdr:row>
      <xdr:rowOff>68760</xdr:rowOff>
    </xdr:to>
    <xdr:graphicFrame>
      <xdr:nvGraphicFramePr>
        <xdr:cNvPr id="132" name="Diagramm 30"/>
        <xdr:cNvGraphicFramePr/>
      </xdr:nvGraphicFramePr>
      <xdr:xfrm>
        <a:off x="28440" y="50063400"/>
        <a:ext cx="9802080" cy="35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0.118722876627402</cdr:y>
    </cdr:from>
    <cdr:to>
      <cdr:x>0.385285396590067</cdr:x>
      <cdr:y>0.921161396982848</cdr:y>
    </cdr:to>
    <cdr:sp>
      <cdr:nvSpPr>
        <cdr:cNvPr id="91" name="Rechteck 1"/>
        <cdr:cNvSpPr/>
      </cdr:nvSpPr>
      <cdr:spPr>
        <a:xfrm>
          <a:off x="362160" y="413640"/>
          <a:ext cx="3380040" cy="27957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0.902252531514776</cdr:y>
    </cdr:from>
    <cdr:to>
      <cdr:x>0.987842846553002</cdr:x>
      <cdr:y>0.988943996693532</cdr:y>
    </cdr:to>
    <cdr:sp>
      <cdr:nvSpPr>
        <cdr:cNvPr id="92" name="Textfeld 2"/>
        <cdr:cNvSpPr/>
      </cdr:nvSpPr>
      <cdr:spPr>
        <a:xfrm>
          <a:off x="8391600" y="3143520"/>
          <a:ext cx="1203120" cy="302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0.0374615497290171</cdr:x>
      <cdr:y>0.110703881214172</cdr:y>
    </cdr:from>
    <cdr:to>
      <cdr:x>0.388420975538304</cdr:x>
      <cdr:y>0.915515459073395</cdr:y>
    </cdr:to>
    <cdr:sp>
      <cdr:nvSpPr>
        <cdr:cNvPr id="94" name="Rechteck 1"/>
        <cdr:cNvSpPr/>
      </cdr:nvSpPr>
      <cdr:spPr>
        <a:xfrm>
          <a:off x="368280" y="424080"/>
          <a:ext cx="3450240" cy="30830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0.850776329280797</cdr:x>
      <cdr:y>0.885912978103562</cdr:y>
    </cdr:from>
    <cdr:to>
      <cdr:x>0.982386113959279</cdr:x>
      <cdr:y>0.97274692228174</cdr:y>
    </cdr:to>
    <cdr:sp>
      <cdr:nvSpPr>
        <cdr:cNvPr id="95" name="Textfeld 1"/>
        <cdr:cNvSpPr/>
      </cdr:nvSpPr>
      <cdr:spPr>
        <a:xfrm>
          <a:off x="8363880" y="3393720"/>
          <a:ext cx="12938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0.118849584126666</cdr:y>
    </cdr:from>
    <cdr:to>
      <cdr:x>0.386296732410951</cdr:x>
      <cdr:y>0.923639643250827</cdr:y>
    </cdr:to>
    <cdr:sp>
      <cdr:nvSpPr>
        <cdr:cNvPr id="97" name="Rechteck 1"/>
        <cdr:cNvSpPr/>
      </cdr:nvSpPr>
      <cdr:spPr>
        <a:xfrm>
          <a:off x="356040" y="426960"/>
          <a:ext cx="3423240" cy="289116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0.915522597454655</cdr:y>
    </cdr:from>
    <cdr:to>
      <cdr:x>0.98023991757433</cdr:x>
      <cdr:y>0.999799579116144</cdr:y>
    </cdr:to>
    <cdr:sp>
      <cdr:nvSpPr>
        <cdr:cNvPr id="98" name="Textfeld 1"/>
        <cdr:cNvSpPr/>
      </cdr:nvSpPr>
      <cdr:spPr>
        <a:xfrm>
          <a:off x="8302680" y="328896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3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100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101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0.116020963929709</cdr:y>
    </cdr:from>
    <cdr:to>
      <cdr:x>0.396576636656663</cdr:x>
      <cdr:y>0.918405097112321</cdr:y>
    </cdr:to>
    <cdr:sp>
      <cdr:nvSpPr>
        <cdr:cNvPr id="103" name="Rechteck 1"/>
        <cdr:cNvSpPr/>
      </cdr:nvSpPr>
      <cdr:spPr>
        <a:xfrm>
          <a:off x="363600" y="406440"/>
          <a:ext cx="3489840" cy="28108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0.894461000924879</cdr:y>
    </cdr:from>
    <cdr:to>
      <cdr:x>0.98629172687192</cdr:x>
      <cdr:y>0.981399650601172</cdr:y>
    </cdr:to>
    <cdr:sp>
      <cdr:nvSpPr>
        <cdr:cNvPr id="104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106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107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0.11605415860735</cdr:y>
    </cdr:from>
    <cdr:to>
      <cdr:x>0.396549825656084</cdr:x>
      <cdr:y>0.918471953578337</cdr:y>
    </cdr:to>
    <cdr:sp>
      <cdr:nvSpPr>
        <cdr:cNvPr id="109" name="Rechteck 1"/>
        <cdr:cNvSpPr/>
      </cdr:nvSpPr>
      <cdr:spPr>
        <a:xfrm>
          <a:off x="366840" y="432000"/>
          <a:ext cx="352260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0.884042553191489</cdr:y>
    </cdr:from>
    <cdr:to>
      <cdr:x>0.984510919434759</cdr:x>
      <cdr:y>0.972630560928433</cdr:y>
    </cdr:to>
    <cdr:sp>
      <cdr:nvSpPr>
        <cdr:cNvPr id="110" name="Textfeld 1"/>
        <cdr:cNvSpPr/>
      </cdr:nvSpPr>
      <cdr:spPr>
        <a:xfrm>
          <a:off x="8272440" y="329076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112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113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0.116042935886278</cdr:y>
    </cdr:from>
    <cdr:to>
      <cdr:x>0.396551724137931</cdr:x>
      <cdr:y>0.91847983753989</cdr:y>
    </cdr:to>
    <cdr:sp>
      <cdr:nvSpPr>
        <cdr:cNvPr id="115" name="Rechteck 1"/>
        <cdr:cNvSpPr/>
      </cdr:nvSpPr>
      <cdr:spPr>
        <a:xfrm>
          <a:off x="364680" y="432000"/>
          <a:ext cx="3502080" cy="2987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0.878541727105696</cdr:y>
    </cdr:from>
    <cdr:to>
      <cdr:x>0.983386251199882</cdr:x>
      <cdr:y>0.967121168165555</cdr:y>
    </cdr:to>
    <cdr:sp>
      <cdr:nvSpPr>
        <cdr:cNvPr id="116" name="Textfeld 1"/>
        <cdr:cNvSpPr/>
      </cdr:nvSpPr>
      <cdr:spPr>
        <a:xfrm>
          <a:off x="8213040" y="327060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0.391946505988684</cdr:x>
      <cdr:y>0.918460659173176</cdr:y>
    </cdr:to>
    <cdr:sp>
      <cdr:nvSpPr>
        <cdr:cNvPr id="118" name="Rechteck 1"/>
        <cdr:cNvSpPr/>
      </cdr:nvSpPr>
      <cdr:spPr>
        <a:xfrm>
          <a:off x="366480" y="438480"/>
          <a:ext cx="3474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0.881977519527529</cdr:y>
    </cdr:from>
    <cdr:to>
      <cdr:x>0.976522889264457</cdr:x>
      <cdr:y>0.970089540864927</cdr:y>
    </cdr:to>
    <cdr:sp>
      <cdr:nvSpPr>
        <cdr:cNvPr id="119" name="Textfeld 1"/>
        <cdr:cNvSpPr/>
      </cdr:nvSpPr>
      <cdr:spPr>
        <a:xfrm>
          <a:off x="8185680" y="333324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121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122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124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125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0.116011048671302</cdr:y>
    </cdr:from>
    <cdr:to>
      <cdr:x>0.396539055037108</cdr:x>
      <cdr:y>0.91846842556434</cdr:y>
    </cdr:to>
    <cdr:sp>
      <cdr:nvSpPr>
        <cdr:cNvPr id="127" name="Rechteck 1"/>
        <cdr:cNvSpPr/>
      </cdr:nvSpPr>
      <cdr:spPr>
        <a:xfrm>
          <a:off x="366480" y="438480"/>
          <a:ext cx="3519000" cy="30330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0.885989141823031</cdr:y>
    </cdr:from>
    <cdr:to>
      <cdr:x>0.971930340216034</cdr:x>
      <cdr:y>0.973616534908087</cdr:y>
    </cdr:to>
    <cdr:sp>
      <cdr:nvSpPr>
        <cdr:cNvPr id="128" name="Textfeld 1"/>
        <cdr:cNvSpPr/>
      </cdr:nvSpPr>
      <cdr:spPr>
        <a:xfrm>
          <a:off x="8140680" y="334872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4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0.116079024482465</cdr:y>
    </cdr:from>
    <cdr:to>
      <cdr:x>0.395407221442812</cdr:x>
      <cdr:y>0.918517818319312</cdr:y>
    </cdr:to>
    <cdr:sp>
      <cdr:nvSpPr>
        <cdr:cNvPr id="130" name="Rechteck 1"/>
        <cdr:cNvSpPr/>
      </cdr:nvSpPr>
      <cdr:spPr>
        <a:xfrm>
          <a:off x="364680" y="442080"/>
          <a:ext cx="3490920" cy="30560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0.891010492485112</cdr:y>
    </cdr:from>
    <cdr:to>
      <cdr:x>0.977663737724286</cdr:x>
      <cdr:y>0.976746384346347</cdr:y>
    </cdr:to>
    <cdr:sp>
      <cdr:nvSpPr>
        <cdr:cNvPr id="131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0.116004077471967</cdr:y>
    </cdr:from>
    <cdr:to>
      <cdr:x>0.385214293584046</cdr:x>
      <cdr:y>0.918450560652396</cdr:y>
    </cdr:to>
    <cdr:sp>
      <cdr:nvSpPr>
        <cdr:cNvPr id="133" name="Rechteck 1"/>
        <cdr:cNvSpPr/>
      </cdr:nvSpPr>
      <cdr:spPr>
        <a:xfrm>
          <a:off x="366840" y="409680"/>
          <a:ext cx="3409200" cy="2833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0.868909276248726</cdr:y>
    </cdr:from>
    <cdr:to>
      <cdr:x>0.977670865621213</cdr:x>
      <cdr:y>0.956472986748216</cdr:y>
    </cdr:to>
    <cdr:sp>
      <cdr:nvSpPr>
        <cdr:cNvPr id="134" name="Textfeld 1"/>
        <cdr:cNvSpPr/>
      </cdr:nvSpPr>
      <cdr:spPr>
        <a:xfrm>
          <a:off x="8200080" y="3068640"/>
          <a:ext cx="1383480" cy="309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89640</xdr:colOff>
      <xdr:row>25</xdr:row>
      <xdr:rowOff>104400</xdr:rowOff>
    </xdr:from>
    <xdr:to>
      <xdr:col>17</xdr:col>
      <xdr:colOff>371160</xdr:colOff>
      <xdr:row>48</xdr:row>
      <xdr:rowOff>85680</xdr:rowOff>
    </xdr:to>
    <xdr:graphicFrame>
      <xdr:nvGraphicFramePr>
        <xdr:cNvPr id="135" name="Diagramm 16"/>
        <xdr:cNvGraphicFramePr/>
      </xdr:nvGraphicFramePr>
      <xdr:xfrm>
        <a:off x="89640" y="4050360"/>
        <a:ext cx="9712440" cy="348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9360</xdr:colOff>
      <xdr:row>508</xdr:row>
      <xdr:rowOff>63000</xdr:rowOff>
    </xdr:from>
    <xdr:to>
      <xdr:col>17</xdr:col>
      <xdr:colOff>408960</xdr:colOff>
      <xdr:row>533</xdr:row>
      <xdr:rowOff>87480</xdr:rowOff>
    </xdr:to>
    <xdr:graphicFrame>
      <xdr:nvGraphicFramePr>
        <xdr:cNvPr id="138" name="Diagramm 17"/>
        <xdr:cNvGraphicFramePr/>
      </xdr:nvGraphicFramePr>
      <xdr:xfrm>
        <a:off x="9360" y="77038200"/>
        <a:ext cx="9830520" cy="38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568</xdr:row>
      <xdr:rowOff>60840</xdr:rowOff>
    </xdr:from>
    <xdr:to>
      <xdr:col>17</xdr:col>
      <xdr:colOff>399600</xdr:colOff>
      <xdr:row>593</xdr:row>
      <xdr:rowOff>81360</xdr:rowOff>
    </xdr:to>
    <xdr:graphicFrame>
      <xdr:nvGraphicFramePr>
        <xdr:cNvPr id="141" name="Diagramm 18"/>
        <xdr:cNvGraphicFramePr/>
      </xdr:nvGraphicFramePr>
      <xdr:xfrm>
        <a:off x="47520" y="86077440"/>
        <a:ext cx="9783000" cy="35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539</xdr:row>
      <xdr:rowOff>9720</xdr:rowOff>
    </xdr:from>
    <xdr:to>
      <xdr:col>17</xdr:col>
      <xdr:colOff>408960</xdr:colOff>
      <xdr:row>561</xdr:row>
      <xdr:rowOff>129240</xdr:rowOff>
    </xdr:to>
    <xdr:graphicFrame>
      <xdr:nvGraphicFramePr>
        <xdr:cNvPr id="144" name="Diagramm 19"/>
        <xdr:cNvGraphicFramePr/>
      </xdr:nvGraphicFramePr>
      <xdr:xfrm>
        <a:off x="47520" y="8164836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123840</xdr:colOff>
      <xdr:row>68</xdr:row>
      <xdr:rowOff>97200</xdr:rowOff>
    </xdr:from>
    <xdr:to>
      <xdr:col>17</xdr:col>
      <xdr:colOff>409320</xdr:colOff>
      <xdr:row>91</xdr:row>
      <xdr:rowOff>64800</xdr:rowOff>
    </xdr:to>
    <xdr:graphicFrame>
      <xdr:nvGraphicFramePr>
        <xdr:cNvPr id="147" name="Diagramm 20"/>
        <xdr:cNvGraphicFramePr/>
      </xdr:nvGraphicFramePr>
      <xdr:xfrm>
        <a:off x="123840" y="10488960"/>
        <a:ext cx="9716400" cy="350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229320</xdr:rowOff>
    </xdr:from>
    <xdr:to>
      <xdr:col>17</xdr:col>
      <xdr:colOff>428400</xdr:colOff>
      <xdr:row>131</xdr:row>
      <xdr:rowOff>25560</xdr:rowOff>
    </xdr:to>
    <xdr:graphicFrame>
      <xdr:nvGraphicFramePr>
        <xdr:cNvPr id="150" name="Diagramm 21"/>
        <xdr:cNvGraphicFramePr/>
      </xdr:nvGraphicFramePr>
      <xdr:xfrm>
        <a:off x="118080" y="1638504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32400</xdr:colOff>
      <xdr:row>153</xdr:row>
      <xdr:rowOff>344160</xdr:rowOff>
    </xdr:from>
    <xdr:to>
      <xdr:col>17</xdr:col>
      <xdr:colOff>409320</xdr:colOff>
      <xdr:row>179</xdr:row>
      <xdr:rowOff>69840</xdr:rowOff>
    </xdr:to>
    <xdr:graphicFrame>
      <xdr:nvGraphicFramePr>
        <xdr:cNvPr id="153" name="Diagramm 22"/>
        <xdr:cNvGraphicFramePr/>
      </xdr:nvGraphicFramePr>
      <xdr:xfrm>
        <a:off x="32400" y="23614200"/>
        <a:ext cx="980784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66600</xdr:colOff>
      <xdr:row>180</xdr:row>
      <xdr:rowOff>89640</xdr:rowOff>
    </xdr:from>
    <xdr:to>
      <xdr:col>17</xdr:col>
      <xdr:colOff>342360</xdr:colOff>
      <xdr:row>204</xdr:row>
      <xdr:rowOff>117360</xdr:rowOff>
    </xdr:to>
    <xdr:graphicFrame>
      <xdr:nvGraphicFramePr>
        <xdr:cNvPr id="156" name="Diagramm 23"/>
        <xdr:cNvGraphicFramePr/>
      </xdr:nvGraphicFramePr>
      <xdr:xfrm>
        <a:off x="66600" y="2749896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212</xdr:row>
      <xdr:rowOff>21600</xdr:rowOff>
    </xdr:from>
    <xdr:to>
      <xdr:col>17</xdr:col>
      <xdr:colOff>409320</xdr:colOff>
      <xdr:row>237</xdr:row>
      <xdr:rowOff>107280</xdr:rowOff>
    </xdr:to>
    <xdr:graphicFrame>
      <xdr:nvGraphicFramePr>
        <xdr:cNvPr id="159" name="Diagramm 24"/>
        <xdr:cNvGraphicFramePr/>
      </xdr:nvGraphicFramePr>
      <xdr:xfrm>
        <a:off x="89640" y="32272560"/>
        <a:ext cx="9750600" cy="372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60840</xdr:colOff>
      <xdr:row>276</xdr:row>
      <xdr:rowOff>115560</xdr:rowOff>
    </xdr:from>
    <xdr:to>
      <xdr:col>17</xdr:col>
      <xdr:colOff>428040</xdr:colOff>
      <xdr:row>302</xdr:row>
      <xdr:rowOff>126360</xdr:rowOff>
    </xdr:to>
    <xdr:graphicFrame>
      <xdr:nvGraphicFramePr>
        <xdr:cNvPr id="162" name="Diagramm 25"/>
        <xdr:cNvGraphicFramePr/>
      </xdr:nvGraphicFramePr>
      <xdr:xfrm>
        <a:off x="60840" y="4189284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304</xdr:row>
      <xdr:rowOff>129600</xdr:rowOff>
    </xdr:from>
    <xdr:to>
      <xdr:col>17</xdr:col>
      <xdr:colOff>399960</xdr:colOff>
      <xdr:row>326</xdr:row>
      <xdr:rowOff>107640</xdr:rowOff>
    </xdr:to>
    <xdr:graphicFrame>
      <xdr:nvGraphicFramePr>
        <xdr:cNvPr id="165" name="Diagramm 26"/>
        <xdr:cNvGraphicFramePr/>
      </xdr:nvGraphicFramePr>
      <xdr:xfrm>
        <a:off x="57240" y="4599612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379</xdr:row>
      <xdr:rowOff>144720</xdr:rowOff>
    </xdr:from>
    <xdr:to>
      <xdr:col>17</xdr:col>
      <xdr:colOff>462600</xdr:colOff>
      <xdr:row>403</xdr:row>
      <xdr:rowOff>144360</xdr:rowOff>
    </xdr:to>
    <xdr:graphicFrame>
      <xdr:nvGraphicFramePr>
        <xdr:cNvPr id="168" name="Diagramm 27"/>
        <xdr:cNvGraphicFramePr/>
      </xdr:nvGraphicFramePr>
      <xdr:xfrm>
        <a:off x="70560" y="5749488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429</xdr:row>
      <xdr:rowOff>75600</xdr:rowOff>
    </xdr:from>
    <xdr:to>
      <xdr:col>17</xdr:col>
      <xdr:colOff>399600</xdr:colOff>
      <xdr:row>455</xdr:row>
      <xdr:rowOff>39600</xdr:rowOff>
    </xdr:to>
    <xdr:graphicFrame>
      <xdr:nvGraphicFramePr>
        <xdr:cNvPr id="171" name="Diagramm 28"/>
        <xdr:cNvGraphicFramePr/>
      </xdr:nvGraphicFramePr>
      <xdr:xfrm>
        <a:off x="32400" y="6516252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477</xdr:row>
      <xdr:rowOff>7560</xdr:rowOff>
    </xdr:from>
    <xdr:to>
      <xdr:col>17</xdr:col>
      <xdr:colOff>418680</xdr:colOff>
      <xdr:row>503</xdr:row>
      <xdr:rowOff>50040</xdr:rowOff>
    </xdr:to>
    <xdr:graphicFrame>
      <xdr:nvGraphicFramePr>
        <xdr:cNvPr id="174" name="Diagramm 29"/>
        <xdr:cNvGraphicFramePr/>
      </xdr:nvGraphicFramePr>
      <xdr:xfrm>
        <a:off x="99000" y="72286920"/>
        <a:ext cx="9750600" cy="380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330</xdr:row>
      <xdr:rowOff>90720</xdr:rowOff>
    </xdr:from>
    <xdr:to>
      <xdr:col>17</xdr:col>
      <xdr:colOff>399600</xdr:colOff>
      <xdr:row>354</xdr:row>
      <xdr:rowOff>68760</xdr:rowOff>
    </xdr:to>
    <xdr:graphicFrame>
      <xdr:nvGraphicFramePr>
        <xdr:cNvPr id="177" name="Diagramm 30"/>
        <xdr:cNvGraphicFramePr/>
      </xdr:nvGraphicFramePr>
      <xdr:xfrm>
        <a:off x="28440" y="50063400"/>
        <a:ext cx="9802080" cy="35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0.118722876627402</cdr:y>
    </cdr:from>
    <cdr:to>
      <cdr:x>0.385285396590067</cdr:x>
      <cdr:y>0.921161396982848</cdr:y>
    </cdr:to>
    <cdr:sp>
      <cdr:nvSpPr>
        <cdr:cNvPr id="136" name="Rechteck 1"/>
        <cdr:cNvSpPr/>
      </cdr:nvSpPr>
      <cdr:spPr>
        <a:xfrm>
          <a:off x="362160" y="413640"/>
          <a:ext cx="3380040" cy="27957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0.902252531514776</cdr:y>
    </cdr:from>
    <cdr:to>
      <cdr:x>0.987842846553002</cdr:x>
      <cdr:y>0.988943996693532</cdr:y>
    </cdr:to>
    <cdr:sp>
      <cdr:nvSpPr>
        <cdr:cNvPr id="137" name="Textfeld 2"/>
        <cdr:cNvSpPr/>
      </cdr:nvSpPr>
      <cdr:spPr>
        <a:xfrm>
          <a:off x="8391600" y="3143520"/>
          <a:ext cx="1203120" cy="302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0.0374615497290171</cdr:x>
      <cdr:y>0.110693478669423</cdr:y>
    </cdr:from>
    <cdr:to>
      <cdr:x>0.388420975538304</cdr:x>
      <cdr:y>0.915523397857546</cdr:y>
    </cdr:to>
    <cdr:sp>
      <cdr:nvSpPr>
        <cdr:cNvPr id="139" name="Rechteck 1"/>
        <cdr:cNvSpPr/>
      </cdr:nvSpPr>
      <cdr:spPr>
        <a:xfrm>
          <a:off x="368280" y="424080"/>
          <a:ext cx="3450240" cy="308340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0.850776329280797</cdr:x>
      <cdr:y>0.885923698552904</cdr:y>
    </cdr:from>
    <cdr:to>
      <cdr:x>0.982386113959279</cdr:x>
      <cdr:y>0.972749483179853</cdr:y>
    </cdr:to>
    <cdr:sp>
      <cdr:nvSpPr>
        <cdr:cNvPr id="140" name="Textfeld 1"/>
        <cdr:cNvSpPr/>
      </cdr:nvSpPr>
      <cdr:spPr>
        <a:xfrm>
          <a:off x="8363880" y="3394080"/>
          <a:ext cx="12938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0.118837675350701</cdr:y>
    </cdr:from>
    <cdr:to>
      <cdr:x>0.386296732410951</cdr:x>
      <cdr:y>0.923647294589178</cdr:y>
    </cdr:to>
    <cdr:sp>
      <cdr:nvSpPr>
        <cdr:cNvPr id="142" name="Rechteck 1"/>
        <cdr:cNvSpPr/>
      </cdr:nvSpPr>
      <cdr:spPr>
        <a:xfrm>
          <a:off x="356040" y="426960"/>
          <a:ext cx="3423240" cy="289152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0.915531062124249</cdr:y>
    </cdr:from>
    <cdr:to>
      <cdr:x>0.98023991757433</cdr:x>
      <cdr:y>0.999799599198397</cdr:y>
    </cdr:to>
    <cdr:sp>
      <cdr:nvSpPr>
        <cdr:cNvPr id="143" name="Textfeld 1"/>
        <cdr:cNvSpPr/>
      </cdr:nvSpPr>
      <cdr:spPr>
        <a:xfrm>
          <a:off x="8302680" y="328932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145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146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0.116020963929709</cdr:y>
    </cdr:from>
    <cdr:to>
      <cdr:x>0.396576636656663</cdr:x>
      <cdr:y>0.918405097112321</cdr:y>
    </cdr:to>
    <cdr:sp>
      <cdr:nvSpPr>
        <cdr:cNvPr id="148" name="Rechteck 1"/>
        <cdr:cNvSpPr/>
      </cdr:nvSpPr>
      <cdr:spPr>
        <a:xfrm>
          <a:off x="363600" y="406440"/>
          <a:ext cx="3489840" cy="28108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0.894461000924879</cdr:y>
    </cdr:from>
    <cdr:to>
      <cdr:x>0.98629172687192</cdr:x>
      <cdr:y>0.981399650601172</cdr:y>
    </cdr:to>
    <cdr:sp>
      <cdr:nvSpPr>
        <cdr:cNvPr id="149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151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152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0.11605415860735</cdr:y>
    </cdr:from>
    <cdr:to>
      <cdr:x>0.396549825656084</cdr:x>
      <cdr:y>0.918471953578337</cdr:y>
    </cdr:to>
    <cdr:sp>
      <cdr:nvSpPr>
        <cdr:cNvPr id="154" name="Rechteck 1"/>
        <cdr:cNvSpPr/>
      </cdr:nvSpPr>
      <cdr:spPr>
        <a:xfrm>
          <a:off x="366840" y="432000"/>
          <a:ext cx="352260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0.884042553191489</cdr:y>
    </cdr:from>
    <cdr:to>
      <cdr:x>0.984510919434759</cdr:x>
      <cdr:y>0.972630560928433</cdr:y>
    </cdr:to>
    <cdr:sp>
      <cdr:nvSpPr>
        <cdr:cNvPr id="155" name="Textfeld 1"/>
        <cdr:cNvSpPr/>
      </cdr:nvSpPr>
      <cdr:spPr>
        <a:xfrm>
          <a:off x="8272440" y="329076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5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157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158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0.116042935886278</cdr:y>
    </cdr:from>
    <cdr:to>
      <cdr:x>0.396551724137931</cdr:x>
      <cdr:y>0.91847983753989</cdr:y>
    </cdr:to>
    <cdr:sp>
      <cdr:nvSpPr>
        <cdr:cNvPr id="160" name="Rechteck 1"/>
        <cdr:cNvSpPr/>
      </cdr:nvSpPr>
      <cdr:spPr>
        <a:xfrm>
          <a:off x="364680" y="432000"/>
          <a:ext cx="3502080" cy="2987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0.878541727105696</cdr:y>
    </cdr:from>
    <cdr:to>
      <cdr:x>0.983386251199882</cdr:x>
      <cdr:y>0.967121168165555</cdr:y>
    </cdr:to>
    <cdr:sp>
      <cdr:nvSpPr>
        <cdr:cNvPr id="161" name="Textfeld 1"/>
        <cdr:cNvSpPr/>
      </cdr:nvSpPr>
      <cdr:spPr>
        <a:xfrm>
          <a:off x="8213040" y="327060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0.391946505988684</cdr:x>
      <cdr:y>0.918460659173176</cdr:y>
    </cdr:to>
    <cdr:sp>
      <cdr:nvSpPr>
        <cdr:cNvPr id="163" name="Rechteck 1"/>
        <cdr:cNvSpPr/>
      </cdr:nvSpPr>
      <cdr:spPr>
        <a:xfrm>
          <a:off x="366480" y="438480"/>
          <a:ext cx="3474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0.881977519527529</cdr:y>
    </cdr:from>
    <cdr:to>
      <cdr:x>0.976522889264457</cdr:x>
      <cdr:y>0.970089540864927</cdr:y>
    </cdr:to>
    <cdr:sp>
      <cdr:nvSpPr>
        <cdr:cNvPr id="164" name="Textfeld 1"/>
        <cdr:cNvSpPr/>
      </cdr:nvSpPr>
      <cdr:spPr>
        <a:xfrm>
          <a:off x="8185680" y="333324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166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167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169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170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0.396539055037108</cdr:x>
      <cdr:y>0.918460659173176</cdr:y>
    </cdr:to>
    <cdr:sp>
      <cdr:nvSpPr>
        <cdr:cNvPr id="172" name="Rechteck 1"/>
        <cdr:cNvSpPr/>
      </cdr:nvSpPr>
      <cdr:spPr>
        <a:xfrm>
          <a:off x="366480" y="438480"/>
          <a:ext cx="3519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0.885978281577443</cdr:y>
    </cdr:from>
    <cdr:to>
      <cdr:x>0.971930340216034</cdr:x>
      <cdr:y>0.973614021718423</cdr:y>
    </cdr:to>
    <cdr:sp>
      <cdr:nvSpPr>
        <cdr:cNvPr id="173" name="Textfeld 1"/>
        <cdr:cNvSpPr/>
      </cdr:nvSpPr>
      <cdr:spPr>
        <a:xfrm>
          <a:off x="8140680" y="334836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0.115995462280204</cdr:y>
    </cdr:from>
    <cdr:to>
      <cdr:x>0.395407221442812</cdr:x>
      <cdr:y>0.918415579504632</cdr:y>
    </cdr:to>
    <cdr:sp>
      <cdr:nvSpPr>
        <cdr:cNvPr id="175" name="Rechteck 1"/>
        <cdr:cNvSpPr/>
      </cdr:nvSpPr>
      <cdr:spPr>
        <a:xfrm>
          <a:off x="364680" y="441720"/>
          <a:ext cx="3490920" cy="30556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0.891094724900737</cdr:y>
    </cdr:from>
    <cdr:to>
      <cdr:x>0.977663737724286</cdr:x>
      <cdr:y>0.976838721875591</cdr:y>
    </cdr:to>
    <cdr:sp>
      <cdr:nvSpPr>
        <cdr:cNvPr id="176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0.116004077471967</cdr:y>
    </cdr:from>
    <cdr:to>
      <cdr:x>0.384185978185023</cdr:x>
      <cdr:y>0.918450560652396</cdr:y>
    </cdr:to>
    <cdr:sp>
      <cdr:nvSpPr>
        <cdr:cNvPr id="178" name="Rechteck 1"/>
        <cdr:cNvSpPr/>
      </cdr:nvSpPr>
      <cdr:spPr>
        <a:xfrm>
          <a:off x="366840" y="409680"/>
          <a:ext cx="3399120" cy="2833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0.868909276248726</cdr:y>
    </cdr:from>
    <cdr:to>
      <cdr:x>0.977670865621213</cdr:x>
      <cdr:y>0.956472986748216</cdr:y>
    </cdr:to>
    <cdr:sp>
      <cdr:nvSpPr>
        <cdr:cNvPr id="179" name="Textfeld 1"/>
        <cdr:cNvSpPr/>
      </cdr:nvSpPr>
      <cdr:spPr>
        <a:xfrm>
          <a:off x="8200080" y="3068640"/>
          <a:ext cx="1383480" cy="309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89640</xdr:colOff>
      <xdr:row>25</xdr:row>
      <xdr:rowOff>104400</xdr:rowOff>
    </xdr:from>
    <xdr:to>
      <xdr:col>17</xdr:col>
      <xdr:colOff>371160</xdr:colOff>
      <xdr:row>48</xdr:row>
      <xdr:rowOff>85680</xdr:rowOff>
    </xdr:to>
    <xdr:graphicFrame>
      <xdr:nvGraphicFramePr>
        <xdr:cNvPr id="180" name="Diagramm 16"/>
        <xdr:cNvGraphicFramePr/>
      </xdr:nvGraphicFramePr>
      <xdr:xfrm>
        <a:off x="89640" y="4050360"/>
        <a:ext cx="9712440" cy="348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9360</xdr:colOff>
      <xdr:row>508</xdr:row>
      <xdr:rowOff>63000</xdr:rowOff>
    </xdr:from>
    <xdr:to>
      <xdr:col>17</xdr:col>
      <xdr:colOff>408960</xdr:colOff>
      <xdr:row>533</xdr:row>
      <xdr:rowOff>87480</xdr:rowOff>
    </xdr:to>
    <xdr:graphicFrame>
      <xdr:nvGraphicFramePr>
        <xdr:cNvPr id="183" name="Diagramm 17"/>
        <xdr:cNvGraphicFramePr/>
      </xdr:nvGraphicFramePr>
      <xdr:xfrm>
        <a:off x="9360" y="77038200"/>
        <a:ext cx="9830520" cy="38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568</xdr:row>
      <xdr:rowOff>60840</xdr:rowOff>
    </xdr:from>
    <xdr:to>
      <xdr:col>17</xdr:col>
      <xdr:colOff>399600</xdr:colOff>
      <xdr:row>593</xdr:row>
      <xdr:rowOff>81360</xdr:rowOff>
    </xdr:to>
    <xdr:graphicFrame>
      <xdr:nvGraphicFramePr>
        <xdr:cNvPr id="186" name="Diagramm 18"/>
        <xdr:cNvGraphicFramePr/>
      </xdr:nvGraphicFramePr>
      <xdr:xfrm>
        <a:off x="47520" y="86077440"/>
        <a:ext cx="9783000" cy="35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539</xdr:row>
      <xdr:rowOff>9720</xdr:rowOff>
    </xdr:from>
    <xdr:to>
      <xdr:col>17</xdr:col>
      <xdr:colOff>408960</xdr:colOff>
      <xdr:row>561</xdr:row>
      <xdr:rowOff>129240</xdr:rowOff>
    </xdr:to>
    <xdr:graphicFrame>
      <xdr:nvGraphicFramePr>
        <xdr:cNvPr id="189" name="Diagramm 19"/>
        <xdr:cNvGraphicFramePr/>
      </xdr:nvGraphicFramePr>
      <xdr:xfrm>
        <a:off x="47520" y="8164836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123840</xdr:colOff>
      <xdr:row>68</xdr:row>
      <xdr:rowOff>97200</xdr:rowOff>
    </xdr:from>
    <xdr:to>
      <xdr:col>17</xdr:col>
      <xdr:colOff>409320</xdr:colOff>
      <xdr:row>91</xdr:row>
      <xdr:rowOff>64800</xdr:rowOff>
    </xdr:to>
    <xdr:graphicFrame>
      <xdr:nvGraphicFramePr>
        <xdr:cNvPr id="192" name="Diagramm 20"/>
        <xdr:cNvGraphicFramePr/>
      </xdr:nvGraphicFramePr>
      <xdr:xfrm>
        <a:off x="123840" y="10488960"/>
        <a:ext cx="9716400" cy="350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229320</xdr:rowOff>
    </xdr:from>
    <xdr:to>
      <xdr:col>17</xdr:col>
      <xdr:colOff>428400</xdr:colOff>
      <xdr:row>131</xdr:row>
      <xdr:rowOff>25560</xdr:rowOff>
    </xdr:to>
    <xdr:graphicFrame>
      <xdr:nvGraphicFramePr>
        <xdr:cNvPr id="195" name="Diagramm 21"/>
        <xdr:cNvGraphicFramePr/>
      </xdr:nvGraphicFramePr>
      <xdr:xfrm>
        <a:off x="118080" y="1638504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32400</xdr:colOff>
      <xdr:row>153</xdr:row>
      <xdr:rowOff>344160</xdr:rowOff>
    </xdr:from>
    <xdr:to>
      <xdr:col>17</xdr:col>
      <xdr:colOff>409320</xdr:colOff>
      <xdr:row>179</xdr:row>
      <xdr:rowOff>69840</xdr:rowOff>
    </xdr:to>
    <xdr:graphicFrame>
      <xdr:nvGraphicFramePr>
        <xdr:cNvPr id="198" name="Diagramm 22"/>
        <xdr:cNvGraphicFramePr/>
      </xdr:nvGraphicFramePr>
      <xdr:xfrm>
        <a:off x="32400" y="23614200"/>
        <a:ext cx="980784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66600</xdr:colOff>
      <xdr:row>180</xdr:row>
      <xdr:rowOff>89640</xdr:rowOff>
    </xdr:from>
    <xdr:to>
      <xdr:col>17</xdr:col>
      <xdr:colOff>342360</xdr:colOff>
      <xdr:row>204</xdr:row>
      <xdr:rowOff>117360</xdr:rowOff>
    </xdr:to>
    <xdr:graphicFrame>
      <xdr:nvGraphicFramePr>
        <xdr:cNvPr id="201" name="Diagramm 23"/>
        <xdr:cNvGraphicFramePr/>
      </xdr:nvGraphicFramePr>
      <xdr:xfrm>
        <a:off x="66600" y="2749896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212</xdr:row>
      <xdr:rowOff>21600</xdr:rowOff>
    </xdr:from>
    <xdr:to>
      <xdr:col>17</xdr:col>
      <xdr:colOff>409320</xdr:colOff>
      <xdr:row>237</xdr:row>
      <xdr:rowOff>107280</xdr:rowOff>
    </xdr:to>
    <xdr:graphicFrame>
      <xdr:nvGraphicFramePr>
        <xdr:cNvPr id="204" name="Diagramm 24"/>
        <xdr:cNvGraphicFramePr/>
      </xdr:nvGraphicFramePr>
      <xdr:xfrm>
        <a:off x="89640" y="32272560"/>
        <a:ext cx="9750600" cy="372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60840</xdr:colOff>
      <xdr:row>276</xdr:row>
      <xdr:rowOff>115560</xdr:rowOff>
    </xdr:from>
    <xdr:to>
      <xdr:col>17</xdr:col>
      <xdr:colOff>428040</xdr:colOff>
      <xdr:row>302</xdr:row>
      <xdr:rowOff>126360</xdr:rowOff>
    </xdr:to>
    <xdr:graphicFrame>
      <xdr:nvGraphicFramePr>
        <xdr:cNvPr id="207" name="Diagramm 25"/>
        <xdr:cNvGraphicFramePr/>
      </xdr:nvGraphicFramePr>
      <xdr:xfrm>
        <a:off x="60840" y="4189284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304</xdr:row>
      <xdr:rowOff>129600</xdr:rowOff>
    </xdr:from>
    <xdr:to>
      <xdr:col>17</xdr:col>
      <xdr:colOff>399960</xdr:colOff>
      <xdr:row>326</xdr:row>
      <xdr:rowOff>107640</xdr:rowOff>
    </xdr:to>
    <xdr:graphicFrame>
      <xdr:nvGraphicFramePr>
        <xdr:cNvPr id="210" name="Diagramm 26"/>
        <xdr:cNvGraphicFramePr/>
      </xdr:nvGraphicFramePr>
      <xdr:xfrm>
        <a:off x="57240" y="4599612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379</xdr:row>
      <xdr:rowOff>144720</xdr:rowOff>
    </xdr:from>
    <xdr:to>
      <xdr:col>17</xdr:col>
      <xdr:colOff>462600</xdr:colOff>
      <xdr:row>403</xdr:row>
      <xdr:rowOff>144360</xdr:rowOff>
    </xdr:to>
    <xdr:graphicFrame>
      <xdr:nvGraphicFramePr>
        <xdr:cNvPr id="213" name="Diagramm 27"/>
        <xdr:cNvGraphicFramePr/>
      </xdr:nvGraphicFramePr>
      <xdr:xfrm>
        <a:off x="70560" y="5749488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429</xdr:row>
      <xdr:rowOff>75600</xdr:rowOff>
    </xdr:from>
    <xdr:to>
      <xdr:col>17</xdr:col>
      <xdr:colOff>399600</xdr:colOff>
      <xdr:row>455</xdr:row>
      <xdr:rowOff>39600</xdr:rowOff>
    </xdr:to>
    <xdr:graphicFrame>
      <xdr:nvGraphicFramePr>
        <xdr:cNvPr id="216" name="Diagramm 28"/>
        <xdr:cNvGraphicFramePr/>
      </xdr:nvGraphicFramePr>
      <xdr:xfrm>
        <a:off x="32400" y="65162520"/>
        <a:ext cx="9798120" cy="37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477</xdr:row>
      <xdr:rowOff>7560</xdr:rowOff>
    </xdr:from>
    <xdr:to>
      <xdr:col>17</xdr:col>
      <xdr:colOff>418680</xdr:colOff>
      <xdr:row>503</xdr:row>
      <xdr:rowOff>50040</xdr:rowOff>
    </xdr:to>
    <xdr:graphicFrame>
      <xdr:nvGraphicFramePr>
        <xdr:cNvPr id="219" name="Diagramm 29"/>
        <xdr:cNvGraphicFramePr/>
      </xdr:nvGraphicFramePr>
      <xdr:xfrm>
        <a:off x="99000" y="72286920"/>
        <a:ext cx="9750600" cy="380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330</xdr:row>
      <xdr:rowOff>90720</xdr:rowOff>
    </xdr:from>
    <xdr:to>
      <xdr:col>17</xdr:col>
      <xdr:colOff>399600</xdr:colOff>
      <xdr:row>354</xdr:row>
      <xdr:rowOff>68760</xdr:rowOff>
    </xdr:to>
    <xdr:graphicFrame>
      <xdr:nvGraphicFramePr>
        <xdr:cNvPr id="222" name="Diagramm 30"/>
        <xdr:cNvGraphicFramePr/>
      </xdr:nvGraphicFramePr>
      <xdr:xfrm>
        <a:off x="28440" y="50063400"/>
        <a:ext cx="9802080" cy="35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0.118722876627402</cdr:y>
    </cdr:from>
    <cdr:to>
      <cdr:x>0.385285396590067</cdr:x>
      <cdr:y>0.921161396982848</cdr:y>
    </cdr:to>
    <cdr:sp>
      <cdr:nvSpPr>
        <cdr:cNvPr id="181" name="Rechteck 1"/>
        <cdr:cNvSpPr/>
      </cdr:nvSpPr>
      <cdr:spPr>
        <a:xfrm>
          <a:off x="362160" y="413640"/>
          <a:ext cx="3380040" cy="27957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0.902252531514776</cdr:y>
    </cdr:from>
    <cdr:to>
      <cdr:x>0.987842846553002</cdr:x>
      <cdr:y>0.988943996693532</cdr:y>
    </cdr:to>
    <cdr:sp>
      <cdr:nvSpPr>
        <cdr:cNvPr id="182" name="Textfeld 2"/>
        <cdr:cNvSpPr/>
      </cdr:nvSpPr>
      <cdr:spPr>
        <a:xfrm>
          <a:off x="8391600" y="3143520"/>
          <a:ext cx="1203120" cy="302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6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0.0374615497290171</cdr:x>
      <cdr:y>0.110693478669423</cdr:y>
    </cdr:from>
    <cdr:to>
      <cdr:x>0.388420975538304</cdr:x>
      <cdr:y>0.915523397857546</cdr:y>
    </cdr:to>
    <cdr:sp>
      <cdr:nvSpPr>
        <cdr:cNvPr id="184" name="Rechteck 1"/>
        <cdr:cNvSpPr/>
      </cdr:nvSpPr>
      <cdr:spPr>
        <a:xfrm>
          <a:off x="368280" y="424080"/>
          <a:ext cx="3450240" cy="308340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0.850776329280797</cdr:x>
      <cdr:y>0.885923698552904</cdr:y>
    </cdr:from>
    <cdr:to>
      <cdr:x>0.982386113959279</cdr:x>
      <cdr:y>0.972749483179853</cdr:y>
    </cdr:to>
    <cdr:sp>
      <cdr:nvSpPr>
        <cdr:cNvPr id="185" name="Textfeld 1"/>
        <cdr:cNvSpPr/>
      </cdr:nvSpPr>
      <cdr:spPr>
        <a:xfrm>
          <a:off x="8363880" y="3394080"/>
          <a:ext cx="12938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0.118837675350701</cdr:y>
    </cdr:from>
    <cdr:to>
      <cdr:x>0.386296732410951</cdr:x>
      <cdr:y>0.923647294589178</cdr:y>
    </cdr:to>
    <cdr:sp>
      <cdr:nvSpPr>
        <cdr:cNvPr id="187" name="Rechteck 1"/>
        <cdr:cNvSpPr/>
      </cdr:nvSpPr>
      <cdr:spPr>
        <a:xfrm>
          <a:off x="356040" y="426960"/>
          <a:ext cx="3423240" cy="289152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0.915531062124249</cdr:y>
    </cdr:from>
    <cdr:to>
      <cdr:x>0.98023991757433</cdr:x>
      <cdr:y>0.999799599198397</cdr:y>
    </cdr:to>
    <cdr:sp>
      <cdr:nvSpPr>
        <cdr:cNvPr id="188" name="Textfeld 1"/>
        <cdr:cNvSpPr/>
      </cdr:nvSpPr>
      <cdr:spPr>
        <a:xfrm>
          <a:off x="8302680" y="328932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190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191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0.116020963929709</cdr:y>
    </cdr:from>
    <cdr:to>
      <cdr:x>0.396576636656663</cdr:x>
      <cdr:y>0.918405097112321</cdr:y>
    </cdr:to>
    <cdr:sp>
      <cdr:nvSpPr>
        <cdr:cNvPr id="193" name="Rechteck 1"/>
        <cdr:cNvSpPr/>
      </cdr:nvSpPr>
      <cdr:spPr>
        <a:xfrm>
          <a:off x="363600" y="406440"/>
          <a:ext cx="3489840" cy="28108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0.894461000924879</cdr:y>
    </cdr:from>
    <cdr:to>
      <cdr:x>0.98629172687192</cdr:x>
      <cdr:y>0.981399650601172</cdr:y>
    </cdr:to>
    <cdr:sp>
      <cdr:nvSpPr>
        <cdr:cNvPr id="194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196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197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0.11605415860735</cdr:y>
    </cdr:from>
    <cdr:to>
      <cdr:x>0.396549825656084</cdr:x>
      <cdr:y>0.918471953578337</cdr:y>
    </cdr:to>
    <cdr:sp>
      <cdr:nvSpPr>
        <cdr:cNvPr id="199" name="Rechteck 1"/>
        <cdr:cNvSpPr/>
      </cdr:nvSpPr>
      <cdr:spPr>
        <a:xfrm>
          <a:off x="366840" y="432000"/>
          <a:ext cx="352260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0.884042553191489</cdr:y>
    </cdr:from>
    <cdr:to>
      <cdr:x>0.984510919434759</cdr:x>
      <cdr:y>0.972630560928433</cdr:y>
    </cdr:to>
    <cdr:sp>
      <cdr:nvSpPr>
        <cdr:cNvPr id="200" name="Textfeld 1"/>
        <cdr:cNvSpPr/>
      </cdr:nvSpPr>
      <cdr:spPr>
        <a:xfrm>
          <a:off x="8272440" y="329076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202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203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0.116042935886278</cdr:y>
    </cdr:from>
    <cdr:to>
      <cdr:x>0.396551724137931</cdr:x>
      <cdr:y>0.91847983753989</cdr:y>
    </cdr:to>
    <cdr:sp>
      <cdr:nvSpPr>
        <cdr:cNvPr id="205" name="Rechteck 1"/>
        <cdr:cNvSpPr/>
      </cdr:nvSpPr>
      <cdr:spPr>
        <a:xfrm>
          <a:off x="364680" y="432000"/>
          <a:ext cx="3502080" cy="2987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0.878541727105696</cdr:y>
    </cdr:from>
    <cdr:to>
      <cdr:x>0.983386251199882</cdr:x>
      <cdr:y>0.967121168165555</cdr:y>
    </cdr:to>
    <cdr:sp>
      <cdr:nvSpPr>
        <cdr:cNvPr id="206" name="Textfeld 1"/>
        <cdr:cNvSpPr/>
      </cdr:nvSpPr>
      <cdr:spPr>
        <a:xfrm>
          <a:off x="8213040" y="327060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0.391946505988684</cdr:x>
      <cdr:y>0.918460659173176</cdr:y>
    </cdr:to>
    <cdr:sp>
      <cdr:nvSpPr>
        <cdr:cNvPr id="208" name="Rechteck 1"/>
        <cdr:cNvSpPr/>
      </cdr:nvSpPr>
      <cdr:spPr>
        <a:xfrm>
          <a:off x="366480" y="438480"/>
          <a:ext cx="3474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0.881977519527529</cdr:y>
    </cdr:from>
    <cdr:to>
      <cdr:x>0.976522889264457</cdr:x>
      <cdr:y>0.970089540864927</cdr:y>
    </cdr:to>
    <cdr:sp>
      <cdr:nvSpPr>
        <cdr:cNvPr id="209" name="Textfeld 1"/>
        <cdr:cNvSpPr/>
      </cdr:nvSpPr>
      <cdr:spPr>
        <a:xfrm>
          <a:off x="8185680" y="333324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211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212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7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214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215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0.116022099447514</cdr:y>
    </cdr:from>
    <cdr:to>
      <cdr:x>0.396539055037108</cdr:x>
      <cdr:y>0.918460659173176</cdr:y>
    </cdr:to>
    <cdr:sp>
      <cdr:nvSpPr>
        <cdr:cNvPr id="217" name="Rechteck 1"/>
        <cdr:cNvSpPr/>
      </cdr:nvSpPr>
      <cdr:spPr>
        <a:xfrm>
          <a:off x="366480" y="438480"/>
          <a:ext cx="3519000" cy="30326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0.885978281577443</cdr:y>
    </cdr:from>
    <cdr:to>
      <cdr:x>0.971930340216034</cdr:x>
      <cdr:y>0.973614021718423</cdr:y>
    </cdr:to>
    <cdr:sp>
      <cdr:nvSpPr>
        <cdr:cNvPr id="218" name="Textfeld 1"/>
        <cdr:cNvSpPr/>
      </cdr:nvSpPr>
      <cdr:spPr>
        <a:xfrm>
          <a:off x="8140680" y="334836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0.115995462280204</cdr:y>
    </cdr:from>
    <cdr:to>
      <cdr:x>0.395407221442812</cdr:x>
      <cdr:y>0.918415579504632</cdr:y>
    </cdr:to>
    <cdr:sp>
      <cdr:nvSpPr>
        <cdr:cNvPr id="220" name="Rechteck 1"/>
        <cdr:cNvSpPr/>
      </cdr:nvSpPr>
      <cdr:spPr>
        <a:xfrm>
          <a:off x="364680" y="441720"/>
          <a:ext cx="3490920" cy="30556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0.891094724900737</cdr:y>
    </cdr:from>
    <cdr:to>
      <cdr:x>0.977663737724286</cdr:x>
      <cdr:y>0.976838721875591</cdr:y>
    </cdr:to>
    <cdr:sp>
      <cdr:nvSpPr>
        <cdr:cNvPr id="221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0.116004077471967</cdr:y>
    </cdr:from>
    <cdr:to>
      <cdr:x>0.384185978185023</cdr:x>
      <cdr:y>0.918450560652396</cdr:y>
    </cdr:to>
    <cdr:sp>
      <cdr:nvSpPr>
        <cdr:cNvPr id="223" name="Rechteck 1"/>
        <cdr:cNvSpPr/>
      </cdr:nvSpPr>
      <cdr:spPr>
        <a:xfrm>
          <a:off x="366840" y="409680"/>
          <a:ext cx="3399120" cy="2833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0.868909276248726</cdr:y>
    </cdr:from>
    <cdr:to>
      <cdr:x>0.977670865621213</cdr:x>
      <cdr:y>0.956472986748216</cdr:y>
    </cdr:to>
    <cdr:sp>
      <cdr:nvSpPr>
        <cdr:cNvPr id="224" name="Textfeld 1"/>
        <cdr:cNvSpPr/>
      </cdr:nvSpPr>
      <cdr:spPr>
        <a:xfrm>
          <a:off x="8200080" y="3068640"/>
          <a:ext cx="1383480" cy="309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89640</xdr:colOff>
      <xdr:row>25</xdr:row>
      <xdr:rowOff>104400</xdr:rowOff>
    </xdr:from>
    <xdr:to>
      <xdr:col>17</xdr:col>
      <xdr:colOff>371160</xdr:colOff>
      <xdr:row>48</xdr:row>
      <xdr:rowOff>85680</xdr:rowOff>
    </xdr:to>
    <xdr:graphicFrame>
      <xdr:nvGraphicFramePr>
        <xdr:cNvPr id="225" name="Diagramm 17"/>
        <xdr:cNvGraphicFramePr/>
      </xdr:nvGraphicFramePr>
      <xdr:xfrm>
        <a:off x="89640" y="4050360"/>
        <a:ext cx="9712440" cy="348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200160</xdr:colOff>
      <xdr:row>529</xdr:row>
      <xdr:rowOff>137520</xdr:rowOff>
    </xdr:from>
    <xdr:to>
      <xdr:col>18</xdr:col>
      <xdr:colOff>165960</xdr:colOff>
      <xdr:row>555</xdr:row>
      <xdr:rowOff>19440</xdr:rowOff>
    </xdr:to>
    <xdr:graphicFrame>
      <xdr:nvGraphicFramePr>
        <xdr:cNvPr id="228" name="Diagramm 18"/>
        <xdr:cNvGraphicFramePr/>
      </xdr:nvGraphicFramePr>
      <xdr:xfrm>
        <a:off x="200160" y="80406720"/>
        <a:ext cx="9859680" cy="38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47520</xdr:colOff>
      <xdr:row>590</xdr:row>
      <xdr:rowOff>24840</xdr:rowOff>
    </xdr:from>
    <xdr:to>
      <xdr:col>17</xdr:col>
      <xdr:colOff>399600</xdr:colOff>
      <xdr:row>615</xdr:row>
      <xdr:rowOff>45360</xdr:rowOff>
    </xdr:to>
    <xdr:graphicFrame>
      <xdr:nvGraphicFramePr>
        <xdr:cNvPr id="231" name="Diagramm 19"/>
        <xdr:cNvGraphicFramePr/>
      </xdr:nvGraphicFramePr>
      <xdr:xfrm>
        <a:off x="47520" y="89478000"/>
        <a:ext cx="9783000" cy="359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47520</xdr:colOff>
      <xdr:row>560</xdr:row>
      <xdr:rowOff>116280</xdr:rowOff>
    </xdr:from>
    <xdr:to>
      <xdr:col>17</xdr:col>
      <xdr:colOff>408960</xdr:colOff>
      <xdr:row>583</xdr:row>
      <xdr:rowOff>93240</xdr:rowOff>
    </xdr:to>
    <xdr:graphicFrame>
      <xdr:nvGraphicFramePr>
        <xdr:cNvPr id="234" name="Diagramm 20"/>
        <xdr:cNvGraphicFramePr/>
      </xdr:nvGraphicFramePr>
      <xdr:xfrm>
        <a:off x="47520" y="85048920"/>
        <a:ext cx="9792360" cy="349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47520</xdr:colOff>
      <xdr:row>68</xdr:row>
      <xdr:rowOff>201960</xdr:rowOff>
    </xdr:from>
    <xdr:to>
      <xdr:col>17</xdr:col>
      <xdr:colOff>333000</xdr:colOff>
      <xdr:row>91</xdr:row>
      <xdr:rowOff>169560</xdr:rowOff>
    </xdr:to>
    <xdr:graphicFrame>
      <xdr:nvGraphicFramePr>
        <xdr:cNvPr id="237" name="Diagramm 21"/>
        <xdr:cNvGraphicFramePr/>
      </xdr:nvGraphicFramePr>
      <xdr:xfrm>
        <a:off x="47520" y="10593720"/>
        <a:ext cx="9716400" cy="350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118080</xdr:colOff>
      <xdr:row>106</xdr:row>
      <xdr:rowOff>229320</xdr:rowOff>
    </xdr:from>
    <xdr:to>
      <xdr:col>17</xdr:col>
      <xdr:colOff>428400</xdr:colOff>
      <xdr:row>131</xdr:row>
      <xdr:rowOff>25560</xdr:rowOff>
    </xdr:to>
    <xdr:graphicFrame>
      <xdr:nvGraphicFramePr>
        <xdr:cNvPr id="240" name="Diagramm 22"/>
        <xdr:cNvGraphicFramePr/>
      </xdr:nvGraphicFramePr>
      <xdr:xfrm>
        <a:off x="118080" y="16385040"/>
        <a:ext cx="9741240" cy="373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51480</xdr:colOff>
      <xdr:row>145</xdr:row>
      <xdr:rowOff>134640</xdr:rowOff>
    </xdr:from>
    <xdr:to>
      <xdr:col>17</xdr:col>
      <xdr:colOff>428400</xdr:colOff>
      <xdr:row>170</xdr:row>
      <xdr:rowOff>68040</xdr:rowOff>
    </xdr:to>
    <xdr:graphicFrame>
      <xdr:nvGraphicFramePr>
        <xdr:cNvPr id="243" name="Diagramm 23"/>
        <xdr:cNvGraphicFramePr/>
      </xdr:nvGraphicFramePr>
      <xdr:xfrm>
        <a:off x="51480" y="22261680"/>
        <a:ext cx="980784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123840</xdr:colOff>
      <xdr:row>171</xdr:row>
      <xdr:rowOff>11160</xdr:rowOff>
    </xdr:from>
    <xdr:to>
      <xdr:col>17</xdr:col>
      <xdr:colOff>399600</xdr:colOff>
      <xdr:row>194</xdr:row>
      <xdr:rowOff>117000</xdr:rowOff>
    </xdr:to>
    <xdr:graphicFrame>
      <xdr:nvGraphicFramePr>
        <xdr:cNvPr id="246" name="Diagramm 24"/>
        <xdr:cNvGraphicFramePr/>
      </xdr:nvGraphicFramePr>
      <xdr:xfrm>
        <a:off x="123840" y="26069760"/>
        <a:ext cx="9706680" cy="347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89640</xdr:colOff>
      <xdr:row>202</xdr:row>
      <xdr:rowOff>21960</xdr:rowOff>
    </xdr:from>
    <xdr:to>
      <xdr:col>17</xdr:col>
      <xdr:colOff>409320</xdr:colOff>
      <xdr:row>227</xdr:row>
      <xdr:rowOff>107280</xdr:rowOff>
    </xdr:to>
    <xdr:graphicFrame>
      <xdr:nvGraphicFramePr>
        <xdr:cNvPr id="249" name="Diagramm 25"/>
        <xdr:cNvGraphicFramePr/>
      </xdr:nvGraphicFramePr>
      <xdr:xfrm>
        <a:off x="89640" y="30844080"/>
        <a:ext cx="9750600" cy="372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60840</xdr:colOff>
      <xdr:row>265</xdr:row>
      <xdr:rowOff>115560</xdr:rowOff>
    </xdr:from>
    <xdr:to>
      <xdr:col>17</xdr:col>
      <xdr:colOff>428040</xdr:colOff>
      <xdr:row>291</xdr:row>
      <xdr:rowOff>126720</xdr:rowOff>
    </xdr:to>
    <xdr:graphicFrame>
      <xdr:nvGraphicFramePr>
        <xdr:cNvPr id="252" name="Diagramm 26"/>
        <xdr:cNvGraphicFramePr/>
      </xdr:nvGraphicFramePr>
      <xdr:xfrm>
        <a:off x="60840" y="40321080"/>
        <a:ext cx="979812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57240</xdr:colOff>
      <xdr:row>293</xdr:row>
      <xdr:rowOff>129240</xdr:rowOff>
    </xdr:from>
    <xdr:to>
      <xdr:col>17</xdr:col>
      <xdr:colOff>399960</xdr:colOff>
      <xdr:row>315</xdr:row>
      <xdr:rowOff>107280</xdr:rowOff>
    </xdr:to>
    <xdr:graphicFrame>
      <xdr:nvGraphicFramePr>
        <xdr:cNvPr id="255" name="Diagramm 27"/>
        <xdr:cNvGraphicFramePr/>
      </xdr:nvGraphicFramePr>
      <xdr:xfrm>
        <a:off x="57240" y="44424360"/>
        <a:ext cx="9773640" cy="351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70560</xdr:colOff>
      <xdr:row>368</xdr:row>
      <xdr:rowOff>144720</xdr:rowOff>
    </xdr:from>
    <xdr:to>
      <xdr:col>17</xdr:col>
      <xdr:colOff>462600</xdr:colOff>
      <xdr:row>392</xdr:row>
      <xdr:rowOff>144360</xdr:rowOff>
    </xdr:to>
    <xdr:graphicFrame>
      <xdr:nvGraphicFramePr>
        <xdr:cNvPr id="258" name="Diagramm 28"/>
        <xdr:cNvGraphicFramePr/>
      </xdr:nvGraphicFramePr>
      <xdr:xfrm>
        <a:off x="70560" y="55923120"/>
        <a:ext cx="9822960" cy="354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32400</xdr:colOff>
      <xdr:row>451</xdr:row>
      <xdr:rowOff>39240</xdr:rowOff>
    </xdr:from>
    <xdr:to>
      <xdr:col>17</xdr:col>
      <xdr:colOff>399600</xdr:colOff>
      <xdr:row>477</xdr:row>
      <xdr:rowOff>3600</xdr:rowOff>
    </xdr:to>
    <xdr:graphicFrame>
      <xdr:nvGraphicFramePr>
        <xdr:cNvPr id="261" name="Diagramm 29"/>
        <xdr:cNvGraphicFramePr/>
      </xdr:nvGraphicFramePr>
      <xdr:xfrm>
        <a:off x="32400" y="68562720"/>
        <a:ext cx="979812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99000</xdr:colOff>
      <xdr:row>498</xdr:row>
      <xdr:rowOff>114120</xdr:rowOff>
    </xdr:from>
    <xdr:to>
      <xdr:col>17</xdr:col>
      <xdr:colOff>418680</xdr:colOff>
      <xdr:row>524</xdr:row>
      <xdr:rowOff>156960</xdr:rowOff>
    </xdr:to>
    <xdr:graphicFrame>
      <xdr:nvGraphicFramePr>
        <xdr:cNvPr id="264" name="Diagramm 30"/>
        <xdr:cNvGraphicFramePr/>
      </xdr:nvGraphicFramePr>
      <xdr:xfrm>
        <a:off x="99000" y="75687480"/>
        <a:ext cx="9750600" cy="380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28440</xdr:colOff>
      <xdr:row>319</xdr:row>
      <xdr:rowOff>90720</xdr:rowOff>
    </xdr:from>
    <xdr:to>
      <xdr:col>17</xdr:col>
      <xdr:colOff>399600</xdr:colOff>
      <xdr:row>343</xdr:row>
      <xdr:rowOff>68760</xdr:rowOff>
    </xdr:to>
    <xdr:graphicFrame>
      <xdr:nvGraphicFramePr>
        <xdr:cNvPr id="267" name="Diagramm 31"/>
        <xdr:cNvGraphicFramePr/>
      </xdr:nvGraphicFramePr>
      <xdr:xfrm>
        <a:off x="28440" y="48491640"/>
        <a:ext cx="9802080" cy="35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43560</xdr:colOff>
      <xdr:row>406</xdr:row>
      <xdr:rowOff>137520</xdr:rowOff>
    </xdr:from>
    <xdr:to>
      <xdr:col>17</xdr:col>
      <xdr:colOff>390240</xdr:colOff>
      <xdr:row>432</xdr:row>
      <xdr:rowOff>70200</xdr:rowOff>
    </xdr:to>
    <xdr:graphicFrame>
      <xdr:nvGraphicFramePr>
        <xdr:cNvPr id="270" name="Diagramm 32"/>
        <xdr:cNvGraphicFramePr/>
      </xdr:nvGraphicFramePr>
      <xdr:xfrm>
        <a:off x="43560" y="61757280"/>
        <a:ext cx="9777600" cy="379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0.0372868791697554</cdr:x>
      <cdr:y>0.118722876627402</cdr:y>
    </cdr:from>
    <cdr:to>
      <cdr:x>0.385285396590067</cdr:x>
      <cdr:y>0.921161396982848</cdr:y>
    </cdr:to>
    <cdr:sp>
      <cdr:nvSpPr>
        <cdr:cNvPr id="226" name="Rechteck 1"/>
        <cdr:cNvSpPr/>
      </cdr:nvSpPr>
      <cdr:spPr>
        <a:xfrm>
          <a:off x="362160" y="413640"/>
          <a:ext cx="3380040" cy="279576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0.863973313565604</cdr:x>
      <cdr:y>0.902252531514776</cdr:y>
    </cdr:from>
    <cdr:to>
      <cdr:x>0.987842846553002</cdr:x>
      <cdr:y>0.988943996693532</cdr:y>
    </cdr:to>
    <cdr:sp>
      <cdr:nvSpPr>
        <cdr:cNvPr id="227" name="Textfeld 2"/>
        <cdr:cNvSpPr/>
      </cdr:nvSpPr>
      <cdr:spPr>
        <a:xfrm>
          <a:off x="8391600" y="3143520"/>
          <a:ext cx="1203120" cy="302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de-DE" sz="1100" strike="noStrike" u="none">
              <a:effectLst/>
              <a:uFillTx/>
              <a:latin typeface="Times New Roman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0.037460294278725</cdr:x>
      <cdr:y>0.110693478669423</cdr:y>
    </cdr:from>
    <cdr:to>
      <cdr:x>0.383000474643105</cdr:x>
      <cdr:y>0.915523397857546</cdr:y>
    </cdr:to>
    <cdr:sp>
      <cdr:nvSpPr>
        <cdr:cNvPr id="229" name="Rechteck 1"/>
        <cdr:cNvSpPr/>
      </cdr:nvSpPr>
      <cdr:spPr>
        <a:xfrm>
          <a:off x="369360" y="424080"/>
          <a:ext cx="3407040" cy="308340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0.850779510022272</cdr:x>
      <cdr:y>0.885923698552904</cdr:y>
    </cdr:from>
    <cdr:to>
      <cdr:x>0.982365183102706</cdr:x>
      <cdr:y>0.972749483179853</cdr:y>
    </cdr:to>
    <cdr:sp>
      <cdr:nvSpPr>
        <cdr:cNvPr id="230" name="Textfeld 1"/>
        <cdr:cNvSpPr/>
      </cdr:nvSpPr>
      <cdr:spPr>
        <a:xfrm>
          <a:off x="8388720" y="3394080"/>
          <a:ext cx="1297440" cy="3326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0.0363924050632911</cdr:x>
      <cdr:y>0.118837675350701</cdr:y>
    </cdr:from>
    <cdr:to>
      <cdr:x>0.386296732410951</cdr:x>
      <cdr:y>0.923647294589178</cdr:y>
    </cdr:to>
    <cdr:sp>
      <cdr:nvSpPr>
        <cdr:cNvPr id="232" name="Rechteck 1"/>
        <cdr:cNvSpPr/>
      </cdr:nvSpPr>
      <cdr:spPr>
        <a:xfrm>
          <a:off x="356040" y="426960"/>
          <a:ext cx="3423240" cy="289152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0.84865322343244</cdr:x>
      <cdr:y>0.915531062124249</cdr:y>
    </cdr:from>
    <cdr:to>
      <cdr:x>0.98023991757433</cdr:x>
      <cdr:y>0.999799599198397</cdr:y>
    </cdr:to>
    <cdr:sp>
      <cdr:nvSpPr>
        <cdr:cNvPr id="233" name="Textfeld 1"/>
        <cdr:cNvSpPr/>
      </cdr:nvSpPr>
      <cdr:spPr>
        <a:xfrm>
          <a:off x="8302680" y="3289320"/>
          <a:ext cx="1287360" cy="302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0.0353282846849496</cdr:x>
      <cdr:y>0.118876080691643</cdr:y>
    </cdr:from>
    <cdr:to>
      <cdr:x>0.38629512535843</cdr:x>
      <cdr:y>0.923631123919308</cdr:y>
    </cdr:to>
    <cdr:sp>
      <cdr:nvSpPr>
        <cdr:cNvPr id="235" name="Rechteck 1"/>
        <cdr:cNvSpPr/>
      </cdr:nvSpPr>
      <cdr:spPr>
        <a:xfrm>
          <a:off x="345960" y="415800"/>
          <a:ext cx="3436920" cy="2814840"/>
        </a:xfrm>
        <a:prstGeom prst="rect">
          <a:avLst/>
        </a:prstGeom>
        <a:solidFill>
          <a:srgbClr val="808080">
            <a:alpha val="11000"/>
          </a:srgb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0.851849128740534</cdr:x>
      <cdr:y>0.879168382050226</cdr:y>
    </cdr:from>
    <cdr:to>
      <cdr:x>0.98345709874274</cdr:x>
      <cdr:y>0.965006175380815</cdr:y>
    </cdr:to>
    <cdr:sp>
      <cdr:nvSpPr>
        <cdr:cNvPr id="236" name="Textfeld 1"/>
        <cdr:cNvSpPr/>
      </cdr:nvSpPr>
      <cdr:spPr>
        <a:xfrm>
          <a:off x="8341920" y="3075120"/>
          <a:ext cx="1288800" cy="300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0.0374198807009744</cdr:x>
      <cdr:y>0.116020963929709</cdr:y>
    </cdr:from>
    <cdr:to>
      <cdr:x>0.390871031084436</cdr:x>
      <cdr:y>0.918405097112321</cdr:y>
    </cdr:to>
    <cdr:sp>
      <cdr:nvSpPr>
        <cdr:cNvPr id="238" name="Rechteck 1"/>
        <cdr:cNvSpPr/>
      </cdr:nvSpPr>
      <cdr:spPr>
        <a:xfrm>
          <a:off x="363600" y="406440"/>
          <a:ext cx="3434400" cy="28108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0.85532214441851</cdr:x>
      <cdr:y>0.894461000924879</cdr:y>
    </cdr:from>
    <cdr:to>
      <cdr:x>0.98629172687192</cdr:x>
      <cdr:y>0.981399650601172</cdr:y>
    </cdr:to>
    <cdr:sp>
      <cdr:nvSpPr>
        <cdr:cNvPr id="239" name="Textfeld 1"/>
        <cdr:cNvSpPr/>
      </cdr:nvSpPr>
      <cdr:spPr>
        <a:xfrm>
          <a:off x="8310960" y="3133440"/>
          <a:ext cx="12726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8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0.0373983739837398</cdr:x>
      <cdr:y>0.116041284846146</cdr:y>
    </cdr:from>
    <cdr:to>
      <cdr:x>0.371286031042129</cdr:x>
      <cdr:y>0.918491366837079</cdr:y>
    </cdr:to>
    <cdr:sp>
      <cdr:nvSpPr>
        <cdr:cNvPr id="241" name="Rechteck 1"/>
        <cdr:cNvSpPr/>
      </cdr:nvSpPr>
      <cdr:spPr>
        <a:xfrm>
          <a:off x="364320" y="433080"/>
          <a:ext cx="3252600" cy="299484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0.836548410938655</cdr:x>
      <cdr:y>0.891386129063374</cdr:y>
    </cdr:from>
    <cdr:to>
      <cdr:x>0.977679231337768</cdr:x>
      <cdr:y>0.978489437638661</cdr:y>
    </cdr:to>
    <cdr:sp>
      <cdr:nvSpPr>
        <cdr:cNvPr id="242" name="Textfeld 1"/>
        <cdr:cNvSpPr/>
      </cdr:nvSpPr>
      <cdr:spPr>
        <a:xfrm>
          <a:off x="8149320" y="3326760"/>
          <a:ext cx="1374840" cy="3250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0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0.0374013580473481</cdr:x>
      <cdr:y>0.11605415860735</cdr:y>
    </cdr:from>
    <cdr:to>
      <cdr:x>0.396549825656084</cdr:x>
      <cdr:y>0.918471953578337</cdr:y>
    </cdr:to>
    <cdr:sp>
      <cdr:nvSpPr>
        <cdr:cNvPr id="244" name="Rechteck 1"/>
        <cdr:cNvSpPr/>
      </cdr:nvSpPr>
      <cdr:spPr>
        <a:xfrm>
          <a:off x="366840" y="432000"/>
          <a:ext cx="352260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0.843420811158011</cdr:x>
      <cdr:y>0.884042553191489</cdr:y>
    </cdr:from>
    <cdr:to>
      <cdr:x>0.984510919434759</cdr:x>
      <cdr:y>0.972630560928433</cdr:y>
    </cdr:to>
    <cdr:sp>
      <cdr:nvSpPr>
        <cdr:cNvPr id="245" name="Textfeld 1"/>
        <cdr:cNvSpPr/>
      </cdr:nvSpPr>
      <cdr:spPr>
        <a:xfrm>
          <a:off x="8272440" y="3290760"/>
          <a:ext cx="138384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1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0.0374202640557781</cdr:x>
      <cdr:y>0.116038126813096</cdr:y>
    </cdr:from>
    <cdr:to>
      <cdr:x>0.396565791425605</cdr:x>
      <cdr:y>0.918462494819727</cdr:y>
    </cdr:to>
    <cdr:sp>
      <cdr:nvSpPr>
        <cdr:cNvPr id="247" name="Rechteck 1"/>
        <cdr:cNvSpPr/>
      </cdr:nvSpPr>
      <cdr:spPr>
        <a:xfrm>
          <a:off x="363240" y="403200"/>
          <a:ext cx="3486240" cy="27882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0.840008900756564</cdr:x>
      <cdr:y>0.885308744301699</cdr:y>
    </cdr:from>
    <cdr:to>
      <cdr:x>0.98112297878653</cdr:x>
      <cdr:y>0.972958972233734</cdr:y>
    </cdr:to>
    <cdr:sp>
      <cdr:nvSpPr>
        <cdr:cNvPr id="248" name="Textfeld 1"/>
        <cdr:cNvSpPr/>
      </cdr:nvSpPr>
      <cdr:spPr>
        <a:xfrm>
          <a:off x="8154000" y="3076200"/>
          <a:ext cx="1369800" cy="3045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0.11605415860735</cdr:y>
    </cdr:from>
    <cdr:to>
      <cdr:x>0.396551724137931</cdr:x>
      <cdr:y>0.918471953578337</cdr:y>
    </cdr:to>
    <cdr:sp>
      <cdr:nvSpPr>
        <cdr:cNvPr id="250" name="Rechteck 1"/>
        <cdr:cNvSpPr/>
      </cdr:nvSpPr>
      <cdr:spPr>
        <a:xfrm>
          <a:off x="364680" y="432000"/>
          <a:ext cx="3502080" cy="29869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0.842280144724212</cdr:x>
      <cdr:y>0.87852998065764</cdr:y>
    </cdr:from>
    <cdr:to>
      <cdr:x>0.983386251199882</cdr:x>
      <cdr:y>0.967117988394584</cdr:y>
    </cdr:to>
    <cdr:sp>
      <cdr:nvSpPr>
        <cdr:cNvPr id="251" name="Textfeld 1"/>
        <cdr:cNvSpPr/>
      </cdr:nvSpPr>
      <cdr:spPr>
        <a:xfrm>
          <a:off x="8213040" y="3270240"/>
          <a:ext cx="1375920" cy="329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0.116011048671302</cdr:y>
    </cdr:from>
    <cdr:to>
      <cdr:x>0.391946505988684</cdr:x>
      <cdr:y>0.91846842556434</cdr:y>
    </cdr:to>
    <cdr:sp>
      <cdr:nvSpPr>
        <cdr:cNvPr id="253" name="Rechteck 1"/>
        <cdr:cNvSpPr/>
      </cdr:nvSpPr>
      <cdr:spPr>
        <a:xfrm>
          <a:off x="366480" y="438480"/>
          <a:ext cx="3474000" cy="30330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0.83540304210449</cdr:x>
      <cdr:y>0.881988760834365</cdr:y>
    </cdr:from>
    <cdr:to>
      <cdr:x>0.976522889264457</cdr:x>
      <cdr:y>0.970092389751405</cdr:y>
    </cdr:to>
    <cdr:sp>
      <cdr:nvSpPr>
        <cdr:cNvPr id="254" name="Textfeld 1"/>
        <cdr:cNvSpPr/>
      </cdr:nvSpPr>
      <cdr:spPr>
        <a:xfrm>
          <a:off x="8185680" y="3333600"/>
          <a:ext cx="1382760" cy="333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0.0374217311233886</cdr:x>
      <cdr:y>0.116007378561181</cdr:y>
    </cdr:from>
    <cdr:to>
      <cdr:x>0.391270718232044</cdr:x>
      <cdr:y>0.918425906948145</cdr:y>
    </cdr:to>
    <cdr:sp>
      <cdr:nvSpPr>
        <cdr:cNvPr id="256" name="Rechteck 1"/>
        <cdr:cNvSpPr/>
      </cdr:nvSpPr>
      <cdr:spPr>
        <a:xfrm>
          <a:off x="365760" y="407520"/>
          <a:ext cx="3458520" cy="28188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0.845745856353591</cdr:x>
      <cdr:y>0.879790940766551</cdr:y>
    </cdr:from>
    <cdr:to>
      <cdr:x>0.986850828729282</cdr:x>
      <cdr:y>0.967411354785817</cdr:y>
    </cdr:to>
    <cdr:sp>
      <cdr:nvSpPr>
        <cdr:cNvPr id="257" name="Textfeld 1"/>
        <cdr:cNvSpPr/>
      </cdr:nvSpPr>
      <cdr:spPr>
        <a:xfrm>
          <a:off x="8266320" y="3090600"/>
          <a:ext cx="1379160" cy="3078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0.0374170850588192</cdr:x>
      <cdr:y>0.115990647555149</cdr:y>
    </cdr:from>
    <cdr:to>
      <cdr:x>0.39656246564298</cdr:x>
      <cdr:y>0.918369421571617</cdr:y>
    </cdr:to>
    <cdr:sp>
      <cdr:nvSpPr>
        <cdr:cNvPr id="259" name="Rechteck 1"/>
        <cdr:cNvSpPr/>
      </cdr:nvSpPr>
      <cdr:spPr>
        <a:xfrm>
          <a:off x="367560" y="410760"/>
          <a:ext cx="3528000" cy="28414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0.839997068200975</cdr:x>
      <cdr:y>0.885940835620616</cdr:y>
    </cdr:from>
    <cdr:to>
      <cdr:x>0.98108989628761</cdr:x>
      <cdr:y>0.973569177594795</cdr:y>
    </cdr:to>
    <cdr:sp>
      <cdr:nvSpPr>
        <cdr:cNvPr id="260" name="Textfeld 1"/>
        <cdr:cNvSpPr/>
      </cdr:nvSpPr>
      <cdr:spPr>
        <a:xfrm>
          <a:off x="8251560" y="3137400"/>
          <a:ext cx="1386000" cy="3103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0.0374017194503637</cdr:x>
      <cdr:y>0.116011048671302</cdr:y>
    </cdr:from>
    <cdr:to>
      <cdr:x>0.396539055037108</cdr:x>
      <cdr:y>0.91846842556434</cdr:y>
    </cdr:to>
    <cdr:sp>
      <cdr:nvSpPr>
        <cdr:cNvPr id="262" name="Rechteck 1"/>
        <cdr:cNvSpPr/>
      </cdr:nvSpPr>
      <cdr:spPr>
        <a:xfrm>
          <a:off x="366480" y="438480"/>
          <a:ext cx="3519000" cy="303300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0.830810493056066</cdr:x>
      <cdr:y>0.885989141823031</cdr:y>
    </cdr:from>
    <cdr:to>
      <cdr:x>0.971930340216034</cdr:x>
      <cdr:y>0.973616534908087</cdr:y>
    </cdr:to>
    <cdr:sp>
      <cdr:nvSpPr>
        <cdr:cNvPr id="263" name="Textfeld 1"/>
        <cdr:cNvSpPr/>
      </cdr:nvSpPr>
      <cdr:spPr>
        <a:xfrm>
          <a:off x="8140680" y="3348720"/>
          <a:ext cx="1382760" cy="331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0.0373993945211548</cdr:x>
      <cdr:y>0.115995462280204</cdr:y>
    </cdr:from>
    <cdr:to>
      <cdr:x>0.395407221442812</cdr:x>
      <cdr:y>0.918415579504632</cdr:y>
    </cdr:to>
    <cdr:sp>
      <cdr:nvSpPr>
        <cdr:cNvPr id="265" name="Rechteck 1"/>
        <cdr:cNvSpPr/>
      </cdr:nvSpPr>
      <cdr:spPr>
        <a:xfrm>
          <a:off x="364680" y="441720"/>
          <a:ext cx="3490920" cy="30556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0.836557631248616</cdr:x>
      <cdr:y>0.891094724900737</cdr:y>
    </cdr:from>
    <cdr:to>
      <cdr:x>0.977663737724286</cdr:x>
      <cdr:y>0.976838721875591</cdr:y>
    </cdr:to>
    <cdr:sp>
      <cdr:nvSpPr>
        <cdr:cNvPr id="266" name="Textfeld 1"/>
        <cdr:cNvSpPr/>
      </cdr:nvSpPr>
      <cdr:spPr>
        <a:xfrm>
          <a:off x="8157240" y="3393360"/>
          <a:ext cx="1375920" cy="32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0.0374233354144478</cdr:x>
      <cdr:y>0.115992253592906</cdr:y>
    </cdr:from>
    <cdr:to>
      <cdr:x>0.384185978185023</cdr:x>
      <cdr:y>0.918458872693915</cdr:y>
    </cdr:to>
    <cdr:sp>
      <cdr:nvSpPr>
        <cdr:cNvPr id="268" name="Rechteck 1"/>
        <cdr:cNvSpPr/>
      </cdr:nvSpPr>
      <cdr:spPr>
        <a:xfrm>
          <a:off x="366840" y="409680"/>
          <a:ext cx="3399120" cy="283428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  <cdr:relSizeAnchor>
    <cdr:from>
      <cdr:x>0.836534577105292</cdr:x>
      <cdr:y>0.868922637855468</cdr:y>
    </cdr:from>
    <cdr:to>
      <cdr:x>0.977670865621213</cdr:x>
      <cdr:y>0.95657934970951</cdr:y>
    </cdr:to>
    <cdr:sp>
      <cdr:nvSpPr>
        <cdr:cNvPr id="269" name="Textfeld 1"/>
        <cdr:cNvSpPr/>
      </cdr:nvSpPr>
      <cdr:spPr>
        <a:xfrm>
          <a:off x="8200080" y="3069000"/>
          <a:ext cx="1383480" cy="3096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de-DE" sz="1100" strike="noStrike" u="none">
              <a:effectLst/>
              <a:uFillTx/>
              <a:latin typeface="Calibri"/>
            </a:rPr>
            <a:t>© 2012 J Randers</a:t>
          </a:r>
          <a:endParaRPr b="0" sz="1100" strike="noStrike" u="none">
            <a:effectLst/>
            <a:uFillTx/>
            <a:latin typeface="Times New Roman"/>
          </a:endParaRPr>
        </a:p>
      </cdr:txBody>
    </cdr:sp>
  </cdr:relSizeAnchor>
</c:userShapes>
</file>

<file path=xl/drawings/drawing9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0.0374065756047274</cdr:x>
      <cdr:y>0.11600796133068</cdr:y>
    </cdr:from>
    <cdr:to>
      <cdr:x>0.396561245904054</cdr:x>
      <cdr:y>0.918491138280732</cdr:y>
    </cdr:to>
    <cdr:sp>
      <cdr:nvSpPr>
        <cdr:cNvPr id="271" name="Rechteck 1"/>
        <cdr:cNvSpPr/>
      </cdr:nvSpPr>
      <cdr:spPr>
        <a:xfrm>
          <a:off x="365760" y="440640"/>
          <a:ext cx="3511800" cy="3048120"/>
        </a:xfrm>
        <a:prstGeom prst="rect">
          <a:avLst/>
        </a:prstGeom>
        <a:solidFill>
          <a:schemeClr val="lt1">
            <a:lumMod val="50000"/>
            <a:alpha val="11000"/>
          </a:schemeClr>
        </a:solidFill>
        <a:ln w="25400">
          <a:noFill/>
        </a:ln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cdr:style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Larissa-Design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42578125" defaultRowHeight="15" customHeight="true" zeroHeight="false" outlineLevelRow="0" outlineLevelCol="0"/>
  <sheetData>
    <row r="1" customFormat="false" ht="15" hidden="false" customHeight="false" outlineLevel="0" collapsed="false">
      <c r="A1" s="1" t="str">
        <f aca="false"> SumWorld!A1</f>
        <v> Prezado(a) usuário(a): Esta é a versão de 7 de novembro de 2014, às 11h, da planilha de 2052 de Ulrich Goluke (2052@blue-way.net)</v>
      </c>
    </row>
    <row r="3" customFormat="false" ht="15" hidden="false" customHeight="false" outlineLevel="0" collapsed="false">
      <c r="A3" s="0" t="s">
        <v>0</v>
      </c>
    </row>
    <row r="4" customFormat="false" ht="15" hidden="false" customHeight="false" outlineLevel="0" collapsed="false">
      <c r="A4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2" t="s">
        <v>6</v>
      </c>
      <c r="B9" s="2"/>
      <c r="C9" s="3"/>
      <c r="D9" s="4" t="s">
        <v>7</v>
      </c>
      <c r="E9" s="5"/>
    </row>
    <row r="10" customFormat="false" ht="15" hidden="false" customHeight="false" outlineLevel="0" collapsed="false">
      <c r="A10" s="6" t="s">
        <v>8</v>
      </c>
      <c r="B10" s="7"/>
      <c r="C10" s="3"/>
      <c r="D10" s="8" t="s">
        <v>9</v>
      </c>
      <c r="E10" s="8"/>
    </row>
    <row r="11" customFormat="false" ht="15" hidden="false" customHeight="false" outlineLevel="0" collapsed="false">
      <c r="A11" s="9" t="s">
        <v>10</v>
      </c>
      <c r="B11" s="9"/>
      <c r="C11" s="3"/>
      <c r="D11" s="10" t="s">
        <v>11</v>
      </c>
      <c r="E11" s="10"/>
    </row>
    <row r="13" customFormat="false" ht="15" hidden="false" customHeight="false" outlineLevel="0" collapsed="false">
      <c r="A13" s="0" t="s">
        <v>12</v>
      </c>
    </row>
  </sheetData>
  <sheetProtection sheet="true" password="dbc0" objects="true" scenarios="true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CommandButton1">
              <controlPr defaultSize="0" print="true" autoFill="0" autoPict="0">
                <anchor moveWithCells="true" sizeWithCells="false">
                  <from>
                    <xdr:col>28</xdr:col>
                    <xdr:colOff>7560</xdr:colOff>
                    <xdr:row>1</xdr:row>
                    <xdr:rowOff>9720</xdr:rowOff>
                  </from>
                  <to>
                    <xdr:col>29</xdr:col>
                    <xdr:colOff>0</xdr:colOff>
                    <xdr:row>3</xdr:row>
                    <xdr:rowOff>16920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8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2.14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tr">
        <f aca="false"> SumWorld!A1</f>
        <v>Prezado(a) usuário(a): Esta é a versão de 7 de novembro de 2014, às 11h, da planilha de 2052 de Ulrich Goluke (2052@blue-way.net)</v>
      </c>
      <c r="T1" s="13"/>
    </row>
    <row r="2" customFormat="false" ht="15" hidden="false" customHeight="false" outlineLevel="0" collapsed="false">
      <c r="A2" s="1" t="str">
        <f aca="false"> SumWorld!A2</f>
        <v> Prezado(a) usuário(a): O lado esquerdo desta planilha contém os dados numéricos e os gráficos que você também encontra no livro de 2052.</v>
      </c>
      <c r="T2" s="13"/>
      <c r="U2" s="1" t="str">
        <f aca="false"> SumWorld!U2</f>
        <v> Prezado(a) usuário(a): Os cálculos nesta parte à direita da planilha garantem o dimensionamento correto dos gráficos.</v>
      </c>
    </row>
    <row r="3" customFormat="false" ht="15" hidden="false" customHeight="false" outlineLevel="0" collapsed="false">
      <c r="A3" s="14"/>
      <c r="T3" s="13"/>
      <c r="U3" s="1" t="str">
        <f aca="false"> SumWorld!U3</f>
        <v> Contém também a fonte dos dados históricos.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U4" s="16"/>
    </row>
    <row r="5" customFormat="false" ht="17.35" hidden="false" customHeight="false" outlineLevel="0" collapsed="false">
      <c r="A5" s="17" t="s">
        <v>14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U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M6" s="10" t="s">
        <v>11</v>
      </c>
      <c r="N6" s="10"/>
      <c r="O6" s="10"/>
      <c r="P6" s="10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 Gráfico 1. População - EUA, de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16</v>
      </c>
      <c r="B9" s="26" t="n">
        <v>212.243475</v>
      </c>
      <c r="C9" s="26" t="n">
        <v>222.133059</v>
      </c>
      <c r="D9" s="26" t="n">
        <v>233.119438</v>
      </c>
      <c r="E9" s="26" t="n">
        <v>244.603821</v>
      </c>
      <c r="F9" s="26" t="n">
        <v>256.971165</v>
      </c>
      <c r="G9" s="26" t="n">
        <v>270.132353</v>
      </c>
      <c r="H9" s="26" t="n">
        <v>286.419174</v>
      </c>
      <c r="I9" s="26" t="n">
        <v>300.711645</v>
      </c>
      <c r="J9" s="26" t="n">
        <v>314.242013</v>
      </c>
      <c r="K9" s="27" t="n">
        <f aca="false">J9+(J10-J11)*5</f>
        <v>322.559515897</v>
      </c>
      <c r="L9" s="27" t="n">
        <f aca="false">K9+(K10-K11)*5</f>
        <v>329.631882282179</v>
      </c>
      <c r="M9" s="27" t="n">
        <f aca="false">L9+(L10-L11)*5</f>
        <v>335.654849742529</v>
      </c>
      <c r="N9" s="27" t="n">
        <f aca="false">M9+(M10-M11)*5</f>
        <v>340.261054923548</v>
      </c>
      <c r="O9" s="27" t="n">
        <f aca="false">N9+(N10-N11)*5</f>
        <v>343.10314656863</v>
      </c>
      <c r="P9" s="27" t="n">
        <f aca="false">O9+(O10-O11)*5</f>
        <v>344.017563225874</v>
      </c>
      <c r="Q9" s="27" t="n">
        <f aca="false">P9+(P10-P11)*5</f>
        <v>343.151676751897</v>
      </c>
      <c r="R9" s="27" t="n">
        <f aca="false">Q9+(Q10-Q11)*5</f>
        <v>340.817218749119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19</v>
      </c>
      <c r="B10" s="30" t="n">
        <v>3.4435702</v>
      </c>
      <c r="C10" s="30" t="n">
        <v>3.4555056</v>
      </c>
      <c r="D10" s="30" t="n">
        <v>3.7199186</v>
      </c>
      <c r="E10" s="30" t="n">
        <v>3.936335</v>
      </c>
      <c r="F10" s="30" t="n">
        <v>4.030714</v>
      </c>
      <c r="G10" s="30" t="n">
        <v>3.943802</v>
      </c>
      <c r="H10" s="30" t="n">
        <v>4.1353104</v>
      </c>
      <c r="I10" s="30" t="n">
        <v>4.2960796</v>
      </c>
      <c r="J10" s="31" t="n">
        <f aca="false">J9*J12/100</f>
        <v>4.3365397794</v>
      </c>
      <c r="K10" s="31" t="n">
        <f aca="false">K9*K12/100</f>
        <v>4.193273706661</v>
      </c>
      <c r="L10" s="31" t="n">
        <f aca="false">L9*L12/100</f>
        <v>4.12039852852723</v>
      </c>
      <c r="M10" s="31" t="n">
        <f aca="false">M9*M12/100</f>
        <v>4.02785819691034</v>
      </c>
      <c r="N10" s="31" t="n">
        <f aca="false">N9*N12/100</f>
        <v>3.9130021316208</v>
      </c>
      <c r="O10" s="31" t="n">
        <f aca="false">O9*O12/100</f>
        <v>3.77413461225493</v>
      </c>
      <c r="P10" s="31" t="n">
        <f aca="false">P9*P12/100</f>
        <v>3.61218441387168</v>
      </c>
      <c r="Q10" s="31" t="n">
        <f aca="false">Q9*Q12/100</f>
        <v>3.43151676751897</v>
      </c>
      <c r="R10" s="31" t="n">
        <f aca="false">R9*R12/100</f>
        <v>3.23776357811663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22</v>
      </c>
      <c r="B11" s="30" t="n">
        <v>1.9959064</v>
      </c>
      <c r="C11" s="30" t="n">
        <v>1.9594826</v>
      </c>
      <c r="D11" s="30" t="n">
        <v>2.0725094</v>
      </c>
      <c r="E11" s="30" t="n">
        <v>2.206858</v>
      </c>
      <c r="F11" s="30" t="n">
        <v>2.288043</v>
      </c>
      <c r="G11" s="30" t="n">
        <v>2.3846672</v>
      </c>
      <c r="H11" s="30" t="n">
        <v>2.4844</v>
      </c>
      <c r="I11" s="30" t="n">
        <v>2.5512516</v>
      </c>
      <c r="J11" s="31" t="n">
        <f aca="false">J9*J13/100</f>
        <v>2.6730392</v>
      </c>
      <c r="K11" s="31" t="n">
        <f aca="false">K9*K13/100</f>
        <v>2.77880042962526</v>
      </c>
      <c r="L11" s="31" t="n">
        <f aca="false">L9*L13/100</f>
        <v>2.91580503645726</v>
      </c>
      <c r="M11" s="31" t="n">
        <f aca="false">M9*M13/100</f>
        <v>3.10661716070641</v>
      </c>
      <c r="N11" s="31" t="n">
        <f aca="false">N9*N13/100</f>
        <v>3.34458380260448</v>
      </c>
      <c r="O11" s="31" t="n">
        <f aca="false">O9*O13/100</f>
        <v>3.59125128080605</v>
      </c>
      <c r="P11" s="31" t="n">
        <f aca="false">P9*P13/100</f>
        <v>3.78536170866716</v>
      </c>
      <c r="Q11" s="31" t="n">
        <f aca="false">Q9*Q13/100</f>
        <v>3.89840836807459</v>
      </c>
      <c r="R11" s="31" t="n">
        <f aca="false">R9*R13/100</f>
        <v>3.92839495030199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1.62246222174792</v>
      </c>
      <c r="C12" s="32" t="n">
        <f aca="false">C10/C9*100</f>
        <v>1.5556016810627</v>
      </c>
      <c r="D12" s="32" t="n">
        <f aca="false">D10/D9*100</f>
        <v>1.59571361011946</v>
      </c>
      <c r="E12" s="32" t="n">
        <f aca="false">E10/E9*100</f>
        <v>1.60926962788533</v>
      </c>
      <c r="F12" s="32" t="n">
        <f aca="false">F10/F9*100</f>
        <v>1.56854719477962</v>
      </c>
      <c r="G12" s="32" t="n">
        <f aca="false">G10/G9*100</f>
        <v>1.4599517444695</v>
      </c>
      <c r="H12" s="32" t="n">
        <f aca="false">H10/H9*100</f>
        <v>1.44379663632435</v>
      </c>
      <c r="I12" s="32" t="n">
        <f aca="false">I10/I9*100</f>
        <v>1.42863759067262</v>
      </c>
      <c r="J12" s="33" t="n">
        <v>1.38</v>
      </c>
      <c r="K12" s="33" t="n">
        <v>1.3</v>
      </c>
      <c r="L12" s="33" t="n">
        <v>1.25</v>
      </c>
      <c r="M12" s="33" t="n">
        <v>1.2</v>
      </c>
      <c r="N12" s="33" t="n">
        <v>1.15</v>
      </c>
      <c r="O12" s="33" t="n">
        <v>1.1</v>
      </c>
      <c r="P12" s="33" t="n">
        <v>1.05</v>
      </c>
      <c r="Q12" s="33" t="n">
        <v>1</v>
      </c>
      <c r="R12" s="33" t="n">
        <v>0.95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0.940385281573439</v>
      </c>
      <c r="C13" s="32" t="n">
        <f aca="false">C11/C9*100</f>
        <v>0.882121107421476</v>
      </c>
      <c r="D13" s="32" t="n">
        <f aca="false">D11/D9*100</f>
        <v>0.889033286018818</v>
      </c>
      <c r="E13" s="32" t="n">
        <f aca="false">E11/E9*100</f>
        <v>0.90221730428324</v>
      </c>
      <c r="F13" s="32" t="n">
        <f aca="false">F11/F9*100</f>
        <v>0.890389005318943</v>
      </c>
      <c r="G13" s="32" t="n">
        <f aca="false">G11/G9*100</f>
        <v>0.882777339891605</v>
      </c>
      <c r="H13" s="32" t="n">
        <f aca="false">H11/H9*100</f>
        <v>0.867400029580422</v>
      </c>
      <c r="I13" s="32" t="n">
        <f aca="false">I11/I9*100</f>
        <v>0.848404656893151</v>
      </c>
      <c r="J13" s="33" t="n">
        <v>0.850630752546764</v>
      </c>
      <c r="K13" s="33" t="n">
        <v>0.861484561042244</v>
      </c>
      <c r="L13" s="33" t="n">
        <v>0.884564022226834</v>
      </c>
      <c r="M13" s="33" t="n">
        <v>0.92553918499596</v>
      </c>
      <c r="N13" s="33" t="n">
        <v>0.98294640371228</v>
      </c>
      <c r="O13" s="33" t="n">
        <v>1.04669727361061</v>
      </c>
      <c r="P13" s="33" t="n">
        <v>1.10033966672271</v>
      </c>
      <c r="Q13" s="33" t="n">
        <v>1.13605983364994</v>
      </c>
      <c r="R13" s="33" t="n">
        <v>1.15263981224897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5"/>
      <c r="I15" s="38" t="s">
        <v>7</v>
      </c>
      <c r="J15" s="39" t="n">
        <v>1.38</v>
      </c>
      <c r="K15" s="39" t="n">
        <f aca="false">K12*0.98</f>
        <v>1.274</v>
      </c>
      <c r="L15" s="39" t="n">
        <f aca="false">L12*0.98</f>
        <v>1.225</v>
      </c>
      <c r="M15" s="39" t="n">
        <f aca="false">M12*0.98</f>
        <v>1.176</v>
      </c>
      <c r="N15" s="39" t="n">
        <f aca="false">N12*0.98</f>
        <v>1.127</v>
      </c>
      <c r="O15" s="39" t="n">
        <f aca="false">O12*0.98</f>
        <v>1.078</v>
      </c>
      <c r="P15" s="39" t="n">
        <f aca="false">P12*0.98</f>
        <v>1.029</v>
      </c>
      <c r="Q15" s="39" t="n">
        <f aca="false">Q12*0.98</f>
        <v>0.98</v>
      </c>
      <c r="R15" s="39" t="n">
        <f aca="false">R12*0.98</f>
        <v>0.931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5"/>
      <c r="I16" s="38" t="s">
        <v>7</v>
      </c>
      <c r="J16" s="39" t="n">
        <v>0.85</v>
      </c>
      <c r="K16" s="39" t="n">
        <f aca="false">K13*0.98</f>
        <v>0.844254869821399</v>
      </c>
      <c r="L16" s="39" t="n">
        <f aca="false">L13*0.98</f>
        <v>0.866872741782297</v>
      </c>
      <c r="M16" s="39" t="n">
        <f aca="false">M13*0.98</f>
        <v>0.907028401296041</v>
      </c>
      <c r="N16" s="39" t="n">
        <f aca="false">N13*0.98</f>
        <v>0.963287475638034</v>
      </c>
      <c r="O16" s="39" t="n">
        <f aca="false">O13*0.98</f>
        <v>1.02576332813839</v>
      </c>
      <c r="P16" s="39" t="n">
        <f aca="false">P13*0.98</f>
        <v>1.07833287338825</v>
      </c>
      <c r="Q16" s="39" t="n">
        <f aca="false">Q13*0.98</f>
        <v>1.11333863697694</v>
      </c>
      <c r="R16" s="39" t="n">
        <f aca="false">R13*0.98</f>
        <v>1.12958701600399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16</v>
      </c>
      <c r="J17" s="43"/>
      <c r="K17" s="44" t="n">
        <f aca="false">J9+(J18-J19)*5</f>
        <v>322.5694263445</v>
      </c>
      <c r="L17" s="44" t="n">
        <f aca="false">K17+(K18-K19)*5</f>
        <v>329.500558350303</v>
      </c>
      <c r="M17" s="44" t="n">
        <f aca="false">L17+(L18-L19)*5</f>
        <v>335.400714927463</v>
      </c>
      <c r="N17" s="44" t="n">
        <f aca="false">M17+(M18-M19)*5</f>
        <v>339.911378252487</v>
      </c>
      <c r="O17" s="44" t="n">
        <f aca="false">N17+(N18-N19)*5</f>
        <v>342.693765742141</v>
      </c>
      <c r="P17" s="44" t="n">
        <f aca="false">O17+(O18-O19)*5</f>
        <v>343.588824831645</v>
      </c>
      <c r="Q17" s="44" t="n">
        <f aca="false">P17+(P18-P19)*5</f>
        <v>342.741313631993</v>
      </c>
      <c r="R17" s="44" t="n">
        <f aca="false">Q17+(Q18-Q19)*5</f>
        <v>340.456280652224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19</v>
      </c>
      <c r="J18" s="45" t="n">
        <f aca="false">J9*J15/100</f>
        <v>4.3365397794</v>
      </c>
      <c r="K18" s="45" t="n">
        <f aca="false">K17*K15/100</f>
        <v>4.10953449162893</v>
      </c>
      <c r="L18" s="45" t="n">
        <f aca="false">L17*L15/100</f>
        <v>4.03638183979121</v>
      </c>
      <c r="M18" s="45" t="n">
        <f aca="false">M17*M15/100</f>
        <v>3.94431240754696</v>
      </c>
      <c r="N18" s="45" t="n">
        <f aca="false">N17*N15/100</f>
        <v>3.83080123290553</v>
      </c>
      <c r="O18" s="45" t="n">
        <f aca="false">O17*O15/100</f>
        <v>3.69423879470028</v>
      </c>
      <c r="P18" s="45" t="n">
        <f aca="false">P17*P15/100</f>
        <v>3.53552900751763</v>
      </c>
      <c r="Q18" s="45" t="n">
        <f aca="false">Q17*Q15/100</f>
        <v>3.35886487359353</v>
      </c>
      <c r="R18" s="45" t="n">
        <f aca="false">R17*R15/100</f>
        <v>3.16964797287221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22</v>
      </c>
      <c r="J19" s="45" t="n">
        <f aca="false">J9*J16/100</f>
        <v>2.6710571105</v>
      </c>
      <c r="K19" s="45" t="n">
        <f aca="false">K17*K16/100</f>
        <v>2.72330809046839</v>
      </c>
      <c r="L19" s="45" t="n">
        <f aca="false">L17*L16/100</f>
        <v>2.85635052435925</v>
      </c>
      <c r="M19" s="45" t="n">
        <f aca="false">M17*M16/100</f>
        <v>3.04217974254206</v>
      </c>
      <c r="N19" s="45" t="n">
        <f aca="false">N17*N16/100</f>
        <v>3.27432373497483</v>
      </c>
      <c r="O19" s="45" t="n">
        <f aca="false">O17*O16/100</f>
        <v>3.51522697679937</v>
      </c>
      <c r="P19" s="45" t="n">
        <f aca="false">P17*P16/100</f>
        <v>3.70503124744801</v>
      </c>
      <c r="Q19" s="45" t="n">
        <f aca="false">Q17*Q16/100</f>
        <v>3.81587146954731</v>
      </c>
      <c r="R19" s="45" t="n">
        <f aca="false">R17*R16/100</f>
        <v>3.84574994141762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47" t="n">
        <v>325.100475</v>
      </c>
      <c r="L21" s="47" t="n">
        <v>334.001511</v>
      </c>
      <c r="M21" s="47" t="n">
        <v>341.178726</v>
      </c>
      <c r="N21" s="47" t="n">
        <v>347.550974</v>
      </c>
      <c r="O21" s="47" t="n">
        <v>352.969793</v>
      </c>
      <c r="P21" s="47" t="n">
        <v>357.089735</v>
      </c>
      <c r="Q21" s="47" t="n">
        <v>359.484939</v>
      </c>
      <c r="R21" s="47" t="n">
        <v>360.245582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49" t="n">
        <v>3.8694828</v>
      </c>
      <c r="K22" s="49" t="n">
        <v>3.6454144</v>
      </c>
      <c r="L22" s="49" t="n">
        <v>3.4878694</v>
      </c>
      <c r="M22" s="49" t="n">
        <v>3.5298724</v>
      </c>
      <c r="N22" s="49" t="n">
        <v>3.595832</v>
      </c>
      <c r="O22" s="49" t="n">
        <v>3.6132888</v>
      </c>
      <c r="P22" s="49" t="n">
        <v>3.5047634</v>
      </c>
      <c r="Q22" s="49" t="n">
        <v>3.3347716</v>
      </c>
      <c r="R22" s="49" t="n">
        <v>3.2161554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49" t="n">
        <v>2.6730392</v>
      </c>
      <c r="K23" s="49" t="n">
        <v>2.8006904</v>
      </c>
      <c r="L23" s="49" t="n">
        <v>2.9544572</v>
      </c>
      <c r="M23" s="49" t="n">
        <v>3.1577428</v>
      </c>
      <c r="N23" s="49" t="n">
        <v>3.4162398</v>
      </c>
      <c r="O23" s="49" t="n">
        <v>3.6945252</v>
      </c>
      <c r="P23" s="49" t="n">
        <v>3.9292</v>
      </c>
      <c r="Q23" s="49" t="n">
        <v>4.083964</v>
      </c>
      <c r="R23" s="49" t="n">
        <v>4.152334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1.23137029420697</v>
      </c>
      <c r="K24" s="32" t="n">
        <f aca="false">K22/K21*100</f>
        <v>1.12131930905361</v>
      </c>
      <c r="L24" s="32" t="n">
        <f aca="false">L22/L21*100</f>
        <v>1.04426755123272</v>
      </c>
      <c r="M24" s="32" t="n">
        <f aca="false">M22/M21*100</f>
        <v>1.034610932922</v>
      </c>
      <c r="N24" s="32" t="n">
        <f aca="false">N22/N21*100</f>
        <v>1.03462003245602</v>
      </c>
      <c r="O24" s="32" t="n">
        <f aca="false">O22/O21*100</f>
        <v>1.02368215967988</v>
      </c>
      <c r="P24" s="32" t="n">
        <f aca="false">P22/P21*100</f>
        <v>0.981479739259377</v>
      </c>
      <c r="Q24" s="32" t="n">
        <f aca="false">Q22/Q21*100</f>
        <v>0.927652660296847</v>
      </c>
      <c r="R24" s="32" t="n">
        <f aca="false">R22/R21*100</f>
        <v>0.892767478825042</v>
      </c>
      <c r="S24" s="28" t="s">
        <v>25</v>
      </c>
      <c r="T24" s="13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0.850630752546764</v>
      </c>
      <c r="K25" s="32" t="n">
        <f aca="false">K23/K21*100</f>
        <v>0.861484561042244</v>
      </c>
      <c r="L25" s="32" t="n">
        <f aca="false">L23/L21*100</f>
        <v>0.884564022226834</v>
      </c>
      <c r="M25" s="32" t="n">
        <f aca="false">M23/M21*100</f>
        <v>0.92553918499596</v>
      </c>
      <c r="N25" s="32" t="n">
        <f aca="false">N23/N21*100</f>
        <v>0.98294640371228</v>
      </c>
      <c r="O25" s="32" t="n">
        <f aca="false">O23/O21*100</f>
        <v>1.04669727361061</v>
      </c>
      <c r="P25" s="32" t="n">
        <f aca="false">P23/P21*100</f>
        <v>1.10033966672271</v>
      </c>
      <c r="Q25" s="32" t="n">
        <f aca="false">Q23/Q21*100</f>
        <v>1.13605983364994</v>
      </c>
      <c r="R25" s="32" t="n">
        <f aca="false">R23/R21*100</f>
        <v>1.15263981224897</v>
      </c>
      <c r="S25" s="28" t="s">
        <v>25</v>
      </c>
      <c r="T25" s="13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36.75" hidden="false" customHeight="true" outlineLevel="0" collapsed="false">
      <c r="T27" s="13"/>
      <c r="U27" s="53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População, EUA (0 - 0,35 Gp)</v>
      </c>
      <c r="V28" s="25" t="n">
        <v>350</v>
      </c>
      <c r="W28" s="56" t="n">
        <f aca="false">W38</f>
        <v>350</v>
      </c>
      <c r="AA28" s="29" t="str">
        <f aca="false">CONCATENATE(A9," (0 - ",W28/1000," Gp)")</f>
        <v> População, EUA (0 - 0,35 Gp)</v>
      </c>
      <c r="AB28" s="57" t="n">
        <f aca="false">B9/$W28</f>
        <v>0.606409928571429</v>
      </c>
      <c r="AC28" s="57" t="n">
        <f aca="false">C9/$W28</f>
        <v>0.634665882857143</v>
      </c>
      <c r="AD28" s="57" t="n">
        <f aca="false">D9/$W28</f>
        <v>0.666055537142857</v>
      </c>
      <c r="AE28" s="57" t="n">
        <f aca="false">E9/$W28</f>
        <v>0.69886806</v>
      </c>
      <c r="AF28" s="57" t="n">
        <f aca="false">F9/$W28</f>
        <v>0.734203328571429</v>
      </c>
      <c r="AG28" s="57" t="n">
        <f aca="false">G9/$W28</f>
        <v>0.771806722857143</v>
      </c>
      <c r="AH28" s="57" t="n">
        <f aca="false">H9/$W28</f>
        <v>0.818340497142857</v>
      </c>
      <c r="AI28" s="57" t="n">
        <f aca="false">I9/$W28</f>
        <v>0.859176128571429</v>
      </c>
      <c r="AJ28" s="57" t="n">
        <f aca="false">J9/$W28</f>
        <v>0.897834322857143</v>
      </c>
      <c r="AK28" s="57" t="n">
        <f aca="false">K9/$W28</f>
        <v>0.921598616848571</v>
      </c>
      <c r="AL28" s="57" t="n">
        <f aca="false">L9/$W28</f>
        <v>0.941805377949082</v>
      </c>
      <c r="AM28" s="57" t="n">
        <f aca="false">M9/$W28</f>
        <v>0.959013856407224</v>
      </c>
      <c r="AN28" s="57" t="n">
        <f aca="false">N9/$W28</f>
        <v>0.972174442638709</v>
      </c>
      <c r="AO28" s="57" t="n">
        <f aca="false">O9/$W28</f>
        <v>0.980294704481799</v>
      </c>
      <c r="AP28" s="57" t="n">
        <f aca="false">P9/$W28</f>
        <v>0.982907323502498</v>
      </c>
      <c r="AQ28" s="57" t="n">
        <f aca="false">Q9/$W28</f>
        <v>0.980433362148276</v>
      </c>
      <c r="AR28" s="57" t="n">
        <f aca="false">R9/$W28</f>
        <v>0.973763482140339</v>
      </c>
    </row>
    <row r="29" customFormat="false" ht="11.25" hidden="false" customHeight="false" outlineLevel="0" collapsed="false">
      <c r="T29" s="13"/>
      <c r="U29" s="15" t="str">
        <f aca="false">AA29</f>
        <v> Nascimentos, EUA (0 - 9 milhões/ano)</v>
      </c>
      <c r="V29" s="25" t="n">
        <v>7</v>
      </c>
      <c r="W29" s="56" t="n">
        <f aca="false">W39</f>
        <v>9</v>
      </c>
      <c r="AA29" s="29" t="str">
        <f aca="false">CONCATENATE(A10," (0 - ",W29," Mp / yr)")</f>
        <v> Nascimentos, EUA (0 - 9 milhões/ano)</v>
      </c>
      <c r="AB29" s="57" t="n">
        <f aca="false">B10/$W29</f>
        <v>0.382618911111111</v>
      </c>
      <c r="AC29" s="57" t="n">
        <f aca="false">C10/$W29</f>
        <v>0.383945066666667</v>
      </c>
      <c r="AD29" s="57" t="n">
        <f aca="false">D10/$W29</f>
        <v>0.413324288888889</v>
      </c>
      <c r="AE29" s="57" t="n">
        <f aca="false">E10/$W29</f>
        <v>0.437370555555556</v>
      </c>
      <c r="AF29" s="57" t="n">
        <f aca="false">F10/$W29</f>
        <v>0.447857111111111</v>
      </c>
      <c r="AG29" s="57" t="n">
        <f aca="false">G10/$W29</f>
        <v>0.438200222222222</v>
      </c>
      <c r="AH29" s="57" t="n">
        <f aca="false">H10/$W29</f>
        <v>0.459478933333333</v>
      </c>
      <c r="AI29" s="57" t="n">
        <f aca="false">I10/$W29</f>
        <v>0.477342177777778</v>
      </c>
      <c r="AJ29" s="57" t="n">
        <f aca="false">J10/$W29</f>
        <v>0.481837753266667</v>
      </c>
      <c r="AK29" s="57" t="n">
        <f aca="false">K10/$W29</f>
        <v>0.465919300740111</v>
      </c>
      <c r="AL29" s="57" t="n">
        <f aca="false">L10/$W29</f>
        <v>0.457822058725248</v>
      </c>
      <c r="AM29" s="57" t="n">
        <f aca="false">M10/$W29</f>
        <v>0.447539799656705</v>
      </c>
      <c r="AN29" s="57" t="n">
        <f aca="false">N10/$W29</f>
        <v>0.434778014624534</v>
      </c>
      <c r="AO29" s="57" t="n">
        <f aca="false">O10/$W29</f>
        <v>0.419348290250548</v>
      </c>
      <c r="AP29" s="57" t="n">
        <f aca="false">P10/$W29</f>
        <v>0.40135382376352</v>
      </c>
      <c r="AQ29" s="57" t="n">
        <f aca="false">Q10/$W29</f>
        <v>0.381279640835441</v>
      </c>
      <c r="AR29" s="57" t="n">
        <f aca="false">R10/$W29</f>
        <v>0.359751508679625</v>
      </c>
    </row>
    <row r="30" customFormat="false" ht="11.25" hidden="false" customHeight="false" outlineLevel="0" collapsed="false">
      <c r="T30" s="13"/>
      <c r="U30" s="15" t="str">
        <f aca="false">AA30</f>
        <v> Mortes, EUA (0 - 5 milhões/ano)</v>
      </c>
      <c r="V30" s="25" t="n">
        <v>5</v>
      </c>
      <c r="W30" s="56" t="n">
        <f aca="false">W40</f>
        <v>5</v>
      </c>
      <c r="AA30" s="29" t="str">
        <f aca="false">CONCATENATE(A11," (0 - ",W30," Mp / yr)")</f>
        <v> Mortes, EUA (0 - 5 milhões/ano)</v>
      </c>
      <c r="AB30" s="57" t="n">
        <f aca="false">B11/$W30</f>
        <v>0.39918128</v>
      </c>
      <c r="AC30" s="57" t="n">
        <f aca="false">C11/$W30</f>
        <v>0.39189652</v>
      </c>
      <c r="AD30" s="57" t="n">
        <f aca="false">D11/$W30</f>
        <v>0.41450188</v>
      </c>
      <c r="AE30" s="57" t="n">
        <f aca="false">E11/$W30</f>
        <v>0.4413716</v>
      </c>
      <c r="AF30" s="57" t="n">
        <f aca="false">F11/$W30</f>
        <v>0.4576086</v>
      </c>
      <c r="AG30" s="57" t="n">
        <f aca="false">G11/$W30</f>
        <v>0.47693344</v>
      </c>
      <c r="AH30" s="57" t="n">
        <f aca="false">H11/$W30</f>
        <v>0.49688</v>
      </c>
      <c r="AI30" s="57" t="n">
        <f aca="false">I11/$W30</f>
        <v>0.51025032</v>
      </c>
      <c r="AJ30" s="57" t="n">
        <f aca="false">J11/$W30</f>
        <v>0.53460784</v>
      </c>
      <c r="AK30" s="57" t="n">
        <f aca="false">K11/$W30</f>
        <v>0.555760085925052</v>
      </c>
      <c r="AL30" s="57" t="n">
        <f aca="false">L11/$W30</f>
        <v>0.583161007291452</v>
      </c>
      <c r="AM30" s="57" t="n">
        <f aca="false">M11/$W30</f>
        <v>0.621323432141283</v>
      </c>
      <c r="AN30" s="57" t="n">
        <f aca="false">N11/$W30</f>
        <v>0.668916760520896</v>
      </c>
      <c r="AO30" s="57" t="n">
        <f aca="false">O11/$W30</f>
        <v>0.71825025616121</v>
      </c>
      <c r="AP30" s="57" t="n">
        <f aca="false">P11/$W30</f>
        <v>0.757072341733433</v>
      </c>
      <c r="AQ30" s="57" t="n">
        <f aca="false">Q11/$W30</f>
        <v>0.779681673614918</v>
      </c>
      <c r="AR30" s="57" t="n">
        <f aca="false">R11/$W30</f>
        <v>0.785678990060399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(0 - 2 % / ano)</v>
      </c>
      <c r="V31" s="25" t="n">
        <v>2</v>
      </c>
      <c r="W31" s="56" t="n">
        <f aca="false">W41</f>
        <v>2</v>
      </c>
      <c r="AA31" s="29" t="str">
        <f aca="false">CONCATENATE(A12," (0 - ",W31," % / yr)")</f>
        <v> Taxa bruta de natalidade (0 - 2 % / ano)</v>
      </c>
      <c r="AB31" s="57" t="n">
        <f aca="false">B12/$W31</f>
        <v>0.811231110873962</v>
      </c>
      <c r="AC31" s="57" t="n">
        <f aca="false">C12/$W31</f>
        <v>0.77780084053135</v>
      </c>
      <c r="AD31" s="57" t="n">
        <f aca="false">D12/$W31</f>
        <v>0.797856805059731</v>
      </c>
      <c r="AE31" s="57" t="n">
        <f aca="false">E12/$W31</f>
        <v>0.804634813942666</v>
      </c>
      <c r="AF31" s="57" t="n">
        <f aca="false">F12/$W31</f>
        <v>0.784273597389809</v>
      </c>
      <c r="AG31" s="57" t="n">
        <f aca="false">G12/$W31</f>
        <v>0.729975872234749</v>
      </c>
      <c r="AH31" s="57" t="n">
        <f aca="false">H12/$W31</f>
        <v>0.721898318162177</v>
      </c>
      <c r="AI31" s="57" t="n">
        <f aca="false">I12/$W31</f>
        <v>0.71431879533631</v>
      </c>
      <c r="AJ31" s="57" t="n">
        <f aca="false">J12/$W31</f>
        <v>0.69</v>
      </c>
      <c r="AK31" s="57" t="n">
        <f aca="false">K12/$W31</f>
        <v>0.65</v>
      </c>
      <c r="AL31" s="57" t="n">
        <f aca="false">L12/$W31</f>
        <v>0.625</v>
      </c>
      <c r="AM31" s="57" t="n">
        <f aca="false">M12/$W31</f>
        <v>0.6</v>
      </c>
      <c r="AN31" s="57" t="n">
        <f aca="false">N12/$W31</f>
        <v>0.575</v>
      </c>
      <c r="AO31" s="57" t="n">
        <f aca="false">O12/$W31</f>
        <v>0.55</v>
      </c>
      <c r="AP31" s="57" t="n">
        <f aca="false">P12/$W31</f>
        <v>0.525</v>
      </c>
      <c r="AQ31" s="57" t="n">
        <f aca="false">Q12/$W31</f>
        <v>0.5</v>
      </c>
      <c r="AR31" s="57" t="n">
        <f aca="false">R12/$W31</f>
        <v>0.475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0.470192640786719</v>
      </c>
      <c r="AC32" s="57" t="n">
        <f aca="false">C13/$W32</f>
        <v>0.441060553710738</v>
      </c>
      <c r="AD32" s="57" t="n">
        <f aca="false">D13/$W32</f>
        <v>0.444516643009409</v>
      </c>
      <c r="AE32" s="57" t="n">
        <f aca="false">E13/$W32</f>
        <v>0.45110865214162</v>
      </c>
      <c r="AF32" s="57" t="n">
        <f aca="false">F13/$W32</f>
        <v>0.445194502659472</v>
      </c>
      <c r="AG32" s="57" t="n">
        <f aca="false">G13/$W32</f>
        <v>0.441388669945802</v>
      </c>
      <c r="AH32" s="57" t="n">
        <f aca="false">H13/$W32</f>
        <v>0.433700014790211</v>
      </c>
      <c r="AI32" s="57" t="n">
        <f aca="false">I13/$W32</f>
        <v>0.424202328446575</v>
      </c>
      <c r="AJ32" s="57" t="n">
        <f aca="false">J13/$W32</f>
        <v>0.425315376273382</v>
      </c>
      <c r="AK32" s="57" t="n">
        <f aca="false">K13/$W32</f>
        <v>0.430742280521122</v>
      </c>
      <c r="AL32" s="57" t="n">
        <f aca="false">L13/$W32</f>
        <v>0.442282011113417</v>
      </c>
      <c r="AM32" s="57" t="n">
        <f aca="false">M13/$W32</f>
        <v>0.46276959249798</v>
      </c>
      <c r="AN32" s="57" t="n">
        <f aca="false">N13/$W32</f>
        <v>0.49147320185614</v>
      </c>
      <c r="AO32" s="57" t="n">
        <f aca="false">O13/$W32</f>
        <v>0.523348636805303</v>
      </c>
      <c r="AP32" s="57" t="n">
        <f aca="false">P13/$W32</f>
        <v>0.550169833361354</v>
      </c>
      <c r="AQ32" s="57" t="n">
        <f aca="false">Q13/$W32</f>
        <v>0.568029916824972</v>
      </c>
      <c r="AR32" s="57" t="n">
        <f aca="false">R13/$W32</f>
        <v>0.576319906124484</v>
      </c>
    </row>
    <row r="33" customFormat="false" ht="11.25" hidden="false" customHeight="false" outlineLevel="0" collapsed="false">
      <c r="T33" s="13"/>
      <c r="U33" s="58" t="str">
        <f aca="false">AA33</f>
        <v> Previsão de baixa população da ONU (0 - 0,35 Gp)</v>
      </c>
      <c r="V33" s="28"/>
      <c r="W33" s="59" t="n">
        <f aca="false">W28</f>
        <v>350</v>
      </c>
      <c r="AA33" s="29" t="str">
        <f aca="false">CONCATENATE(A21," (0 - ",W33/1000," Gp)")</f>
        <v> Previsão de baixa população da ONU (0 - 0,35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0.9288585</v>
      </c>
      <c r="AL33" s="57" t="n">
        <f aca="false">L21/$W33</f>
        <v>0.954290031428571</v>
      </c>
      <c r="AM33" s="57" t="n">
        <f aca="false">M21/$W33</f>
        <v>0.97479636</v>
      </c>
      <c r="AN33" s="57" t="n">
        <f aca="false">N21/$W33</f>
        <v>0.993002782857143</v>
      </c>
      <c r="AO33" s="57" t="n">
        <f aca="false">O21/$W33</f>
        <v>1.00848512285714</v>
      </c>
      <c r="AP33" s="57" t="n">
        <f aca="false">P21/$W33</f>
        <v>1.02025638571429</v>
      </c>
      <c r="AQ33" s="57" t="n">
        <f aca="false">Q21/$W33</f>
        <v>1.02709982571429</v>
      </c>
      <c r="AR33" s="57" t="n">
        <f aca="false">R21/$W33</f>
        <v>1.02927309142857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(0 - 9 milhões/ano)</v>
      </c>
      <c r="V34" s="28"/>
      <c r="W34" s="59" t="n">
        <f aca="false">W29</f>
        <v>9</v>
      </c>
      <c r="AA34" s="29" t="str">
        <f aca="false">CONCATENATE(A22," (0 - ",W34," Mp / yr)")</f>
        <v> Nascimentos: Previsão baixa da ONU (0 - 9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0.429942533333333</v>
      </c>
      <c r="AK34" s="57" t="n">
        <f aca="false">K22/$W34</f>
        <v>0.405046044444444</v>
      </c>
      <c r="AL34" s="57" t="n">
        <f aca="false">L22/$W34</f>
        <v>0.387541044444444</v>
      </c>
      <c r="AM34" s="57" t="n">
        <f aca="false">M22/$W34</f>
        <v>0.392208044444444</v>
      </c>
      <c r="AN34" s="57" t="n">
        <f aca="false">N22/$W34</f>
        <v>0.399536888888889</v>
      </c>
      <c r="AO34" s="57" t="n">
        <f aca="false">O22/$W34</f>
        <v>0.401476533333333</v>
      </c>
      <c r="AP34" s="57" t="n">
        <f aca="false">P22/$W34</f>
        <v>0.389418155555556</v>
      </c>
      <c r="AQ34" s="57" t="n">
        <f aca="false">Q22/$W34</f>
        <v>0.370530177777778</v>
      </c>
      <c r="AR34" s="57" t="n">
        <f aca="false">R22/$W34</f>
        <v>0.3573506</v>
      </c>
    </row>
    <row r="35" s="3" customFormat="true" ht="11.25" hidden="false" customHeight="false" outlineLevel="0" collapsed="false">
      <c r="T35" s="13"/>
      <c r="U35" s="58" t="str">
        <f aca="false">AA35</f>
        <v>Mortes: Previsão mínima da ONU (0 - 5 milhões/ano)</v>
      </c>
      <c r="V35" s="28"/>
      <c r="W35" s="59" t="n">
        <f aca="false">W30</f>
        <v>5</v>
      </c>
      <c r="AA35" s="29" t="str">
        <f aca="false">CONCATENATE(A23," (0 - ",W35," Mp / yr)")</f>
        <v> Mortes: Previsão mínima da ONU (0 - 5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0.53460784</v>
      </c>
      <c r="AK35" s="57" t="n">
        <f aca="false">K23/$W35</f>
        <v>0.56013808</v>
      </c>
      <c r="AL35" s="57" t="n">
        <f aca="false">L23/$W35</f>
        <v>0.59089144</v>
      </c>
      <c r="AM35" s="57" t="n">
        <f aca="false">M23/$W35</f>
        <v>0.63154856</v>
      </c>
      <c r="AN35" s="57" t="n">
        <f aca="false">N23/$W35</f>
        <v>0.68324796</v>
      </c>
      <c r="AO35" s="57" t="n">
        <f aca="false">O23/$W35</f>
        <v>0.73890504</v>
      </c>
      <c r="AP35" s="57" t="n">
        <f aca="false">P23/$W35</f>
        <v>0.78584</v>
      </c>
      <c r="AQ35" s="57" t="n">
        <f aca="false">Q23/$W35</f>
        <v>0.8167928</v>
      </c>
      <c r="AR35" s="57" t="n">
        <f aca="false">R23/$W35</f>
        <v>0.8304668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(0 - 2% / ano)</v>
      </c>
      <c r="V36" s="28"/>
      <c r="W36" s="59" t="n">
        <f aca="false">W31</f>
        <v>2</v>
      </c>
      <c r="AA36" s="29" t="str">
        <f aca="false">CONCATENATE(A24," (0 - ",W36," % / yr)")</f>
        <v> Baixa taxa de natalidade da ONU (0 - 2%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0.615685147103484</v>
      </c>
      <c r="AK36" s="57" t="n">
        <f aca="false">K24/$W36</f>
        <v>0.560659654526804</v>
      </c>
      <c r="AL36" s="57" t="n">
        <f aca="false">L24/$W36</f>
        <v>0.522133775616362</v>
      </c>
      <c r="AM36" s="57" t="n">
        <f aca="false">M24/$W36</f>
        <v>0.517305466461001</v>
      </c>
      <c r="AN36" s="57" t="n">
        <f aca="false">N24/$W36</f>
        <v>0.517310016228008</v>
      </c>
      <c r="AO36" s="57" t="n">
        <f aca="false">O24/$W36</f>
        <v>0.51184107983994</v>
      </c>
      <c r="AP36" s="57" t="n">
        <f aca="false">P24/$W36</f>
        <v>0.490739869629689</v>
      </c>
      <c r="AQ36" s="57" t="n">
        <f aca="false">Q24/$W36</f>
        <v>0.463826330148424</v>
      </c>
      <c r="AR36" s="57" t="n">
        <f aca="false">R24/$W36</f>
        <v>0.446383739412521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0.425315376273382</v>
      </c>
      <c r="AK37" s="57" t="n">
        <f aca="false">K25/$W37</f>
        <v>0.430742280521122</v>
      </c>
      <c r="AL37" s="57" t="n">
        <f aca="false">L25/$W37</f>
        <v>0.442282011113417</v>
      </c>
      <c r="AM37" s="57" t="n">
        <f aca="false">M25/$W37</f>
        <v>0.46276959249798</v>
      </c>
      <c r="AN37" s="57" t="n">
        <f aca="false">N25/$W37</f>
        <v>0.49147320185614</v>
      </c>
      <c r="AO37" s="57" t="n">
        <f aca="false">O25/$W37</f>
        <v>0.523348636805303</v>
      </c>
      <c r="AP37" s="57" t="n">
        <f aca="false">P25/$W37</f>
        <v>0.550169833361354</v>
      </c>
      <c r="AQ37" s="57" t="n">
        <f aca="false">Q25/$W37</f>
        <v>0.568029916824972</v>
      </c>
      <c r="AR37" s="57" t="n">
        <f aca="false">R25/$W37</f>
        <v>0.576319906124484</v>
      </c>
    </row>
    <row r="38" s="3" customFormat="true" ht="11.25" hidden="false" customHeight="false" outlineLevel="0" collapsed="false">
      <c r="T38" s="13"/>
      <c r="U38" s="37" t="str">
        <f aca="false">AA38</f>
        <v> População, EUA Sua previsão (0 - 0,35 Gp)</v>
      </c>
      <c r="V38" s="28"/>
      <c r="W38" s="60" t="n">
        <v>350</v>
      </c>
      <c r="AA38" s="29" t="str">
        <f aca="false">CONCATENATE(A9," Your forecast (0 - ",W38/1000," Gp)")</f>
        <v> População, EUA Sua previsão (0 - 0,35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0.921626932412857</v>
      </c>
      <c r="AL38" s="57" t="n">
        <f aca="false">L17/$W38</f>
        <v>0.941430166715151</v>
      </c>
      <c r="AM38" s="57" t="n">
        <f aca="false">M17/$W38</f>
        <v>0.958287756935607</v>
      </c>
      <c r="AN38" s="57" t="n">
        <f aca="false">N17/$W38</f>
        <v>0.971175366435677</v>
      </c>
      <c r="AO38" s="57" t="n">
        <f aca="false">O17/$W38</f>
        <v>0.979125044977544</v>
      </c>
      <c r="AP38" s="57" t="n">
        <f aca="false">P17/$W38</f>
        <v>0.981682356661843</v>
      </c>
      <c r="AQ38" s="57" t="n">
        <f aca="false">Q17/$W38</f>
        <v>0.979260896091409</v>
      </c>
      <c r="AR38" s="57" t="n">
        <f aca="false">R17/$W38</f>
        <v>0.972732230434926</v>
      </c>
    </row>
    <row r="39" s="3" customFormat="true" ht="11.25" hidden="false" customHeight="false" outlineLevel="0" collapsed="false">
      <c r="T39" s="13"/>
      <c r="U39" s="37" t="str">
        <f aca="false">AA39</f>
        <v> Nascimentos, EUA Sua previsão (0 - 9 milhões/ano)</v>
      </c>
      <c r="V39" s="28"/>
      <c r="W39" s="60" t="n">
        <v>9</v>
      </c>
      <c r="AA39" s="29" t="str">
        <f aca="false">CONCATENATE(A10," Your forecast (0 - ",W39," Mp / yr)")</f>
        <v> Nascimentos, EUA Sua previsão (0 - 9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0.481837753266667</v>
      </c>
      <c r="AK39" s="57" t="n">
        <f aca="false">K18/$W39</f>
        <v>0.456614943514326</v>
      </c>
      <c r="AL39" s="57" t="n">
        <f aca="false">L18/$W39</f>
        <v>0.448486871087912</v>
      </c>
      <c r="AM39" s="57" t="n">
        <f aca="false">M18/$W39</f>
        <v>0.438256934171884</v>
      </c>
      <c r="AN39" s="57" t="n">
        <f aca="false">N18/$W39</f>
        <v>0.425644581433948</v>
      </c>
      <c r="AO39" s="57" t="n">
        <f aca="false">O18/$W39</f>
        <v>0.410470977188919</v>
      </c>
      <c r="AP39" s="57" t="n">
        <f aca="false">P18/$W39</f>
        <v>0.392836556390847</v>
      </c>
      <c r="AQ39" s="57" t="n">
        <f aca="false">Q18/$W39</f>
        <v>0.373207208177059</v>
      </c>
      <c r="AR39" s="57" t="n">
        <f aca="false">R18/$W39</f>
        <v>0.352183108096912</v>
      </c>
    </row>
    <row r="40" s="3" customFormat="true" ht="11.25" hidden="false" customHeight="false" outlineLevel="0" collapsed="false">
      <c r="T40" s="13"/>
      <c r="U40" s="37" t="str">
        <f aca="false">AA40</f>
        <v> Mortes, EUA Sua previsão (0 - 5 milhões/ano)</v>
      </c>
      <c r="V40" s="28"/>
      <c r="W40" s="60" t="n">
        <v>5</v>
      </c>
      <c r="AA40" s="29" t="str">
        <f aca="false">CONCATENATE(A11," Your forecast (0 - ",W40," Mp / yr)")</f>
        <v> Mortes, EUA Sua previsão (0 - 5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0.5342114221</v>
      </c>
      <c r="AK40" s="57" t="n">
        <f aca="false">K19/$W40</f>
        <v>0.544661618093678</v>
      </c>
      <c r="AL40" s="57" t="n">
        <f aca="false">L19/$W40</f>
        <v>0.571270104871849</v>
      </c>
      <c r="AM40" s="57" t="n">
        <f aca="false">M19/$W40</f>
        <v>0.608435948508411</v>
      </c>
      <c r="AN40" s="57" t="n">
        <f aca="false">N19/$W40</f>
        <v>0.654864746994966</v>
      </c>
      <c r="AO40" s="57" t="n">
        <f aca="false">O19/$W40</f>
        <v>0.703045395359874</v>
      </c>
      <c r="AP40" s="57" t="n">
        <f aca="false">P19/$W40</f>
        <v>0.741006249489602</v>
      </c>
      <c r="AQ40" s="57" t="n">
        <f aca="false">Q19/$W40</f>
        <v>0.763174293909461</v>
      </c>
      <c r="AR40" s="57" t="n">
        <f aca="false">R19/$W40</f>
        <v>0.769149988283525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(0 - 2%/ano)</v>
      </c>
      <c r="V41" s="28"/>
      <c r="W41" s="60" t="n">
        <v>2</v>
      </c>
      <c r="AA41" s="29" t="str">
        <f aca="false">CONCATENATE(A12," Your forecast (0 - ",W41," % / yr)")</f>
        <v> Taxa bruta de natalidade: Sua previsão (0 - 2%/ano)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0.69</v>
      </c>
      <c r="AK41" s="57" t="n">
        <f aca="false">K15/$W41</f>
        <v>0.637</v>
      </c>
      <c r="AL41" s="57" t="n">
        <f aca="false">L15/$W41</f>
        <v>0.6125</v>
      </c>
      <c r="AM41" s="57" t="n">
        <f aca="false">M15/$W41</f>
        <v>0.588</v>
      </c>
      <c r="AN41" s="57" t="n">
        <f aca="false">N15/$W41</f>
        <v>0.5635</v>
      </c>
      <c r="AO41" s="57" t="n">
        <f aca="false">O15/$W41</f>
        <v>0.539</v>
      </c>
      <c r="AP41" s="57" t="n">
        <f aca="false">P15/$W41</f>
        <v>0.5145</v>
      </c>
      <c r="AQ41" s="57" t="n">
        <f aca="false">Q15/$W41</f>
        <v>0.49</v>
      </c>
      <c r="AR41" s="57" t="n">
        <f aca="false">R15/$W41</f>
        <v>0.4655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0.425</v>
      </c>
      <c r="AK42" s="57" t="n">
        <f aca="false">K16/$W42</f>
        <v>0.4221274349107</v>
      </c>
      <c r="AL42" s="57" t="n">
        <f aca="false">L16/$W42</f>
        <v>0.433436370891148</v>
      </c>
      <c r="AM42" s="57" t="n">
        <f aca="false">M16/$W42</f>
        <v>0.45351420064802</v>
      </c>
      <c r="AN42" s="57" t="n">
        <f aca="false">N16/$W42</f>
        <v>0.481643737819017</v>
      </c>
      <c r="AO42" s="57" t="n">
        <f aca="false">O16/$W42</f>
        <v>0.512881664069197</v>
      </c>
      <c r="AP42" s="57" t="n">
        <f aca="false">P16/$W42</f>
        <v>0.539166436694127</v>
      </c>
      <c r="AQ42" s="57" t="n">
        <f aca="false">Q16/$W42</f>
        <v>0.556669318488472</v>
      </c>
      <c r="AR42" s="57" t="n">
        <f aca="false">R16/$W42</f>
        <v>0.564793508001994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EUA,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16</v>
      </c>
      <c r="B55" s="26" t="n">
        <f aca="false">B9</f>
        <v>212.243475</v>
      </c>
      <c r="C55" s="26" t="n">
        <f aca="false">C9</f>
        <v>222.133059</v>
      </c>
      <c r="D55" s="26" t="n">
        <f aca="false">D9</f>
        <v>233.119438</v>
      </c>
      <c r="E55" s="26" t="n">
        <f aca="false">E9</f>
        <v>244.603821</v>
      </c>
      <c r="F55" s="26" t="n">
        <f aca="false">F9</f>
        <v>256.971165</v>
      </c>
      <c r="G55" s="26" t="n">
        <f aca="false">G9</f>
        <v>270.132353</v>
      </c>
      <c r="H55" s="26" t="n">
        <f aca="false">H9</f>
        <v>286.419174</v>
      </c>
      <c r="I55" s="26" t="n">
        <f aca="false">I9</f>
        <v>300.711645</v>
      </c>
      <c r="J55" s="26" t="n">
        <f aca="false">J9</f>
        <v>314.242013</v>
      </c>
      <c r="K55" s="27" t="n">
        <f aca="false">K9</f>
        <v>322.559515897</v>
      </c>
      <c r="L55" s="27" t="n">
        <f aca="false">L9</f>
        <v>329.631882282179</v>
      </c>
      <c r="M55" s="27" t="n">
        <f aca="false">M9</f>
        <v>335.654849742529</v>
      </c>
      <c r="N55" s="27" t="n">
        <f aca="false">N9</f>
        <v>340.261054923548</v>
      </c>
      <c r="O55" s="27" t="n">
        <f aca="false">O9</f>
        <v>343.10314656863</v>
      </c>
      <c r="P55" s="27" t="n">
        <f aca="false">P9</f>
        <v>344.017563225874</v>
      </c>
      <c r="Q55" s="27" t="n">
        <f aca="false">Q9</f>
        <v>343.151676751897</v>
      </c>
      <c r="R55" s="27" t="n">
        <f aca="false">R9</f>
        <v>340.817218749119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41</v>
      </c>
      <c r="B56" s="62" t="n">
        <v>131.070898</v>
      </c>
      <c r="C56" s="62" t="n">
        <v>142.839298</v>
      </c>
      <c r="D56" s="62" t="n">
        <v>153.96765</v>
      </c>
      <c r="E56" s="62" t="n">
        <v>162.081326</v>
      </c>
      <c r="F56" s="62" t="n">
        <v>169.003736</v>
      </c>
      <c r="G56" s="62" t="n">
        <v>176.886411</v>
      </c>
      <c r="H56" s="62" t="n">
        <v>189.696553</v>
      </c>
      <c r="I56" s="62" t="n">
        <v>201.869083</v>
      </c>
      <c r="J56" s="62" t="n">
        <v>210.084644</v>
      </c>
      <c r="K56" s="27" t="n">
        <f aca="false">K57</f>
        <v>214.412337</v>
      </c>
      <c r="L56" s="27" t="n">
        <f aca="false">L57</f>
        <v>218.153874</v>
      </c>
      <c r="M56" s="27" t="n">
        <f aca="false">M57</f>
        <v>220.679504</v>
      </c>
      <c r="N56" s="27" t="n">
        <f aca="false">N57</f>
        <v>220.371585</v>
      </c>
      <c r="O56" s="27" t="n">
        <f aca="false">O57</f>
        <v>221.178246</v>
      </c>
      <c r="P56" s="27" t="n">
        <f aca="false">P57</f>
        <v>221.246979</v>
      </c>
      <c r="Q56" s="27" t="n">
        <f aca="false">Q57</f>
        <v>222</v>
      </c>
      <c r="R56" s="27" t="n">
        <f aca="false">R57</f>
        <v>220.376741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64" t="n">
        <v>214.412337</v>
      </c>
      <c r="L57" s="64" t="n">
        <v>218.153874</v>
      </c>
      <c r="M57" s="64" t="n">
        <v>220.679504</v>
      </c>
      <c r="N57" s="64" t="n">
        <v>220.371585</v>
      </c>
      <c r="O57" s="64" t="n">
        <v>221.178246</v>
      </c>
      <c r="P57" s="64" t="n">
        <v>221.246979</v>
      </c>
      <c r="Q57" s="64" t="n">
        <v>222</v>
      </c>
      <c r="R57" s="64" t="n">
        <v>220.376741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61.7549717370581</v>
      </c>
      <c r="C58" s="65" t="n">
        <f aca="false">C56/C55*100</f>
        <v>64.3034848766027</v>
      </c>
      <c r="D58" s="65" t="n">
        <f aca="false">D56/D55*100</f>
        <v>66.0466803287335</v>
      </c>
      <c r="E58" s="65" t="n">
        <f aca="false">E56/E55*100</f>
        <v>66.2627939896327</v>
      </c>
      <c r="F58" s="65" t="n">
        <f aca="false">F56/F55*100</f>
        <v>65.7675875812759</v>
      </c>
      <c r="G58" s="65" t="n">
        <f aca="false">G56/G55*100</f>
        <v>65.4813868222589</v>
      </c>
      <c r="H58" s="65" t="n">
        <f aca="false">H56/H55*100</f>
        <v>66.2303959440928</v>
      </c>
      <c r="I58" s="65" t="n">
        <f aca="false">I56/I55*100</f>
        <v>67.1304508343866</v>
      </c>
      <c r="J58" s="65" t="n">
        <f aca="false">J56/J55*100</f>
        <v>66.8544100753326</v>
      </c>
      <c r="K58" s="65" t="n">
        <f aca="false">K56/K55*100</f>
        <v>66.4721784455016</v>
      </c>
      <c r="L58" s="65" t="n">
        <f aca="false">L56/L55*100</f>
        <v>66.1810600630103</v>
      </c>
      <c r="M58" s="65" t="n">
        <f aca="false">M56/M55*100</f>
        <v>65.7459602235085</v>
      </c>
      <c r="N58" s="65" t="n">
        <f aca="false">N56/N55*100</f>
        <v>64.7654445935678</v>
      </c>
      <c r="O58" s="65" t="n">
        <f aca="false">O56/O55*100</f>
        <v>64.4640680833157</v>
      </c>
      <c r="P58" s="65" t="n">
        <f aca="false">P56/P55*100</f>
        <v>64.3126987254236</v>
      </c>
      <c r="Q58" s="65" t="n">
        <f aca="false">Q56/Q55*100</f>
        <v>64.6944237898942</v>
      </c>
      <c r="R58" s="65" t="n">
        <f aca="false">R56/R55*100</f>
        <v>64.6612697001741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1.6193028218972</v>
      </c>
      <c r="C59" s="32" t="n">
        <f aca="false">C55/C56</f>
        <v>1.55512566996794</v>
      </c>
      <c r="D59" s="32" t="n">
        <f aca="false">D55/D56</f>
        <v>1.51408063966684</v>
      </c>
      <c r="E59" s="32" t="n">
        <f aca="false">E55/E56</f>
        <v>1.50914252145247</v>
      </c>
      <c r="F59" s="32" t="n">
        <f aca="false">F55/F56</f>
        <v>1.52050582479431</v>
      </c>
      <c r="G59" s="32" t="n">
        <f aca="false">G55/G56</f>
        <v>1.5271515288984</v>
      </c>
      <c r="H59" s="32" t="n">
        <f aca="false">H55/H56</f>
        <v>1.50988075149684</v>
      </c>
      <c r="I59" s="32" t="n">
        <f aca="false">I55/I56</f>
        <v>1.48963694950752</v>
      </c>
      <c r="J59" s="32" t="n">
        <f aca="false">J55/J56</f>
        <v>1.49578763595877</v>
      </c>
      <c r="K59" s="32" t="n">
        <f aca="false">K55/K56</f>
        <v>1.50438878849121</v>
      </c>
      <c r="L59" s="32" t="n">
        <f aca="false">L55/L56</f>
        <v>1.51100631970523</v>
      </c>
      <c r="M59" s="32" t="n">
        <f aca="false">M55/M56</f>
        <v>1.52100600036933</v>
      </c>
      <c r="N59" s="32" t="n">
        <f aca="false">N55/N56</f>
        <v>1.54403325148997</v>
      </c>
      <c r="O59" s="32" t="n">
        <f aca="false">O55/O56</f>
        <v>1.55125177441108</v>
      </c>
      <c r="P59" s="32" t="n">
        <f aca="false">P55/P56</f>
        <v>1.55490287271165</v>
      </c>
      <c r="Q59" s="32" t="n">
        <f aca="false">Q55/Q56</f>
        <v>1.54572827365719</v>
      </c>
      <c r="R59" s="32" t="n">
        <f aca="false">R55/R56</f>
        <v>1.5465208224906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6"/>
      <c r="G61" s="66"/>
      <c r="H61" s="67" t="s">
        <v>42</v>
      </c>
      <c r="I61" s="39"/>
      <c r="J61" s="38" t="s">
        <v>7</v>
      </c>
      <c r="K61" s="68" t="n">
        <v>214.4</v>
      </c>
      <c r="L61" s="68" t="n">
        <f aca="false">L57*0.98</f>
        <v>213.79079652</v>
      </c>
      <c r="M61" s="68" t="n">
        <f aca="false">M57*0.98</f>
        <v>216.26591392</v>
      </c>
      <c r="N61" s="68" t="n">
        <f aca="false">N57*0.98</f>
        <v>215.9641533</v>
      </c>
      <c r="O61" s="68" t="n">
        <f aca="false">O57*0.98</f>
        <v>216.75468108</v>
      </c>
      <c r="P61" s="68" t="n">
        <f aca="false">P57*0.98</f>
        <v>216.82203942</v>
      </c>
      <c r="Q61" s="68" t="n">
        <f aca="false">Q57*0.98</f>
        <v>217.56</v>
      </c>
      <c r="R61" s="68" t="n">
        <f aca="false">R57*0.98</f>
        <v>215.96920618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66.4663115874545</v>
      </c>
      <c r="L62" s="45" t="n">
        <f aca="false">L61/L17*100</f>
        <v>64.8832880861804</v>
      </c>
      <c r="M62" s="45" t="n">
        <f aca="false">M61/M17*100</f>
        <v>64.4798607441168</v>
      </c>
      <c r="N62" s="45" t="n">
        <f aca="false">N61/N17*100</f>
        <v>63.5354292669724</v>
      </c>
      <c r="O62" s="45" t="n">
        <f aca="false">O61/O17*100</f>
        <v>63.2502551105925</v>
      </c>
      <c r="P62" s="45" t="n">
        <f aca="false">P61/P17*100</f>
        <v>63.1050906635979</v>
      </c>
      <c r="Q62" s="45" t="n">
        <f aca="false">Q61/Q17*100</f>
        <v>63.4764445798903</v>
      </c>
      <c r="R62" s="45" t="n">
        <f aca="false">R61/R17*100</f>
        <v>63.4352245657681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1.50452157809935</v>
      </c>
      <c r="L63" s="43" t="n">
        <f aca="false">L17/L61</f>
        <v>1.54122891964378</v>
      </c>
      <c r="M63" s="43" t="n">
        <f aca="false">M17/M61</f>
        <v>1.55087183573243</v>
      </c>
      <c r="N63" s="43" t="n">
        <f aca="false">N17/N61</f>
        <v>1.57392499198841</v>
      </c>
      <c r="O63" s="43" t="n">
        <f aca="false">O17/O61</f>
        <v>1.58102129114185</v>
      </c>
      <c r="P63" s="43" t="n">
        <f aca="false">P17/P61</f>
        <v>1.58465820979614</v>
      </c>
      <c r="Q63" s="43" t="n">
        <f aca="false">Q17/Q61</f>
        <v>1.5753875419746</v>
      </c>
      <c r="R63" s="43" t="n">
        <f aca="false">R17/R61</f>
        <v>1.57641122396158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47" t="n">
        <f aca="false">K21</f>
        <v>325.100475</v>
      </c>
      <c r="L65" s="47" t="n">
        <f aca="false">L21</f>
        <v>334.001511</v>
      </c>
      <c r="M65" s="47" t="n">
        <f aca="false">M21</f>
        <v>341.178726</v>
      </c>
      <c r="N65" s="47" t="n">
        <f aca="false">N21</f>
        <v>347.550974</v>
      </c>
      <c r="O65" s="47" t="n">
        <f aca="false">O21</f>
        <v>352.969793</v>
      </c>
      <c r="P65" s="47" t="n">
        <f aca="false">P21</f>
        <v>357.089735</v>
      </c>
      <c r="Q65" s="47" t="n">
        <f aca="false">Q21</f>
        <v>359.484939</v>
      </c>
      <c r="R65" s="47" t="n">
        <f aca="false">R21</f>
        <v>360.245582</v>
      </c>
      <c r="S65" s="28" t="s">
        <v>17</v>
      </c>
      <c r="T65" s="13"/>
    </row>
    <row r="66" customFormat="false" ht="11.25" hidden="false" customHeight="false" outlineLevel="0" collapsed="false">
      <c r="A66" s="11" t="s">
        <v>48</v>
      </c>
      <c r="B66" s="41"/>
      <c r="C66" s="41"/>
      <c r="D66" s="41"/>
      <c r="E66" s="41"/>
      <c r="F66" s="41"/>
      <c r="G66" s="41"/>
      <c r="H66" s="41"/>
      <c r="I66" s="41"/>
      <c r="J66" s="48"/>
      <c r="K66" s="47" t="n">
        <v>214.412337</v>
      </c>
      <c r="L66" s="47" t="n">
        <v>218.153874</v>
      </c>
      <c r="M66" s="47" t="n">
        <v>220.679504</v>
      </c>
      <c r="N66" s="47" t="n">
        <v>220.371585</v>
      </c>
      <c r="O66" s="47" t="n">
        <v>221.178246</v>
      </c>
      <c r="P66" s="47" t="n">
        <v>221.246979</v>
      </c>
      <c r="Q66" s="47" t="n">
        <v>221.772798</v>
      </c>
      <c r="R66" s="47" t="n">
        <v>220.376741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48" t="n">
        <f aca="false">K65/K66</f>
        <v>1.51623959492592</v>
      </c>
      <c r="L67" s="48" t="n">
        <f aca="false">L65/L66</f>
        <v>1.53103635005812</v>
      </c>
      <c r="M67" s="48" t="n">
        <f aca="false">M65/M66</f>
        <v>1.54603721603434</v>
      </c>
      <c r="N67" s="48" t="n">
        <f aca="false">N65/N66</f>
        <v>1.57711337421292</v>
      </c>
      <c r="O67" s="48" t="n">
        <f aca="false">O65/O66</f>
        <v>1.59586125391373</v>
      </c>
      <c r="P67" s="48" t="n">
        <f aca="false">P65/P66</f>
        <v>1.61398694171548</v>
      </c>
      <c r="Q67" s="48" t="n">
        <f aca="false">Q65/Q66</f>
        <v>1.62096047054427</v>
      </c>
      <c r="R67" s="48" t="n">
        <f aca="false">R65/R66</f>
        <v>1.63468059453697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5" t="str">
        <f aca="false">U27</f>
        <v> Para o gráfico à esquerda, nomes das variáveis (unidade)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 Pessoas EUA Idade 15-64 (0 - 0,25 Gp)</v>
      </c>
      <c r="V70" s="25" t="n">
        <v>250</v>
      </c>
      <c r="W70" s="70" t="n">
        <f aca="false">W74</f>
        <v>250</v>
      </c>
      <c r="AA70" s="29" t="str">
        <f aca="false">CONCATENATE(A55," (0 - ",V28/1000," Gp)")</f>
        <v> População, EUA (0 - 0,35 Gp)</v>
      </c>
      <c r="AB70" s="57" t="n">
        <f aca="false">B55/$V28</f>
        <v>0.606409928571429</v>
      </c>
      <c r="AC70" s="57" t="n">
        <f aca="false">C55/$V28</f>
        <v>0.634665882857143</v>
      </c>
      <c r="AD70" s="57" t="n">
        <f aca="false">D55/$V28</f>
        <v>0.666055537142857</v>
      </c>
      <c r="AE70" s="57" t="n">
        <f aca="false">E55/$V28</f>
        <v>0.69886806</v>
      </c>
      <c r="AF70" s="57" t="n">
        <f aca="false">F55/$V28</f>
        <v>0.734203328571429</v>
      </c>
      <c r="AG70" s="57" t="n">
        <f aca="false">G55/$V28</f>
        <v>0.771806722857143</v>
      </c>
      <c r="AH70" s="57" t="n">
        <f aca="false">H55/$V28</f>
        <v>0.818340497142857</v>
      </c>
      <c r="AI70" s="57" t="n">
        <f aca="false">I55/$V28</f>
        <v>0.859176128571429</v>
      </c>
      <c r="AJ70" s="57" t="n">
        <f aca="false">J55/$V28</f>
        <v>0.897834322857143</v>
      </c>
      <c r="AK70" s="57" t="n">
        <f aca="false">K55/$V28</f>
        <v>0.921598616848571</v>
      </c>
      <c r="AL70" s="57" t="n">
        <f aca="false">L55/$V28</f>
        <v>0.941805377949082</v>
      </c>
      <c r="AM70" s="57" t="n">
        <f aca="false">M55/$V28</f>
        <v>0.959013856407224</v>
      </c>
      <c r="AN70" s="57" t="n">
        <f aca="false">N55/$V28</f>
        <v>0.972174442638709</v>
      </c>
      <c r="AO70" s="57" t="n">
        <f aca="false">O55/$V28</f>
        <v>0.980294704481799</v>
      </c>
      <c r="AP70" s="57" t="n">
        <f aca="false">P55/$V28</f>
        <v>0.982907323502498</v>
      </c>
      <c r="AQ70" s="57" t="n">
        <f aca="false">Q55/$V28</f>
        <v>0.980433362148276</v>
      </c>
      <c r="AR70" s="57" t="n">
        <f aca="false">R55/$V28</f>
        <v>0.973763482140339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Sobrecarga de apoio (população/idade 15-64) (0 - 2,4)</v>
      </c>
      <c r="V71" s="25" t="n">
        <v>2.4</v>
      </c>
      <c r="W71" s="70" t="n">
        <f aca="false">W75</f>
        <v>2.4</v>
      </c>
      <c r="AA71" s="29" t="str">
        <f aca="false">CONCATENATE(A56," (0 - ",W70/1000," Gp)")</f>
        <v> Pessoas EUA Idade 15-64 (0 - 0,25 Gp)</v>
      </c>
      <c r="AB71" s="57" t="n">
        <f aca="false">B56/$W70</f>
        <v>0.524283592</v>
      </c>
      <c r="AC71" s="57" t="n">
        <f aca="false">C56/$W70</f>
        <v>0.571357192</v>
      </c>
      <c r="AD71" s="57" t="n">
        <f aca="false">D56/$W70</f>
        <v>0.6158706</v>
      </c>
      <c r="AE71" s="57" t="n">
        <f aca="false">E56/$W70</f>
        <v>0.648325304</v>
      </c>
      <c r="AF71" s="57" t="n">
        <f aca="false">F56/$W70</f>
        <v>0.676014944</v>
      </c>
      <c r="AG71" s="57" t="n">
        <f aca="false">G56/$W70</f>
        <v>0.707545644</v>
      </c>
      <c r="AH71" s="57" t="n">
        <f aca="false">H56/$W70</f>
        <v>0.758786212</v>
      </c>
      <c r="AI71" s="57" t="n">
        <f aca="false">I56/$W70</f>
        <v>0.807476332</v>
      </c>
      <c r="AJ71" s="57" t="n">
        <f aca="false">J56/$W70</f>
        <v>0.840338576</v>
      </c>
      <c r="AK71" s="57" t="n">
        <f aca="false">K56/$W70</f>
        <v>0.857649348</v>
      </c>
      <c r="AL71" s="57" t="n">
        <f aca="false">L56/$W70</f>
        <v>0.872615496</v>
      </c>
      <c r="AM71" s="57" t="n">
        <f aca="false">M56/$W70</f>
        <v>0.882718016</v>
      </c>
      <c r="AN71" s="57" t="n">
        <f aca="false">N56/$W70</f>
        <v>0.88148634</v>
      </c>
      <c r="AO71" s="57" t="n">
        <f aca="false">O56/$W70</f>
        <v>0.884712984</v>
      </c>
      <c r="AP71" s="57" t="n">
        <f aca="false">P56/$W70</f>
        <v>0.884987916</v>
      </c>
      <c r="AQ71" s="57" t="n">
        <f aca="false">Q56/$W70</f>
        <v>0.888</v>
      </c>
      <c r="AR71" s="57" t="n">
        <f aca="false">R56/$W70</f>
        <v>0.881506964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Pessoas nos EUA com idade entre 15 e 64 anos - Previsão de Baixa da ONU (Mp) (0 - 0,25 Gp)</v>
      </c>
      <c r="W72" s="71" t="n">
        <f aca="false">W70</f>
        <v>250</v>
      </c>
      <c r="AA72" s="29" t="str">
        <f aca="false">CONCATENATE(A59," (0 - ",W71,")")</f>
        <v> Sobrecarga de apoio (população/idade 15-64) (0 - 2,4)</v>
      </c>
      <c r="AB72" s="57" t="n">
        <f aca="false">B59/$W71</f>
        <v>0.674709509123833</v>
      </c>
      <c r="AC72" s="57" t="n">
        <f aca="false">C59/$W71</f>
        <v>0.647969029153308</v>
      </c>
      <c r="AD72" s="57" t="n">
        <f aca="false">D59/$W71</f>
        <v>0.630866933194516</v>
      </c>
      <c r="AE72" s="57" t="n">
        <f aca="false">E59/$W71</f>
        <v>0.62880938393853</v>
      </c>
      <c r="AF72" s="57" t="n">
        <f aca="false">F59/$W71</f>
        <v>0.633544093664296</v>
      </c>
      <c r="AG72" s="57" t="n">
        <f aca="false">G59/$W71</f>
        <v>0.636313137040998</v>
      </c>
      <c r="AH72" s="57" t="n">
        <f aca="false">H59/$W71</f>
        <v>0.62911697979035</v>
      </c>
      <c r="AI72" s="57" t="n">
        <f aca="false">I59/$W71</f>
        <v>0.620682062294799</v>
      </c>
      <c r="AJ72" s="57" t="n">
        <f aca="false">J59/$W71</f>
        <v>0.623244848316155</v>
      </c>
      <c r="AK72" s="57" t="n">
        <f aca="false">K59/$W71</f>
        <v>0.626828661871339</v>
      </c>
      <c r="AL72" s="57" t="n">
        <f aca="false">L59/$W71</f>
        <v>0.629585966543846</v>
      </c>
      <c r="AM72" s="57" t="n">
        <f aca="false">M59/$W71</f>
        <v>0.63375250015389</v>
      </c>
      <c r="AN72" s="57" t="n">
        <f aca="false">N59/$W71</f>
        <v>0.643347188120821</v>
      </c>
      <c r="AO72" s="57" t="n">
        <f aca="false">O59/$W71</f>
        <v>0.646354906004616</v>
      </c>
      <c r="AP72" s="57" t="n">
        <f aca="false">P59/$W71</f>
        <v>0.647876196963188</v>
      </c>
      <c r="AQ72" s="57" t="n">
        <f aca="false">Q59/$W71</f>
        <v>0.644053447357164</v>
      </c>
      <c r="AR72" s="57" t="n">
        <f aca="false">R59/$W71</f>
        <v>0.644383676037751</v>
      </c>
    </row>
    <row r="73" s="3" customFormat="true" ht="11.25" hidden="false" customHeight="false" outlineLevel="0" collapsed="false">
      <c r="T73" s="13"/>
      <c r="U73" s="58" t="str">
        <f aca="false">AA74</f>
        <v> Sobrecarga de apoio ONU Baixa (população/idade 15-64) (0 - 2,4)</v>
      </c>
      <c r="W73" s="71" t="n">
        <f aca="false">W71</f>
        <v>2.4</v>
      </c>
      <c r="Y73" s="72"/>
      <c r="AA73" s="29" t="str">
        <f aca="false">CONCATENATE(A66," (0 - ",W72/1000," Gp)")</f>
        <v> Pessoas nos EUA com idade entre 15 e 64 anos - Previsão de Baixa da ONU (Mp) (0 - 0,25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0.857649348</v>
      </c>
      <c r="AL73" s="57" t="n">
        <f aca="false">L66/$W72</f>
        <v>0.872615496</v>
      </c>
      <c r="AM73" s="57" t="n">
        <f aca="false">M66/$W72</f>
        <v>0.882718016</v>
      </c>
      <c r="AN73" s="57" t="n">
        <f aca="false">N66/$W72</f>
        <v>0.88148634</v>
      </c>
      <c r="AO73" s="57" t="n">
        <f aca="false">O66/$W72</f>
        <v>0.884712984</v>
      </c>
      <c r="AP73" s="57" t="n">
        <f aca="false">P66/$W72</f>
        <v>0.884987916</v>
      </c>
      <c r="AQ73" s="57" t="n">
        <f aca="false">Q66/$W72</f>
        <v>0.887091192</v>
      </c>
      <c r="AR73" s="57" t="n">
        <f aca="false">R66/$W72</f>
        <v>0.881506964</v>
      </c>
    </row>
    <row r="74" s="3" customFormat="true" ht="11.25" hidden="false" customHeight="false" outlineLevel="0" collapsed="false">
      <c r="T74" s="13"/>
      <c r="U74" s="37" t="str">
        <f aca="false">AA75</f>
        <v> Pessoas EUA Idade 15-64 (0 - 0,25 Gp) Sua previsão</v>
      </c>
      <c r="W74" s="4" t="n">
        <v>250</v>
      </c>
      <c r="Y74" s="72"/>
      <c r="AA74" s="29" t="str">
        <f aca="false">CONCATENATE(A67," (0 - ",W73,")")</f>
        <v> Sobrecarga de apoio ONU Baixa (população/idade 15-64) (0 - 2,4)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0.6317664978858</v>
      </c>
      <c r="AL74" s="57" t="n">
        <f aca="false">L67/$W73</f>
        <v>0.637931812524219</v>
      </c>
      <c r="AM74" s="57" t="n">
        <f aca="false">M67/$W73</f>
        <v>0.644182173347644</v>
      </c>
      <c r="AN74" s="57" t="n">
        <f aca="false">N67/$W73</f>
        <v>0.657130572588718</v>
      </c>
      <c r="AO74" s="57" t="n">
        <f aca="false">O67/$W73</f>
        <v>0.664942189130722</v>
      </c>
      <c r="AP74" s="57" t="n">
        <f aca="false">P67/$W73</f>
        <v>0.672494559048119</v>
      </c>
      <c r="AQ74" s="57" t="n">
        <f aca="false">Q67/$W73</f>
        <v>0.675400196060114</v>
      </c>
      <c r="AR74" s="57" t="n">
        <f aca="false">R67/$W73</f>
        <v>0.681116914390404</v>
      </c>
    </row>
    <row r="75" s="3" customFormat="true" ht="11.25" hidden="false" customHeight="false" outlineLevel="0" collapsed="false">
      <c r="T75" s="13"/>
      <c r="U75" s="37" t="str">
        <f aca="false">AA76</f>
        <v> Sobrecarga de apoio (população/idade 15-64) (0 - 2,4) Sua previsão</v>
      </c>
      <c r="W75" s="4" t="n">
        <v>2.4</v>
      </c>
      <c r="AA75" s="29" t="str">
        <f aca="false">CONCATENATE(AA71," Your forecast")</f>
        <v> Pessoas EUA Idade 15-64 (0 - 0,25 Gp) Sua previsão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0.8576</v>
      </c>
      <c r="AL75" s="57" t="n">
        <f aca="false">L61/$W74</f>
        <v>0.85516318608</v>
      </c>
      <c r="AM75" s="57" t="n">
        <f aca="false">M61/$W74</f>
        <v>0.86506365568</v>
      </c>
      <c r="AN75" s="57" t="n">
        <f aca="false">N61/$W74</f>
        <v>0.8638566132</v>
      </c>
      <c r="AO75" s="57" t="n">
        <f aca="false">O61/$W74</f>
        <v>0.86701872432</v>
      </c>
      <c r="AP75" s="57" t="n">
        <f aca="false">P61/$W74</f>
        <v>0.86728815768</v>
      </c>
      <c r="AQ75" s="57" t="n">
        <f aca="false">Q61/$W74</f>
        <v>0.87024</v>
      </c>
      <c r="AR75" s="57" t="n">
        <f aca="false">R61/$W74</f>
        <v>0.86387682472</v>
      </c>
    </row>
    <row r="76" s="3" customFormat="true" ht="11.25" hidden="false" customHeight="false" outlineLevel="0" collapsed="false">
      <c r="T76" s="13"/>
      <c r="AA76" s="29" t="str">
        <f aca="false">CONCATENATE(AA72," Your forecast ")</f>
        <v> Sobrecarga de apoio (população/idade 15-64) (0 - 2,4)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0.626883990874728</v>
      </c>
      <c r="AL76" s="57" t="n">
        <f aca="false">L63/$W75</f>
        <v>0.642178716518242</v>
      </c>
      <c r="AM76" s="57" t="n">
        <f aca="false">M63/$W75</f>
        <v>0.646196598221847</v>
      </c>
      <c r="AN76" s="57" t="n">
        <f aca="false">N63/$W75</f>
        <v>0.655802079995172</v>
      </c>
      <c r="AO76" s="57" t="n">
        <f aca="false">O63/$W75</f>
        <v>0.658758871309102</v>
      </c>
      <c r="AP76" s="57" t="n">
        <f aca="false">P63/$W75</f>
        <v>0.660274254081725</v>
      </c>
      <c r="AQ76" s="57" t="n">
        <f aca="false">Q63/$W75</f>
        <v>0.656411475822748</v>
      </c>
      <c r="AR76" s="57" t="n">
        <f aca="false">R63/$W75</f>
        <v>0.656838009983991</v>
      </c>
    </row>
    <row r="77" customFormat="false" ht="11.25" hidden="false" customHeight="false" outlineLevel="0" collapsed="false">
      <c r="T77" s="13"/>
    </row>
    <row r="78" customFormat="false" ht="11.25" hidden="false" customHeight="false" outlineLevel="0" collapsed="false"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EUA,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52</v>
      </c>
      <c r="B96" s="74" t="n">
        <v>4.23359657940635</v>
      </c>
      <c r="C96" s="74" t="n">
        <v>4.83929326880169</v>
      </c>
      <c r="D96" s="74" t="n">
        <v>5.76011096789823</v>
      </c>
      <c r="E96" s="74" t="n">
        <v>6.82644360648065</v>
      </c>
      <c r="F96" s="74" t="n">
        <v>7.98850086437623</v>
      </c>
      <c r="G96" s="74" t="n">
        <v>9.04619063009376</v>
      </c>
      <c r="H96" s="74" t="n">
        <v>11.1473053392797</v>
      </c>
      <c r="I96" s="74" t="n">
        <v>12.6820742072491</v>
      </c>
      <c r="J96" s="74" t="n">
        <v>12.7261064907806</v>
      </c>
      <c r="K96" s="75" t="n">
        <f aca="false">K97*K98/1000000</f>
        <v>13.6376742760842</v>
      </c>
      <c r="L96" s="75" t="n">
        <f aca="false">L97*L98/1000000</f>
        <v>14.4653696554514</v>
      </c>
      <c r="M96" s="75" t="n">
        <f aca="false">M97*M98/1000000</f>
        <v>15.1449887695674</v>
      </c>
      <c r="N96" s="75" t="n">
        <f aca="false">N97*N98/1000000</f>
        <v>15.5397626886346</v>
      </c>
      <c r="O96" s="75" t="n">
        <f aca="false">O97*O98/1000000</f>
        <v>15.9085782489744</v>
      </c>
      <c r="P96" s="75" t="n">
        <f aca="false">P97*P98/1000000</f>
        <v>16.1124409981207</v>
      </c>
      <c r="Q96" s="75" t="n">
        <f aca="false">Q97*Q98/1000000</f>
        <v>16.2481165950325</v>
      </c>
      <c r="R96" s="75" t="n">
        <f aca="false">R97*R98/1000000</f>
        <v>16.0889874556071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41</v>
      </c>
      <c r="B97" s="26" t="n">
        <f aca="false">B56</f>
        <v>131.070898</v>
      </c>
      <c r="C97" s="26" t="n">
        <f aca="false">C56</f>
        <v>142.839298</v>
      </c>
      <c r="D97" s="26" t="n">
        <f aca="false">D56</f>
        <v>153.96765</v>
      </c>
      <c r="E97" s="26" t="n">
        <f aca="false">E56</f>
        <v>162.081326</v>
      </c>
      <c r="F97" s="26" t="n">
        <f aca="false">F56</f>
        <v>169.003736</v>
      </c>
      <c r="G97" s="26" t="n">
        <f aca="false">G56</f>
        <v>176.886411</v>
      </c>
      <c r="H97" s="26" t="n">
        <f aca="false">H56</f>
        <v>189.696553</v>
      </c>
      <c r="I97" s="26" t="n">
        <f aca="false">I56</f>
        <v>201.869083</v>
      </c>
      <c r="J97" s="26" t="n">
        <f aca="false">J56</f>
        <v>210.084644</v>
      </c>
      <c r="K97" s="27" t="n">
        <f aca="false">K56</f>
        <v>214.412337</v>
      </c>
      <c r="L97" s="27" t="n">
        <f aca="false">L56</f>
        <v>218.153874</v>
      </c>
      <c r="M97" s="27" t="n">
        <f aca="false">M56</f>
        <v>220.679504</v>
      </c>
      <c r="N97" s="27" t="n">
        <f aca="false">N56</f>
        <v>220.371585</v>
      </c>
      <c r="O97" s="27" t="n">
        <f aca="false">O56</f>
        <v>221.178246</v>
      </c>
      <c r="P97" s="27" t="n">
        <f aca="false">P56</f>
        <v>221.246979</v>
      </c>
      <c r="Q97" s="27" t="n">
        <f aca="false">Q56</f>
        <v>222</v>
      </c>
      <c r="R97" s="27" t="n">
        <f aca="false">R56</f>
        <v>220.376741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32300.0501561098</v>
      </c>
      <c r="C98" s="27" t="n">
        <f aca="false">C96/C97*1000000</f>
        <v>33879.2848786032</v>
      </c>
      <c r="D98" s="27" t="n">
        <f aca="false">D96/D97*1000000</f>
        <v>37411.1767497798</v>
      </c>
      <c r="E98" s="27" t="n">
        <f aca="false">E96/E97*1000000</f>
        <v>42117.3973273186</v>
      </c>
      <c r="F98" s="27" t="n">
        <f aca="false">F96/F97*1000000</f>
        <v>47268.1909492003</v>
      </c>
      <c r="G98" s="27" t="n">
        <f aca="false">G96/G97*1000000</f>
        <v>51141.2413138608</v>
      </c>
      <c r="H98" s="27" t="n">
        <f aca="false">H96/H97*1000000</f>
        <v>58763.8792744942</v>
      </c>
      <c r="I98" s="27" t="n">
        <f aca="false">I96/I97*1000000</f>
        <v>62823.2615850796</v>
      </c>
      <c r="J98" s="27" t="n">
        <f aca="false">J96/J97*1000000</f>
        <v>60576.0908959183</v>
      </c>
      <c r="K98" s="27" t="n">
        <f aca="false">J98*(1+K99 /100*5)</f>
        <v>63604.8954407142</v>
      </c>
      <c r="L98" s="27" t="n">
        <f aca="false">K98*(1+L99 /100*5)</f>
        <v>66308.1034969445</v>
      </c>
      <c r="M98" s="27" t="n">
        <f aca="false">L98*(1+M99 /100*5)</f>
        <v>68628.8871193376</v>
      </c>
      <c r="N98" s="27" t="n">
        <f aca="false">M98*(1+N99 /100*5)</f>
        <v>70516.1815151194</v>
      </c>
      <c r="O98" s="27" t="n">
        <f aca="false">N98*(1+O99 /100*5)</f>
        <v>71926.5051454218</v>
      </c>
      <c r="P98" s="27" t="n">
        <f aca="false">O98*(1+P99 /100*5)</f>
        <v>72825.5864597395</v>
      </c>
      <c r="Q98" s="27" t="n">
        <f aca="false">P98*(1+Q99 /100*5)</f>
        <v>73189.7143920382</v>
      </c>
      <c r="R98" s="27" t="n">
        <f aca="false">Q98*(1+R99 /100*5)</f>
        <v>73006.7401060581</v>
      </c>
      <c r="S98" s="76" t="s">
        <v>57</v>
      </c>
      <c r="T98" s="13"/>
      <c r="U98" s="41"/>
      <c r="AA98" s="77" t="n">
        <v>3.58841081124534</v>
      </c>
      <c r="AB98" s="3" t="s">
        <v>58</v>
      </c>
    </row>
    <row r="99" customFormat="false" ht="11.25" hidden="false" customHeight="false" outlineLevel="0" collapsed="false">
      <c r="A99" s="11" t="s">
        <v>59</v>
      </c>
      <c r="B99" s="75" t="n">
        <f aca="false">(((B98/AA100)-1)/5)*100</f>
        <v>1.8828432398003</v>
      </c>
      <c r="C99" s="75" t="n">
        <f aca="false">(((C98/B98)-1)/5)*100</f>
        <v>0.977852798903269</v>
      </c>
      <c r="D99" s="75" t="n">
        <f aca="false">(((D98/C98)-1)/5)*100</f>
        <v>2.0849860815139</v>
      </c>
      <c r="E99" s="75" t="n">
        <f aca="false">(((E98/D98)-1)/5)*100</f>
        <v>2.51594362241842</v>
      </c>
      <c r="F99" s="75" t="n">
        <f aca="false">(((F98/E98)-1)/5)*100</f>
        <v>2.44592208860954</v>
      </c>
      <c r="G99" s="75" t="n">
        <f aca="false">(((G98/F98)-1)/5)*100</f>
        <v>1.63875548730983</v>
      </c>
      <c r="H99" s="75" t="n">
        <f aca="false">(((H98/G98)-1)/5)*100</f>
        <v>2.98101405628863</v>
      </c>
      <c r="I99" s="75" t="n">
        <f aca="false">(((I98/H98)-1)/5)*100</f>
        <v>1.38159099116772</v>
      </c>
      <c r="J99" s="75" t="n">
        <f aca="false">(((J98/I98)-1)/5)*100</f>
        <v>-0.715394467738062</v>
      </c>
      <c r="K99" s="78" t="n">
        <v>1</v>
      </c>
      <c r="L99" s="78" t="n">
        <v>0.85</v>
      </c>
      <c r="M99" s="78" t="n">
        <v>0.7</v>
      </c>
      <c r="N99" s="78" t="n">
        <v>0.55</v>
      </c>
      <c r="O99" s="78" t="n">
        <v>0.4</v>
      </c>
      <c r="P99" s="78" t="n">
        <v>0.25</v>
      </c>
      <c r="Q99" s="78" t="n">
        <v>0.1</v>
      </c>
      <c r="R99" s="78" t="n">
        <v>-0.05</v>
      </c>
      <c r="S99" s="76" t="s">
        <v>60</v>
      </c>
      <c r="T99" s="13"/>
      <c r="U99" s="41"/>
      <c r="AA99" s="36" t="n">
        <v>121.554968</v>
      </c>
      <c r="AB99" s="3" t="s">
        <v>61</v>
      </c>
    </row>
    <row r="100" customFormat="false" ht="11.25" hidden="false" customHeight="false" outlineLevel="0" collapsed="false">
      <c r="A100" s="11" t="str">
        <f aca="false">A9</f>
        <v> População, EUA</v>
      </c>
      <c r="B100" s="26" t="n">
        <f aca="false">B9</f>
        <v>212.243475</v>
      </c>
      <c r="C100" s="26" t="n">
        <f aca="false">C9</f>
        <v>222.133059</v>
      </c>
      <c r="D100" s="26" t="n">
        <f aca="false">D9</f>
        <v>233.119438</v>
      </c>
      <c r="E100" s="26" t="n">
        <f aca="false">E9</f>
        <v>244.603821</v>
      </c>
      <c r="F100" s="26" t="n">
        <f aca="false">F9</f>
        <v>256.971165</v>
      </c>
      <c r="G100" s="26" t="n">
        <f aca="false">G9</f>
        <v>270.132353</v>
      </c>
      <c r="H100" s="26" t="n">
        <f aca="false">H9</f>
        <v>286.419174</v>
      </c>
      <c r="I100" s="26" t="n">
        <f aca="false">I9</f>
        <v>300.711645</v>
      </c>
      <c r="J100" s="26" t="n">
        <f aca="false">J9</f>
        <v>314.242013</v>
      </c>
      <c r="K100" s="27" t="n">
        <f aca="false">K9</f>
        <v>322.559515897</v>
      </c>
      <c r="L100" s="27" t="n">
        <f aca="false">L9</f>
        <v>329.631882282179</v>
      </c>
      <c r="M100" s="27" t="n">
        <f aca="false">M9</f>
        <v>335.654849742529</v>
      </c>
      <c r="N100" s="27" t="n">
        <f aca="false">N9</f>
        <v>340.261054923548</v>
      </c>
      <c r="O100" s="27" t="n">
        <f aca="false">O9</f>
        <v>343.10314656863</v>
      </c>
      <c r="P100" s="27" t="n">
        <f aca="false">P9</f>
        <v>344.017563225874</v>
      </c>
      <c r="Q100" s="27" t="n">
        <f aca="false">Q9</f>
        <v>343.151676751897</v>
      </c>
      <c r="R100" s="27" t="n">
        <f aca="false">R9</f>
        <v>340.817218749119</v>
      </c>
      <c r="S100" s="76" t="s">
        <v>17</v>
      </c>
      <c r="T100" s="13"/>
      <c r="U100" s="41"/>
      <c r="AA100" s="27" t="n">
        <f aca="false">AA98/AA99*1000000</f>
        <v>29520.8897693539</v>
      </c>
      <c r="AB100" s="3" t="s">
        <v>62</v>
      </c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19946.8868449612</v>
      </c>
      <c r="C101" s="27" t="n">
        <f aca="false">C96/C100*1000000</f>
        <v>21785.5608282137</v>
      </c>
      <c r="D101" s="27" t="n">
        <f aca="false">D96/D100*1000000</f>
        <v>24708.8403151445</v>
      </c>
      <c r="E101" s="27" t="n">
        <f aca="false">E96/E100*1000000</f>
        <v>27908.1642247962</v>
      </c>
      <c r="F101" s="27" t="n">
        <f aca="false">F96/F100*1000000</f>
        <v>31087.1488806</v>
      </c>
      <c r="G101" s="27" t="n">
        <f aca="false">G96/G100*1000000</f>
        <v>33487.9940504341</v>
      </c>
      <c r="H101" s="27" t="n">
        <f aca="false">H96/H100*1000000</f>
        <v>38919.5499156062</v>
      </c>
      <c r="I101" s="27" t="n">
        <f aca="false">I96/I100*1000000</f>
        <v>42173.5387309299</v>
      </c>
      <c r="J101" s="27" t="n">
        <f aca="false">J96/J100*1000000</f>
        <v>40497.7882151634</v>
      </c>
      <c r="K101" s="27" t="n">
        <f aca="false">K96/K100*1000000</f>
        <v>42279.5595974263</v>
      </c>
      <c r="L101" s="27" t="n">
        <f aca="false">L96/L100*1000000</f>
        <v>43883.4058019559</v>
      </c>
      <c r="M101" s="27" t="n">
        <f aca="false">M96/M100*1000000</f>
        <v>45120.7208273162</v>
      </c>
      <c r="N101" s="27" t="n">
        <f aca="false">N96/N100*1000000</f>
        <v>45670.1184686744</v>
      </c>
      <c r="O101" s="27" t="n">
        <f aca="false">O96/O100*1000000</f>
        <v>46366.7512468943</v>
      </c>
      <c r="P101" s="27" t="n">
        <f aca="false">P96/P100*1000000</f>
        <v>46836.1000148751</v>
      </c>
      <c r="Q101" s="27" t="n">
        <f aca="false">Q96/Q100*1000000</f>
        <v>47349.6639993984</v>
      </c>
      <c r="R101" s="27" t="n">
        <f aca="false">R96/R100*1000000</f>
        <v>47207.0851192834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6"/>
      <c r="T102" s="13"/>
      <c r="U102" s="36"/>
    </row>
    <row r="103" customFormat="false" ht="11.25" hidden="false" customHeight="true" outlineLevel="0" collapsed="false">
      <c r="A103" s="63"/>
      <c r="B103" s="41"/>
      <c r="C103" s="41"/>
      <c r="D103" s="41"/>
      <c r="E103" s="47"/>
      <c r="F103" s="47"/>
      <c r="G103" s="80"/>
      <c r="H103" s="80"/>
      <c r="I103" s="81"/>
      <c r="J103" s="82" t="s">
        <v>65</v>
      </c>
      <c r="K103" s="83" t="n">
        <v>1</v>
      </c>
      <c r="L103" s="83" t="n">
        <f aca="false">L99*0.95</f>
        <v>0.8075</v>
      </c>
      <c r="M103" s="83" t="n">
        <f aca="false">M99*0.95</f>
        <v>0.665</v>
      </c>
      <c r="N103" s="83" t="n">
        <f aca="false">N99*0.95</f>
        <v>0.5225</v>
      </c>
      <c r="O103" s="83" t="n">
        <f aca="false">O99*0.95</f>
        <v>0.38</v>
      </c>
      <c r="P103" s="83" t="n">
        <f aca="false">P99*0.95</f>
        <v>0.2375</v>
      </c>
      <c r="Q103" s="83" t="n">
        <f aca="false">Q99*0.95</f>
        <v>0.095</v>
      </c>
      <c r="R103" s="83" t="n">
        <f aca="false">R99*0.95</f>
        <v>-0.0475</v>
      </c>
      <c r="S103" s="76" t="s">
        <v>60</v>
      </c>
      <c r="T103" s="13"/>
    </row>
    <row r="104" customFormat="false" ht="11.25" hidden="false" customHeight="tru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dos EUA, sua previsão</v>
      </c>
      <c r="K104" s="43" t="n">
        <f aca="false">K105*K61/1000000</f>
        <v>13.6368895824891</v>
      </c>
      <c r="L104" s="43" t="n">
        <f aca="false">L105*L61/1000000</f>
        <v>14.1471662121673</v>
      </c>
      <c r="M104" s="43" t="n">
        <f aca="false">M105*M61/1000000</f>
        <v>14.7867911695285</v>
      </c>
      <c r="N104" s="43" t="n">
        <f aca="false">N105*N61/1000000</f>
        <v>15.1519247317744</v>
      </c>
      <c r="O104" s="43" t="n">
        <f aca="false">O105*O61/1000000</f>
        <v>15.4963280872901</v>
      </c>
      <c r="P104" s="43" t="n">
        <f aca="false">P105*P61/1000000</f>
        <v>15.6852197830197</v>
      </c>
      <c r="Q104" s="43" t="n">
        <f aca="false">Q105*Q61/1000000</f>
        <v>15.81336329158</v>
      </c>
      <c r="R104" s="43" t="n">
        <f aca="false">R105*R61/1000000</f>
        <v>15.6604542115523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J98*(1+K103/100*5)</f>
        <v>63604.8954407142</v>
      </c>
      <c r="L105" s="84" t="n">
        <f aca="false">K105*(1+L103/100*5)</f>
        <v>66172.943094133</v>
      </c>
      <c r="M105" s="84" t="n">
        <f aca="false">L105*(1+M103/100*5)</f>
        <v>68373.1934520129</v>
      </c>
      <c r="N105" s="84" t="n">
        <f aca="false">M105*(1+N103/100*5)</f>
        <v>70159.4431309468</v>
      </c>
      <c r="O105" s="84" t="n">
        <f aca="false">N105*(1+O103/100*5)</f>
        <v>71492.4725504347</v>
      </c>
      <c r="P105" s="84" t="n">
        <f aca="false">O105*(1+P103/100*5)</f>
        <v>72341.4456619712</v>
      </c>
      <c r="Q105" s="84" t="n">
        <f aca="false">P105*(1+Q103/100*5)</f>
        <v>72685.0675288655</v>
      </c>
      <c r="R105" s="84" t="n">
        <f aca="false">Q105*(1+R103/100*5)</f>
        <v>72512.4404934845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5" t="str">
        <f aca="false">U27</f>
        <v> Para o gráfico à esquerda, nomes das variáveis (unidade)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PIB dos EUA (0 - 18 trilhões de dólares/ano)</v>
      </c>
      <c r="V108" s="25" t="n">
        <v>18</v>
      </c>
      <c r="W108" s="70" t="n">
        <v>18</v>
      </c>
      <c r="AA108" s="29" t="str">
        <f aca="false">CONCATENATE(A96," (0 - ",W108," T$ / yr)")</f>
        <v> PIB dos EUA (0 - 18 trilhões de dólares/ano)</v>
      </c>
      <c r="AB108" s="57" t="n">
        <f aca="false">B96/$W108</f>
        <v>0.235199809967019</v>
      </c>
      <c r="AC108" s="57" t="n">
        <f aca="false">C96/$W108</f>
        <v>0.268849626044538</v>
      </c>
      <c r="AD108" s="57" t="n">
        <f aca="false">D96/$W108</f>
        <v>0.320006164883235</v>
      </c>
      <c r="AE108" s="57" t="n">
        <f aca="false">E96/$W108</f>
        <v>0.379246867026703</v>
      </c>
      <c r="AF108" s="57" t="n">
        <f aca="false">F96/$W108</f>
        <v>0.443805603576457</v>
      </c>
      <c r="AG108" s="57" t="n">
        <f aca="false">G96/$W108</f>
        <v>0.50256614611632</v>
      </c>
      <c r="AH108" s="57" t="n">
        <f aca="false">H96/$W108</f>
        <v>0.619294741071094</v>
      </c>
      <c r="AI108" s="57" t="n">
        <f aca="false">I96/$W108</f>
        <v>0.704559678180508</v>
      </c>
      <c r="AJ108" s="57" t="n">
        <f aca="false">J96/$W108</f>
        <v>0.707005916154479</v>
      </c>
      <c r="AK108" s="57" t="n">
        <f aca="false">K96/$W108</f>
        <v>0.757648570893565</v>
      </c>
      <c r="AL108" s="57" t="n">
        <f aca="false">L96/$W108</f>
        <v>0.803631647525078</v>
      </c>
      <c r="AM108" s="57" t="n">
        <f aca="false">M96/$W108</f>
        <v>0.841388264975967</v>
      </c>
      <c r="AN108" s="57" t="n">
        <f aca="false">N96/$W108</f>
        <v>0.863320149368586</v>
      </c>
      <c r="AO108" s="57" t="n">
        <f aca="false">O96/$W108</f>
        <v>0.883809902720798</v>
      </c>
      <c r="AP108" s="57" t="n">
        <f aca="false">P96/$W108</f>
        <v>0.895135611006704</v>
      </c>
      <c r="AQ108" s="57" t="n">
        <f aca="false">Q96/$W108</f>
        <v>0.902673144168471</v>
      </c>
      <c r="AR108" s="57" t="n">
        <f aca="false">R96/$W108</f>
        <v>0.893832636422616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(0 - 90000 $ / pessoa-ano)</v>
      </c>
      <c r="V109" s="25" t="n">
        <v>90000</v>
      </c>
      <c r="W109" s="70" t="n">
        <f aca="false">W112</f>
        <v>90000</v>
      </c>
      <c r="AA109" s="29" t="str">
        <f aca="false">CONCATENATE(A98," (0 - ",W109," $ / person-yr)")</f>
        <v> Produtividade do trabalho (0 - 90000 $ / pessoa-ano)</v>
      </c>
      <c r="AB109" s="57" t="n">
        <f aca="false">B98/$W109</f>
        <v>0.358889446178998</v>
      </c>
      <c r="AC109" s="57" t="n">
        <f aca="false">C98/$W109</f>
        <v>0.376436498651146</v>
      </c>
      <c r="AD109" s="57" t="n">
        <f aca="false">D98/$W109</f>
        <v>0.41567974166422</v>
      </c>
      <c r="AE109" s="57" t="n">
        <f aca="false">E98/$W109</f>
        <v>0.467971081414651</v>
      </c>
      <c r="AF109" s="57" t="n">
        <f aca="false">F98/$W109</f>
        <v>0.525202121657781</v>
      </c>
      <c r="AG109" s="57" t="n">
        <f aca="false">G98/$W109</f>
        <v>0.568236014598453</v>
      </c>
      <c r="AH109" s="57" t="n">
        <f aca="false">H98/$W109</f>
        <v>0.652931991938824</v>
      </c>
      <c r="AI109" s="57" t="n">
        <f aca="false">I98/$W109</f>
        <v>0.698036239834218</v>
      </c>
      <c r="AJ109" s="57" t="n">
        <f aca="false">J98/$W109</f>
        <v>0.673067676621314</v>
      </c>
      <c r="AK109" s="57" t="n">
        <f aca="false">K98/$W109</f>
        <v>0.70672106045238</v>
      </c>
      <c r="AL109" s="57" t="n">
        <f aca="false">L98/$W109</f>
        <v>0.736756705521606</v>
      </c>
      <c r="AM109" s="57" t="n">
        <f aca="false">M98/$W109</f>
        <v>0.762543190214862</v>
      </c>
      <c r="AN109" s="57" t="n">
        <f aca="false">N98/$W109</f>
        <v>0.783513127945771</v>
      </c>
      <c r="AO109" s="57" t="n">
        <f aca="false">O98/$W109</f>
        <v>0.799183390504686</v>
      </c>
      <c r="AP109" s="57" t="n">
        <f aca="false">P98/$W109</f>
        <v>0.809173182885995</v>
      </c>
      <c r="AQ109" s="57" t="n">
        <f aca="false">Q98/$W109</f>
        <v>0.813219048800425</v>
      </c>
      <c r="AR109" s="57" t="n">
        <f aca="false">R98/$W109</f>
        <v>0.811186001178424</v>
      </c>
    </row>
    <row r="110" customFormat="false" ht="11.25" hidden="false" customHeight="false" outlineLevel="0" collapsed="false">
      <c r="T110" s="13"/>
      <c r="U110" s="15" t="str">
        <f aca="false">AA110</f>
        <v> PIB per capita (0 - 50.000 $ / pessoa-ano)</v>
      </c>
      <c r="V110" s="25" t="n">
        <v>50000</v>
      </c>
      <c r="W110" s="70" t="n">
        <v>50000</v>
      </c>
      <c r="AA110" s="29" t="str">
        <f aca="false">CONCATENATE(A101," (0 - ",W110," $ / person-yr)")</f>
        <v>PIB per capita (0 - 50.000 $ / pessoa-ano)</v>
      </c>
      <c r="AB110" s="57" t="n">
        <f aca="false">B101/$W110</f>
        <v>0.398937736899224</v>
      </c>
      <c r="AC110" s="57" t="n">
        <f aca="false">C101/$W110</f>
        <v>0.435711216564275</v>
      </c>
      <c r="AD110" s="57" t="n">
        <f aca="false">D101/$W110</f>
        <v>0.49417680630289</v>
      </c>
      <c r="AE110" s="57" t="n">
        <f aca="false">E101/$W110</f>
        <v>0.558163284495924</v>
      </c>
      <c r="AF110" s="57" t="n">
        <f aca="false">F101/$W110</f>
        <v>0.621742977612</v>
      </c>
      <c r="AG110" s="57" t="n">
        <f aca="false">G101/$W110</f>
        <v>0.669759881008682</v>
      </c>
      <c r="AH110" s="57" t="n">
        <f aca="false">H101/$W110</f>
        <v>0.778390998312123</v>
      </c>
      <c r="AI110" s="57" t="n">
        <f aca="false">I101/$W110</f>
        <v>0.843470774618598</v>
      </c>
      <c r="AJ110" s="57" t="n">
        <f aca="false">J101/$W110</f>
        <v>0.809955764303268</v>
      </c>
      <c r="AK110" s="57" t="n">
        <f aca="false">K101/$W110</f>
        <v>0.845591191948525</v>
      </c>
      <c r="AL110" s="57" t="n">
        <f aca="false">L101/$W110</f>
        <v>0.877668116039117</v>
      </c>
      <c r="AM110" s="57" t="n">
        <f aca="false">M101/$W110</f>
        <v>0.902414416546324</v>
      </c>
      <c r="AN110" s="57" t="n">
        <f aca="false">N101/$W110</f>
        <v>0.913402369373487</v>
      </c>
      <c r="AO110" s="57" t="n">
        <f aca="false">O101/$W110</f>
        <v>0.927335024937885</v>
      </c>
      <c r="AP110" s="57" t="n">
        <f aca="false">P101/$W110</f>
        <v>0.936722000297503</v>
      </c>
      <c r="AQ110" s="57" t="n">
        <f aca="false">Q101/$W110</f>
        <v>0.946993279987968</v>
      </c>
      <c r="AR110" s="57" t="n">
        <f aca="false">R101/$W110</f>
        <v>0.944141702385668</v>
      </c>
    </row>
    <row r="111" customFormat="false" ht="11.25" hidden="false" customHeight="false" outlineLevel="0" collapsed="false">
      <c r="T111" s="13"/>
      <c r="U111" s="15" t="str">
        <f aca="false">AA111</f>
        <v> Crescimento da produtividade (0 - 3 % / ano)</v>
      </c>
      <c r="V111" s="86" t="n">
        <v>3</v>
      </c>
      <c r="W111" s="70" t="n">
        <f aca="false">W113</f>
        <v>3</v>
      </c>
      <c r="AA111" s="29" t="str">
        <f aca="false">CONCATENATE(A99," (0 - ",W111," % / yr)")</f>
        <v> Crescimento da produtividade (0 - 3 % / ano)</v>
      </c>
      <c r="AB111" s="57" t="n">
        <f aca="false">B99/$W111</f>
        <v>0.627614413266766</v>
      </c>
      <c r="AC111" s="57" t="n">
        <f aca="false">C99/$W111</f>
        <v>0.325950932967756</v>
      </c>
      <c r="AD111" s="57" t="n">
        <f aca="false">D99/$W111</f>
        <v>0.694995360504633</v>
      </c>
      <c r="AE111" s="57" t="n">
        <f aca="false">E99/$W111</f>
        <v>0.838647874139474</v>
      </c>
      <c r="AF111" s="57" t="n">
        <f aca="false">F99/$W111</f>
        <v>0.815307362869847</v>
      </c>
      <c r="AG111" s="57" t="n">
        <f aca="false">G99/$W111</f>
        <v>0.546251829103276</v>
      </c>
      <c r="AH111" s="57" t="n">
        <f aca="false">H99/$W111</f>
        <v>0.993671352096211</v>
      </c>
      <c r="AI111" s="57" t="n">
        <f aca="false">I99/$W111</f>
        <v>0.460530330389239</v>
      </c>
      <c r="AJ111" s="57" t="n">
        <f aca="false">J99/$W111</f>
        <v>-0.238464822579354</v>
      </c>
      <c r="AK111" s="57" t="n">
        <f aca="false">K99/$W111</f>
        <v>0.333333333333333</v>
      </c>
      <c r="AL111" s="57" t="n">
        <f aca="false">L99/$W111</f>
        <v>0.283333333333333</v>
      </c>
      <c r="AM111" s="57" t="n">
        <f aca="false">M99/$W111</f>
        <v>0.233333333333333</v>
      </c>
      <c r="AN111" s="57" t="n">
        <f aca="false">N99/$W111</f>
        <v>0.183333333333333</v>
      </c>
      <c r="AO111" s="57" t="n">
        <f aca="false">O99/$W111</f>
        <v>0.133333333333333</v>
      </c>
      <c r="AP111" s="57" t="n">
        <f aca="false">P99/$W111</f>
        <v>0.0833333333333333</v>
      </c>
      <c r="AQ111" s="57" t="n">
        <f aca="false">Q99/$W111</f>
        <v>0.0333333333333333</v>
      </c>
      <c r="AR111" s="57" t="n">
        <f aca="false">R99/$W111</f>
        <v>-0.0166666666666667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(0 - 90.000 $/pessoa-ano) Sua previsão</v>
      </c>
      <c r="W112" s="4" t="n">
        <v>90000</v>
      </c>
      <c r="AA112" s="29" t="str">
        <f aca="false">CONCATENATE(A98," (0 - ",W112," $ / person-yr) Your forecast")</f>
        <v> Produtividade do trabalho (0 - 90.000 $/pessoa-ano)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0.70672106045238</v>
      </c>
      <c r="AL112" s="57" t="n">
        <f aca="false">L105/$W112</f>
        <v>0.735254923268145</v>
      </c>
      <c r="AM112" s="57" t="n">
        <f aca="false">M105/$W112</f>
        <v>0.75970214946681</v>
      </c>
      <c r="AN112" s="57" t="n">
        <f aca="false">N105/$W112</f>
        <v>0.779549368121631</v>
      </c>
      <c r="AO112" s="57" t="n">
        <f aca="false">O105/$W112</f>
        <v>0.794360806115942</v>
      </c>
      <c r="AP112" s="57" t="n">
        <f aca="false">P105/$W112</f>
        <v>0.803793840688568</v>
      </c>
      <c r="AQ112" s="57" t="n">
        <f aca="false">Q105/$W112</f>
        <v>0.807611861431839</v>
      </c>
      <c r="AR112" s="57" t="n">
        <f aca="false">R105/$W112</f>
        <v>0.805693783260939</v>
      </c>
    </row>
    <row r="113" customFormat="false" ht="11.25" hidden="false" customHeight="false" outlineLevel="0" collapsed="false">
      <c r="T113" s="13"/>
      <c r="U113" s="37" t="str">
        <f aca="false">AA113</f>
        <v> Crescimento da produtividade (0 - 3% ao ano) Sua previsão</v>
      </c>
      <c r="W113" s="87" t="n">
        <v>3</v>
      </c>
      <c r="AA113" s="29" t="str">
        <f aca="false">CONCATENATE(A99," (0 - ",W113," % / yr) Your forecast")</f>
        <v> Crescimento da produtividade (0 - 3%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0.333333333333333</v>
      </c>
      <c r="AL113" s="57" t="n">
        <f aca="false">L103/$W113</f>
        <v>0.269166666666667</v>
      </c>
      <c r="AM113" s="57" t="n">
        <f aca="false">M103/$W113</f>
        <v>0.221666666666667</v>
      </c>
      <c r="AN113" s="57" t="n">
        <f aca="false">N103/$W113</f>
        <v>0.174166666666667</v>
      </c>
      <c r="AO113" s="57" t="n">
        <f aca="false">O103/$W113</f>
        <v>0.126666666666667</v>
      </c>
      <c r="AP113" s="57" t="n">
        <f aca="false">P103/$W113</f>
        <v>0.0791666666666667</v>
      </c>
      <c r="AQ113" s="57" t="n">
        <f aca="false">Q103/$W113</f>
        <v>0.0316666666666667</v>
      </c>
      <c r="AR113" s="57" t="n">
        <f aca="false">R103/$W113</f>
        <v>-0.0158333333333333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EUA,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 PIB EUA</v>
      </c>
      <c r="B134" s="88" t="n">
        <f aca="false">B96</f>
        <v>4.23359657940635</v>
      </c>
      <c r="C134" s="88" t="n">
        <f aca="false">C96</f>
        <v>4.83929326880169</v>
      </c>
      <c r="D134" s="88" t="n">
        <f aca="false">D96</f>
        <v>5.76011096789823</v>
      </c>
      <c r="E134" s="88" t="n">
        <f aca="false">E96</f>
        <v>6.82644360648065</v>
      </c>
      <c r="F134" s="88" t="n">
        <f aca="false">F96</f>
        <v>7.98850086437623</v>
      </c>
      <c r="G134" s="88" t="n">
        <f aca="false">G96</f>
        <v>9.04619063009376</v>
      </c>
      <c r="H134" s="88" t="n">
        <f aca="false">H96</f>
        <v>11.1473053392797</v>
      </c>
      <c r="I134" s="88" t="n">
        <f aca="false">I96</f>
        <v>12.6820742072491</v>
      </c>
      <c r="J134" s="88" t="n">
        <f aca="false">J96</f>
        <v>12.7261064907806</v>
      </c>
      <c r="K134" s="31" t="n">
        <f aca="false">K96</f>
        <v>13.6376742760842</v>
      </c>
      <c r="L134" s="31" t="n">
        <f aca="false">L96</f>
        <v>14.4653696554514</v>
      </c>
      <c r="M134" s="31" t="n">
        <f aca="false">M96</f>
        <v>15.1449887695674</v>
      </c>
      <c r="N134" s="31" t="n">
        <f aca="false">N96</f>
        <v>15.5397626886346</v>
      </c>
      <c r="O134" s="31" t="n">
        <f aca="false">O96</f>
        <v>15.9085782489744</v>
      </c>
      <c r="P134" s="31" t="n">
        <f aca="false">P96</f>
        <v>16.1124409981207</v>
      </c>
      <c r="Q134" s="31" t="n">
        <f aca="false">Q96</f>
        <v>16.2481165950325</v>
      </c>
      <c r="R134" s="31" t="n">
        <f aca="false">R96</f>
        <v>16.0889874556071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0" t="n">
        <v>0.688571038765245</v>
      </c>
      <c r="C135" s="30" t="n">
        <v>0.734033583007808</v>
      </c>
      <c r="D135" s="30" t="n">
        <v>0.999655134681794</v>
      </c>
      <c r="E135" s="30" t="n">
        <v>1.29007616923188</v>
      </c>
      <c r="F135" s="30" t="n">
        <v>1.39467517004401</v>
      </c>
      <c r="G135" s="30" t="n">
        <v>1.73645494756178</v>
      </c>
      <c r="H135" s="30" t="n">
        <v>2.60118992201048</v>
      </c>
      <c r="I135" s="30" t="n">
        <v>2.90588379037762</v>
      </c>
      <c r="J135" s="30" t="n">
        <v>2.10418395028073</v>
      </c>
      <c r="K135" s="31" t="n">
        <f aca="false">K134*K137/100</f>
        <v>2.543534227603</v>
      </c>
      <c r="L135" s="31" t="n">
        <f aca="false">L134*L137/100</f>
        <v>3.16800185078407</v>
      </c>
      <c r="M135" s="31" t="n">
        <f aca="false">M134*M137/100</f>
        <v>3.68787221428439</v>
      </c>
      <c r="N135" s="31" t="n">
        <f aca="false">N134*N137/100</f>
        <v>4.12391642877511</v>
      </c>
      <c r="O135" s="31" t="n">
        <f aca="false">O134*O137/100</f>
        <v>4.53845894147622</v>
      </c>
      <c r="P135" s="31" t="n">
        <f aca="false">P134*P137/100</f>
        <v>4.89355483364255</v>
      </c>
      <c r="Q135" s="31" t="n">
        <f aca="false">Q134*Q137/100</f>
        <v>5.31369651052385</v>
      </c>
      <c r="R135" s="31" t="n">
        <f aca="false">R134*R137/100</f>
        <v>5.67178573519895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PIB dos EUA (0 - 17 trilhões de dólares/ano)</v>
      </c>
      <c r="AB135" s="57" t="n">
        <f aca="false">B134/$W155</f>
        <v>0.249035092906256</v>
      </c>
      <c r="AC135" s="57" t="n">
        <f aca="false">C134/$W155</f>
        <v>0.284664309929511</v>
      </c>
      <c r="AD135" s="57" t="n">
        <f aca="false">D134/$W155</f>
        <v>0.33883005693519</v>
      </c>
      <c r="AE135" s="57" t="n">
        <f aca="false">E134/$W155</f>
        <v>0.401555506263568</v>
      </c>
      <c r="AF135" s="57" t="n">
        <f aca="false">F134/$W155</f>
        <v>0.469911815551543</v>
      </c>
      <c r="AG135" s="57" t="n">
        <f aca="false">G134/$W155</f>
        <v>0.532128860593751</v>
      </c>
      <c r="AH135" s="57" t="n">
        <f aca="false">H134/$W155</f>
        <v>0.655723843487041</v>
      </c>
      <c r="AI135" s="57" t="n">
        <f aca="false">I134/$W155</f>
        <v>0.746004365132303</v>
      </c>
      <c r="AJ135" s="57" t="n">
        <f aca="false">J134/$W155</f>
        <v>0.748594499457684</v>
      </c>
      <c r="AK135" s="57" t="n">
        <f aca="false">K134/$W155</f>
        <v>0.802216133887304</v>
      </c>
      <c r="AL135" s="57" t="n">
        <f aca="false">L134/$W155</f>
        <v>0.850904097379494</v>
      </c>
      <c r="AM135" s="57" t="n">
        <f aca="false">M134/$W155</f>
        <v>0.890881692327494</v>
      </c>
      <c r="AN135" s="57" t="n">
        <f aca="false">N134/$W155</f>
        <v>0.914103687566739</v>
      </c>
      <c r="AO135" s="57" t="n">
        <f aca="false">O134/$W155</f>
        <v>0.935798720527903</v>
      </c>
      <c r="AP135" s="57" t="n">
        <f aca="false">P134/$W155</f>
        <v>0.947790646948275</v>
      </c>
      <c r="AQ135" s="57" t="n">
        <f aca="false">Q134/$W155</f>
        <v>0.955771564413675</v>
      </c>
      <c r="AR135" s="57" t="n">
        <f aca="false">R134/$W155</f>
        <v>0.946411026800417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3.5450255406411</v>
      </c>
      <c r="C136" s="65" t="n">
        <f aca="false">C134-C135</f>
        <v>4.10525968579388</v>
      </c>
      <c r="D136" s="65" t="n">
        <f aca="false">D134-D135</f>
        <v>4.76045583321643</v>
      </c>
      <c r="E136" s="65" t="n">
        <f aca="false">E134-E135</f>
        <v>5.53636743724877</v>
      </c>
      <c r="F136" s="65" t="n">
        <f aca="false">F134-F135</f>
        <v>6.59382569433222</v>
      </c>
      <c r="G136" s="65" t="n">
        <f aca="false">G134-G135</f>
        <v>7.30973568253198</v>
      </c>
      <c r="H136" s="65" t="n">
        <f aca="false">H134-H135</f>
        <v>8.5461154172692</v>
      </c>
      <c r="I136" s="65" t="n">
        <f aca="false">I134-I135</f>
        <v>9.77619041687153</v>
      </c>
      <c r="J136" s="65" t="n">
        <f aca="false">J134-J135</f>
        <v>10.6219225404999</v>
      </c>
      <c r="K136" s="65" t="n">
        <f aca="false">K134-K135</f>
        <v>11.0941400484812</v>
      </c>
      <c r="L136" s="65" t="n">
        <f aca="false">L134-L135</f>
        <v>11.2973678046673</v>
      </c>
      <c r="M136" s="65" t="n">
        <f aca="false">M134-M135</f>
        <v>11.457116555283</v>
      </c>
      <c r="N136" s="65" t="n">
        <f aca="false">N134-N135</f>
        <v>11.4158462598594</v>
      </c>
      <c r="O136" s="65" t="n">
        <f aca="false">O134-O135</f>
        <v>11.3701193074981</v>
      </c>
      <c r="P136" s="65" t="n">
        <f aca="false">P134-P135</f>
        <v>11.2188861644781</v>
      </c>
      <c r="Q136" s="65" t="n">
        <f aca="false">Q134-Q135</f>
        <v>10.9344200845086</v>
      </c>
      <c r="R136" s="65" t="n">
        <f aca="false">R134-R135</f>
        <v>10.4172017204081</v>
      </c>
      <c r="S136" s="28" t="s">
        <v>53</v>
      </c>
      <c r="T136" s="13"/>
      <c r="AA136" s="29" t="str">
        <f aca="false">CONCATENATE(A137," (0 - ",W156,"% /yr)")</f>
        <v> Percentagem de investimento (0 - 37%/ano)</v>
      </c>
      <c r="AB136" s="57" t="n">
        <f aca="false">B137/$W$156</f>
        <v>0.439579627526672</v>
      </c>
      <c r="AC136" s="57" t="n">
        <f aca="false">C137/$W$156</f>
        <v>0.409951296289386</v>
      </c>
      <c r="AD136" s="57" t="n">
        <f aca="false">D137/$W$156</f>
        <v>0.469048365445111</v>
      </c>
      <c r="AE136" s="57" t="n">
        <f aca="false">E137/$W$156</f>
        <v>0.51076263868426</v>
      </c>
      <c r="AF136" s="57" t="n">
        <f aca="false">F137/$W$156</f>
        <v>0.471852280604921</v>
      </c>
      <c r="AG136" s="57" t="n">
        <f aca="false">G137/$W$156</f>
        <v>0.518795332953099</v>
      </c>
      <c r="AH136" s="57" t="n">
        <f aca="false">H137/$W$156</f>
        <v>0.630667485862108</v>
      </c>
      <c r="AI136" s="57" t="n">
        <f aca="false">I137/$W$156</f>
        <v>0.619278821874763</v>
      </c>
      <c r="AJ136" s="57" t="n">
        <f aca="false">J137/$W$156</f>
        <v>0.446875378068484</v>
      </c>
      <c r="AK136" s="57" t="n">
        <f aca="false">K137/$W$156</f>
        <v>0.504075452470282</v>
      </c>
      <c r="AL136" s="57" t="n">
        <f aca="false">L137/$W$156</f>
        <v>0.591907940704063</v>
      </c>
      <c r="AM136" s="57" t="n">
        <f aca="false">M137/$W$156</f>
        <v>0.658120144717236</v>
      </c>
      <c r="AN136" s="57" t="n">
        <f aca="false">N137/$W$156</f>
        <v>0.717238757186576</v>
      </c>
      <c r="AO136" s="57" t="n">
        <f aca="false">O137/$W$156</f>
        <v>0.77103717599804</v>
      </c>
      <c r="AP136" s="57" t="n">
        <f aca="false">P137/$W$156</f>
        <v>0.820845449566098</v>
      </c>
      <c r="AQ136" s="57" t="n">
        <f aca="false">Q137/$W$156</f>
        <v>0.883877330417817</v>
      </c>
      <c r="AR136" s="57" t="n">
        <f aca="false">R137/$W$156</f>
        <v>0.952772862678227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16.2644462184869</v>
      </c>
      <c r="C137" s="31" t="n">
        <f aca="false">C135/C134*100</f>
        <v>15.1681979627073</v>
      </c>
      <c r="D137" s="31" t="n">
        <f aca="false">D135/D134*100</f>
        <v>17.3547895214691</v>
      </c>
      <c r="E137" s="31" t="n">
        <f aca="false">E135/E134*100</f>
        <v>18.8982176313176</v>
      </c>
      <c r="F137" s="31" t="n">
        <f aca="false">F135/F134*100</f>
        <v>17.4585343823821</v>
      </c>
      <c r="G137" s="31" t="n">
        <f aca="false">G135/G134*100</f>
        <v>19.1954273192647</v>
      </c>
      <c r="H137" s="31" t="n">
        <f aca="false">H135/H134*100</f>
        <v>23.334696976898</v>
      </c>
      <c r="I137" s="31" t="n">
        <f aca="false">I135/I134*100</f>
        <v>22.9133164093662</v>
      </c>
      <c r="J137" s="31" t="n">
        <f aca="false">J135/J134*100</f>
        <v>16.5343889885339</v>
      </c>
      <c r="K137" s="65" t="n">
        <f aca="false">SUM(K138:K141)</f>
        <v>18.6507917414004</v>
      </c>
      <c r="L137" s="65" t="n">
        <f aca="false">SUM(L138:L141)</f>
        <v>21.9005938060503</v>
      </c>
      <c r="M137" s="65" t="n">
        <f aca="false">SUM(M138:M141)</f>
        <v>24.3504453545377</v>
      </c>
      <c r="N137" s="65" t="n">
        <f aca="false">SUM(N138:N141)</f>
        <v>26.5378340159033</v>
      </c>
      <c r="O137" s="65" t="n">
        <f aca="false">SUM(O138:O141)</f>
        <v>28.5283755119275</v>
      </c>
      <c r="P137" s="65" t="n">
        <f aca="false">SUM(P138:P141)</f>
        <v>30.3712816339456</v>
      </c>
      <c r="Q137" s="65" t="n">
        <f aca="false">SUM(Q138:Q141)</f>
        <v>32.7034612254592</v>
      </c>
      <c r="R137" s="65" t="n">
        <f aca="false">SUM(R138:R141)</f>
        <v>35.2525959190944</v>
      </c>
      <c r="S137" s="28" t="s">
        <v>25</v>
      </c>
      <c r="T137" s="13"/>
      <c r="AA137" s="29" t="str">
        <f aca="false">CONCATENATE(A136," (0 - ",W157, " T$ / yr)")</f>
        <v> Consumo (0 - 17 T$ / ano)</v>
      </c>
      <c r="AB137" s="57" t="n">
        <f aca="false">B136/$W$157</f>
        <v>0.208530914155359</v>
      </c>
      <c r="AC137" s="57" t="n">
        <f aca="false">C136/$W$157</f>
        <v>0.241485863870228</v>
      </c>
      <c r="AD137" s="57" t="n">
        <f aca="false">D136/$W$157</f>
        <v>0.280026813718614</v>
      </c>
      <c r="AE137" s="57" t="n">
        <f aca="false">E136/$W$157</f>
        <v>0.32566867277934</v>
      </c>
      <c r="AF137" s="57" t="n">
        <f aca="false">F136/$W$157</f>
        <v>0.387872099666601</v>
      </c>
      <c r="AG137" s="57" t="n">
        <f aca="false">G136/$W$157</f>
        <v>0.429984451913646</v>
      </c>
      <c r="AH137" s="57" t="n">
        <f aca="false">H136/$W$157</f>
        <v>0.502712671604071</v>
      </c>
      <c r="AI137" s="57" t="n">
        <f aca="false">I136/$W$157</f>
        <v>0.575070024521855</v>
      </c>
      <c r="AJ137" s="57" t="n">
        <f aca="false">J136/$W$157</f>
        <v>0.624818972970582</v>
      </c>
      <c r="AK137" s="57" t="n">
        <f aca="false">K136/$W$157</f>
        <v>0.652596473440069</v>
      </c>
      <c r="AL137" s="57" t="n">
        <f aca="false">L136/$W$157</f>
        <v>0.664551047333372</v>
      </c>
      <c r="AM137" s="57" t="n">
        <f aca="false">M136/$W$157</f>
        <v>0.673948032663707</v>
      </c>
      <c r="AN137" s="57" t="n">
        <f aca="false">N136/$W$157</f>
        <v>0.671520368227026</v>
      </c>
      <c r="AO137" s="57" t="n">
        <f aca="false">O136/$W$157</f>
        <v>0.66883054749989</v>
      </c>
      <c r="AP137" s="57" t="n">
        <f aca="false">P136/$W$157</f>
        <v>0.659934480263419</v>
      </c>
      <c r="AQ137" s="57" t="n">
        <f aca="false">Q136/$W$157</f>
        <v>0.643201181441684</v>
      </c>
      <c r="AR137" s="57" t="n">
        <f aca="false">R136/$W$157</f>
        <v>0.612776571788714</v>
      </c>
    </row>
    <row r="138" customFormat="false" ht="11.25" hidden="false" customHeight="false" outlineLevel="0" collapsed="false">
      <c r="A138" s="46" t="s">
        <v>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65" t="n">
        <f aca="false">J137</f>
        <v>16.5343889885339</v>
      </c>
      <c r="L138" s="65" t="n">
        <f aca="false">K138+K141</f>
        <v>18.4007917414004</v>
      </c>
      <c r="M138" s="65" t="n">
        <f aca="false">L138+L141</f>
        <v>19.8005938060503</v>
      </c>
      <c r="N138" s="65" t="n">
        <f aca="false">M138+M141</f>
        <v>20.8504453545377</v>
      </c>
      <c r="O138" s="65" t="n">
        <f aca="false">N138+N141</f>
        <v>21.6378340159033</v>
      </c>
      <c r="P138" s="65" t="n">
        <f aca="false">O138+O141</f>
        <v>22.2283755119275</v>
      </c>
      <c r="Q138" s="65" t="n">
        <f aca="false">P138+P141</f>
        <v>22.6712816339456</v>
      </c>
      <c r="R138" s="65" t="n">
        <f aca="false">Q138+Q141</f>
        <v>23.0034612254592</v>
      </c>
      <c r="S138" s="28" t="s">
        <v>25</v>
      </c>
      <c r="T138" s="13"/>
      <c r="AA138" s="29" t="str">
        <f aca="false">CONCATENATE("normal + norm change inv."," (0 - ",W156,"% /yr)")</f>
        <v> normal + mudança normal inv. (0 - 37%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(K138+K141)/$W$156</f>
        <v>0.497318695713525</v>
      </c>
      <c r="AL138" s="48" t="n">
        <f aca="false">(L138+L141)/$W$156</f>
        <v>0.535151183947306</v>
      </c>
      <c r="AM138" s="48" t="n">
        <f aca="false">(M138+M141)/$W$156</f>
        <v>0.563525550122642</v>
      </c>
      <c r="AN138" s="48" t="n">
        <f aca="false">(N138+N141)/$W$156</f>
        <v>0.584806324754143</v>
      </c>
      <c r="AO138" s="48" t="n">
        <f aca="false">(O138+O141)/$W$156</f>
        <v>0.60076690572777</v>
      </c>
      <c r="AP138" s="48" t="n">
        <f aca="false">(P138+P141)/$W$156</f>
        <v>0.612737341457989</v>
      </c>
      <c r="AQ138" s="48" t="n">
        <f aca="false">(Q138+Q141)/$W$156</f>
        <v>0.621715168255654</v>
      </c>
      <c r="AR138" s="48" t="n">
        <f aca="false">(R138+R141)/$W$156</f>
        <v>0.628448538353903</v>
      </c>
    </row>
    <row r="139" customFormat="false" ht="11.25" hidden="false" customHeight="false" outlineLevel="0" collapsed="false">
      <c r="A139" s="46" t="s">
        <v>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33" t="n">
        <v>0.1</v>
      </c>
      <c r="L139" s="33" t="n">
        <v>1.3</v>
      </c>
      <c r="M139" s="33" t="n">
        <v>2</v>
      </c>
      <c r="N139" s="33" t="n">
        <v>2.7</v>
      </c>
      <c r="O139" s="33" t="n">
        <v>3.4</v>
      </c>
      <c r="P139" s="33" t="n">
        <v>4.1</v>
      </c>
      <c r="Q139" s="33" t="n">
        <v>5</v>
      </c>
      <c r="R139" s="33" t="n">
        <v>6</v>
      </c>
      <c r="S139" s="28" t="s">
        <v>25</v>
      </c>
      <c r="T139" s="13"/>
      <c r="AA139" s="29" t="str">
        <f aca="false">CONCATENATE("normal + voluntary inv."," (0 - ",W156,"% /yr)")</f>
        <v> Inventário normal + voluntário (0 - 37%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(K138+K141+K139)/$W$156</f>
        <v>0.500021398416228</v>
      </c>
      <c r="AL139" s="48" t="n">
        <f aca="false">(L138+L141+L139)/$W$156</f>
        <v>0.570286319082441</v>
      </c>
      <c r="AM139" s="48" t="n">
        <f aca="false">(M138+M141+M139)/$W$156</f>
        <v>0.617579604176696</v>
      </c>
      <c r="AN139" s="48" t="n">
        <f aca="false">(N138+N141+N139)/$W$156</f>
        <v>0.657779297727116</v>
      </c>
      <c r="AO139" s="48" t="n">
        <f aca="false">(O138+O141+O139)/$W$156</f>
        <v>0.692658797619662</v>
      </c>
      <c r="AP139" s="48" t="n">
        <f aca="false">(P138+P141+P139)/$W$156</f>
        <v>0.7235481522688</v>
      </c>
      <c r="AQ139" s="48" t="n">
        <f aca="false">(Q138+Q141+Q139)/$W$156</f>
        <v>0.756850303390789</v>
      </c>
      <c r="AR139" s="48" t="n">
        <f aca="false">(R138+R141+R139)/$W$156</f>
        <v>0.790610700516065</v>
      </c>
    </row>
    <row r="140" customFormat="false" ht="11.25" hidden="false" customHeight="false" outlineLevel="0" collapsed="false">
      <c r="A140" s="46" t="s">
        <v>72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33" t="n">
        <v>0.15</v>
      </c>
      <c r="L140" s="33" t="n">
        <v>0.8</v>
      </c>
      <c r="M140" s="33" t="n">
        <v>1.5</v>
      </c>
      <c r="N140" s="33" t="n">
        <v>2.2</v>
      </c>
      <c r="O140" s="33" t="n">
        <v>2.9</v>
      </c>
      <c r="P140" s="33" t="n">
        <v>3.6</v>
      </c>
      <c r="Q140" s="33" t="n">
        <v>4.7</v>
      </c>
      <c r="R140" s="33" t="n">
        <v>6</v>
      </c>
      <c r="S140" s="28" t="s">
        <v>25</v>
      </c>
      <c r="T140" s="13"/>
      <c r="AA140" s="29" t="str">
        <f aca="false">CONCATENATE("normal + voluntary + forced inv."," (0 - ",W156,"% /yr)")</f>
        <v> Inventário normal + voluntário + forçado (0 - 37%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(K138+K139+K140+K141)/$W$156</f>
        <v>0.504075452470282</v>
      </c>
      <c r="AL140" s="48" t="n">
        <f aca="false">(L138+L139+L140+L141)/$W$156</f>
        <v>0.591907940704063</v>
      </c>
      <c r="AM140" s="48" t="n">
        <f aca="false">(M138+M139+M140+M141)/$W$156</f>
        <v>0.658120144717236</v>
      </c>
      <c r="AN140" s="48" t="n">
        <f aca="false">(N138+N139+N140+N141)/$W$156</f>
        <v>0.717238757186576</v>
      </c>
      <c r="AO140" s="48" t="n">
        <f aca="false">(O138+O139+O140+O141)/$W$156</f>
        <v>0.77103717599804</v>
      </c>
      <c r="AP140" s="48" t="n">
        <f aca="false">(P138+P139+P140+P141)/$W$156</f>
        <v>0.820845449566098</v>
      </c>
      <c r="AQ140" s="48" t="n">
        <f aca="false">(Q138+Q139+Q140+Q141)/$W$156</f>
        <v>0.883877330417817</v>
      </c>
      <c r="AR140" s="48" t="n">
        <f aca="false">(R138+R139+R140+R141)/$W$156</f>
        <v>0.952772862678227</v>
      </c>
    </row>
    <row r="141" customFormat="false" ht="11.25" hidden="false" customHeight="false" outlineLevel="0" collapsed="false">
      <c r="A141" s="46" t="s">
        <v>73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32" t="n">
        <f aca="false">5*(24 - K$138)/20</f>
        <v>1.86640275286652</v>
      </c>
      <c r="L141" s="32" t="n">
        <f aca="false">5*(24 - L$138)/20</f>
        <v>1.39980206464989</v>
      </c>
      <c r="M141" s="32" t="n">
        <f aca="false">5*(24 - M$138)/20</f>
        <v>1.04985154848742</v>
      </c>
      <c r="N141" s="32" t="n">
        <f aca="false">5*(24 - N$138)/20</f>
        <v>0.787388661365565</v>
      </c>
      <c r="O141" s="32" t="n">
        <f aca="false">5*(24 - O$138)/20</f>
        <v>0.590541496024174</v>
      </c>
      <c r="P141" s="32" t="n">
        <f aca="false">5*(24 - P$138)/20</f>
        <v>0.442906122018131</v>
      </c>
      <c r="Q141" s="32" t="n">
        <f aca="false">5*(24 - Q$138)/20</f>
        <v>0.332179591513598</v>
      </c>
      <c r="R141" s="32" t="n">
        <f aca="false">5*(24 - R$138)/20</f>
        <v>0.249134693635199</v>
      </c>
      <c r="S141" s="28" t="s">
        <v>25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48" t="n">
        <f aca="false">K138*K$134/100</f>
        <v>2.25490611379698</v>
      </c>
      <c r="AL141" s="48" t="n">
        <f aca="false">L138*L$134/100</f>
        <v>2.66174254492334</v>
      </c>
      <c r="AM141" s="48" t="n">
        <f aca="false">M138*M$134/100</f>
        <v>2.99879770823398</v>
      </c>
      <c r="AN141" s="48" t="n">
        <f aca="false">N138*N$134/100</f>
        <v>3.24010972761859</v>
      </c>
      <c r="AO141" s="48" t="n">
        <f aca="false">O138*O$134/100</f>
        <v>3.44227175580317</v>
      </c>
      <c r="AP141" s="48" t="n">
        <f aca="false">P138*P$134/100</f>
        <v>3.58153388920002</v>
      </c>
      <c r="AQ141" s="48" t="n">
        <f aca="false">Q138*Q$134/100</f>
        <v>3.68365627347167</v>
      </c>
      <c r="AR141" s="48" t="n">
        <f aca="false">R138*R$134/100</f>
        <v>3.70102399091957</v>
      </c>
    </row>
    <row r="142" customFormat="false" ht="12.65" hidden="false" customHeight="false" outlineLevel="0" collapsed="false">
      <c r="A142" s="23" t="s">
        <v>7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28"/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48"/>
      <c r="AL142" s="48"/>
      <c r="AM142" s="48"/>
      <c r="AN142" s="48"/>
      <c r="AO142" s="48"/>
      <c r="AP142" s="48"/>
      <c r="AQ142" s="48"/>
      <c r="AR142" s="48"/>
    </row>
    <row r="143" customFormat="false" ht="11.25" hidden="false" customHeight="false" outlineLevel="0" collapsed="false">
      <c r="F143" s="5"/>
      <c r="G143" s="5"/>
      <c r="H143" s="5"/>
      <c r="I143" s="5"/>
      <c r="J143" s="90" t="str">
        <f aca="false">CONCATENATE(A139," Your forecast")</f>
        <v> % de investimento voluntário Sua previsão</v>
      </c>
      <c r="K143" s="39" t="n">
        <v>0.1</v>
      </c>
      <c r="L143" s="39" t="n">
        <f aca="false">L139*0.98</f>
        <v>1.274</v>
      </c>
      <c r="M143" s="39" t="n">
        <f aca="false">M139*0.98</f>
        <v>1.96</v>
      </c>
      <c r="N143" s="39" t="n">
        <f aca="false">N139*0.98</f>
        <v>2.646</v>
      </c>
      <c r="O143" s="39" t="n">
        <f aca="false">O139*0.98</f>
        <v>3.332</v>
      </c>
      <c r="P143" s="39" t="n">
        <f aca="false">P139*0.98</f>
        <v>4.018</v>
      </c>
      <c r="Q143" s="39" t="n">
        <f aca="false">Q139*0.98</f>
        <v>4.9</v>
      </c>
      <c r="R143" s="39" t="n">
        <f aca="false">R139*0.98</f>
        <v>5.88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48" t="n">
        <f aca="false">K139*K$134/100</f>
        <v>0.0136376742760842</v>
      </c>
      <c r="AL143" s="48" t="n">
        <f aca="false">L139*L$134/100</f>
        <v>0.188049805520868</v>
      </c>
      <c r="AM143" s="48" t="n">
        <f aca="false">M139*M$134/100</f>
        <v>0.302899775391348</v>
      </c>
      <c r="AN143" s="48" t="n">
        <f aca="false">N139*N$134/100</f>
        <v>0.419573592593133</v>
      </c>
      <c r="AO143" s="48" t="n">
        <f aca="false">O139*O$134/100</f>
        <v>0.540891660465128</v>
      </c>
      <c r="AP143" s="48" t="n">
        <f aca="false">P139*P$134/100</f>
        <v>0.660610080922947</v>
      </c>
      <c r="AQ143" s="48" t="n">
        <f aca="false">Q139*Q$134/100</f>
        <v>0.812405829751624</v>
      </c>
      <c r="AR143" s="48" t="n">
        <f aca="false">R139*R$134/100</f>
        <v>0.965339247336425</v>
      </c>
    </row>
    <row r="144" customFormat="false" ht="11.25" hidden="false" customHeight="false" outlineLevel="0" collapsed="false">
      <c r="F144" s="5"/>
      <c r="G144" s="5"/>
      <c r="H144" s="5"/>
      <c r="I144" s="5"/>
      <c r="J144" s="90" t="str">
        <f aca="false">CONCATENATE(A140," Your forecast")</f>
        <v> % de investimento forçado Sua previsão</v>
      </c>
      <c r="K144" s="39" t="n">
        <v>0.15</v>
      </c>
      <c r="L144" s="39" t="n">
        <f aca="false">L140*0.98</f>
        <v>0.784</v>
      </c>
      <c r="M144" s="39" t="n">
        <f aca="false">M140*0.98</f>
        <v>1.47</v>
      </c>
      <c r="N144" s="39" t="n">
        <f aca="false">N140*0.98</f>
        <v>2.156</v>
      </c>
      <c r="O144" s="39" t="n">
        <f aca="false">O140*0.98</f>
        <v>2.842</v>
      </c>
      <c r="P144" s="39" t="n">
        <f aca="false">P140*0.98</f>
        <v>3.528</v>
      </c>
      <c r="Q144" s="39" t="n">
        <f aca="false">Q140*0.98</f>
        <v>4.606</v>
      </c>
      <c r="R144" s="39" t="n">
        <f aca="false">R140*0.98</f>
        <v>5.88</v>
      </c>
      <c r="S144" s="28" t="s">
        <v>25</v>
      </c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48" t="n">
        <f aca="false">K140*K$134/100</f>
        <v>0.0204565114141263</v>
      </c>
      <c r="AL144" s="48" t="n">
        <f aca="false">L140*L$134/100</f>
        <v>0.115722957243611</v>
      </c>
      <c r="AM144" s="48" t="n">
        <f aca="false">M140*M$134/100</f>
        <v>0.227174831543511</v>
      </c>
      <c r="AN144" s="48" t="n">
        <f aca="false">N140*N$134/100</f>
        <v>0.34187477914996</v>
      </c>
      <c r="AO144" s="48" t="n">
        <f aca="false">O140*O$134/100</f>
        <v>0.461348769220256</v>
      </c>
      <c r="AP144" s="48" t="n">
        <f aca="false">P140*P$134/100</f>
        <v>0.580047875932344</v>
      </c>
      <c r="AQ144" s="48" t="n">
        <f aca="false">Q140*Q$134/100</f>
        <v>0.763661479966527</v>
      </c>
      <c r="AR144" s="48" t="n">
        <f aca="false">R140*R$134/100</f>
        <v>0.965339247336425</v>
      </c>
    </row>
    <row r="145" customFormat="false" ht="11.25" hidden="false" customHeight="false" outlineLevel="0" collapsed="false">
      <c r="F145" s="8"/>
      <c r="G145" s="8"/>
      <c r="H145" s="8"/>
      <c r="I145" s="8"/>
      <c r="J145" s="37" t="str">
        <f aca="false">CONCATENATE(A134," calculated from Your forecast")</f>
        <v> PIB dos EUA calculado a partir da sua previsão</v>
      </c>
      <c r="K145" s="91" t="n">
        <f aca="false">K104</f>
        <v>13.6368895824891</v>
      </c>
      <c r="L145" s="91" t="n">
        <f aca="false">L104</f>
        <v>14.1471662121673</v>
      </c>
      <c r="M145" s="91" t="n">
        <f aca="false">M104</f>
        <v>14.7867911695285</v>
      </c>
      <c r="N145" s="91" t="n">
        <f aca="false">N104</f>
        <v>15.1519247317744</v>
      </c>
      <c r="O145" s="91" t="n">
        <f aca="false">O104</f>
        <v>15.4963280872901</v>
      </c>
      <c r="P145" s="91" t="n">
        <f aca="false">P104</f>
        <v>15.6852197830197</v>
      </c>
      <c r="Q145" s="91" t="n">
        <f aca="false">Q104</f>
        <v>15.81336329158</v>
      </c>
      <c r="R145" s="91" t="n">
        <f aca="false">R104</f>
        <v>15.6604542115523</v>
      </c>
      <c r="S145" s="28" t="s">
        <v>53</v>
      </c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48" t="n">
        <f aca="false">K141*K$134/100</f>
        <v>0.254533928115805</v>
      </c>
      <c r="AL145" s="48" t="n">
        <f aca="false">L141*L$134/100</f>
        <v>0.202486543096248</v>
      </c>
      <c r="AM145" s="48" t="n">
        <f aca="false">M141*M$134/100</f>
        <v>0.158999899115549</v>
      </c>
      <c r="AN145" s="48" t="n">
        <f aca="false">N141*N$134/100</f>
        <v>0.122358329413425</v>
      </c>
      <c r="AO145" s="48" t="n">
        <f aca="false">O141*O$134/100</f>
        <v>0.0939467559876695</v>
      </c>
      <c r="AP145" s="48" t="n">
        <f aca="false">P141*P$134/100</f>
        <v>0.0713629875872356</v>
      </c>
      <c r="AQ145" s="48" t="n">
        <f aca="false">Q141*Q$134/100</f>
        <v>0.053972927334032</v>
      </c>
      <c r="AR145" s="48" t="n">
        <f aca="false">R141*R$134/100</f>
        <v>0.0400832496065323</v>
      </c>
    </row>
    <row r="146" customFormat="false" ht="11.25" hidden="false" customHeight="false" outlineLevel="0" collapsed="false">
      <c r="F146" s="8"/>
      <c r="G146" s="8"/>
      <c r="H146" s="8"/>
      <c r="I146" s="8"/>
      <c r="J146" s="37" t="str">
        <f aca="false">CONCATENATE(A135," calculated from Your forecast")</f>
        <v> Investimento calculado a partir da sua previsão.</v>
      </c>
      <c r="K146" s="91" t="n">
        <f aca="false">K145*K148/100</f>
        <v>2.54338787603478</v>
      </c>
      <c r="L146" s="91" t="n">
        <f aca="false">L145*L148/100</f>
        <v>3.09237159738445</v>
      </c>
      <c r="M146" s="91" t="n">
        <f aca="false">M145*M148/100</f>
        <v>3.59029874960699</v>
      </c>
      <c r="N146" s="91" t="n">
        <f aca="false">N145*N148/100</f>
        <v>4.00614374929576</v>
      </c>
      <c r="O146" s="91" t="n">
        <f aca="false">O145*O148/100</f>
        <v>4.40132529391243</v>
      </c>
      <c r="P146" s="91" t="n">
        <f aca="false">P145*P148/100</f>
        <v>4.73964703673841</v>
      </c>
      <c r="Q146" s="91" t="n">
        <f aca="false">Q145*Q148/100</f>
        <v>5.1408392077172</v>
      </c>
      <c r="R146" s="91" t="n">
        <f aca="false">R145*R148/100</f>
        <v>5.48313155218562</v>
      </c>
      <c r="S146" s="28" t="s">
        <v>53</v>
      </c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48" t="n">
        <f aca="false">K135-AK145-AK141-AK143-AK144</f>
        <v>0</v>
      </c>
      <c r="AL146" s="48" t="n">
        <f aca="false">L135-AL145-AL141-AL143-AL144</f>
        <v>0</v>
      </c>
      <c r="AM146" s="48" t="n">
        <f aca="false">M135-AM145-AM141-AM143-AM144</f>
        <v>0</v>
      </c>
      <c r="AN146" s="48" t="n">
        <f aca="false">N135-AN145-AN141-AN143-AN144</f>
        <v>0</v>
      </c>
      <c r="AO146" s="48" t="n">
        <f aca="false">O135-AO145-AO141-AO143-AO144</f>
        <v>0</v>
      </c>
      <c r="AP146" s="48" t="n">
        <f aca="false">P135-AP145-AP141-AP143-AP144</f>
        <v>0</v>
      </c>
      <c r="AQ146" s="48" t="n">
        <f aca="false">Q135-AQ145-AQ141-AQ143-AQ144</f>
        <v>0</v>
      </c>
      <c r="AR146" s="48" t="n">
        <f aca="false">R135-AR145-AR141-AR143-AR144</f>
        <v>0</v>
      </c>
    </row>
    <row r="147" customFormat="false" ht="11.25" hidden="false" customHeight="false" outlineLevel="0" collapsed="false">
      <c r="F147" s="8"/>
      <c r="G147" s="8"/>
      <c r="H147" s="8"/>
      <c r="I147" s="8"/>
      <c r="J147" s="37" t="str">
        <f aca="false">CONCATENATE(A136," calculated from Your forecast")</f>
        <v> Consumo calculado a partir da sua previsão.</v>
      </c>
      <c r="K147" s="45" t="n">
        <f aca="false">K145-K146</f>
        <v>11.0935017064543</v>
      </c>
      <c r="L147" s="45" t="n">
        <f aca="false">L145-L146</f>
        <v>11.0547946147829</v>
      </c>
      <c r="M147" s="45" t="n">
        <f aca="false">M145-M146</f>
        <v>11.1964924199215</v>
      </c>
      <c r="N147" s="45" t="n">
        <f aca="false">N145-N146</f>
        <v>11.1457809824787</v>
      </c>
      <c r="O147" s="45" t="n">
        <f aca="false">O145-O146</f>
        <v>11.0950027933777</v>
      </c>
      <c r="P147" s="45" t="n">
        <f aca="false">P145-P146</f>
        <v>10.9455727462813</v>
      </c>
      <c r="Q147" s="45" t="n">
        <f aca="false">Q145-Q146</f>
        <v>10.6725240838628</v>
      </c>
      <c r="R147" s="45" t="n">
        <f aca="false">R145-R146</f>
        <v>10.1773226593667</v>
      </c>
      <c r="S147" s="28" t="s">
        <v>53</v>
      </c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48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E148" s="8"/>
      <c r="F148" s="8"/>
      <c r="G148" s="8"/>
      <c r="H148" s="8"/>
      <c r="I148" s="8"/>
      <c r="J148" s="37" t="str">
        <f aca="false">CONCATENATE(A137," calculated from Your forecast")</f>
        <v> A porcentagem de participação no investimento é calculada a partir da sua previsão.</v>
      </c>
      <c r="K148" s="45" t="n">
        <f aca="false">SUM(K149:K152)</f>
        <v>18.6507917414004</v>
      </c>
      <c r="L148" s="45" t="n">
        <f aca="false">SUM(L149:L152)</f>
        <v>21.8585938060503</v>
      </c>
      <c r="M148" s="45" t="n">
        <f aca="false">SUM(M149:M152)</f>
        <v>24.2804453545377</v>
      </c>
      <c r="N148" s="45" t="n">
        <f aca="false">SUM(N149:N152)</f>
        <v>26.4398340159033</v>
      </c>
      <c r="O148" s="45" t="n">
        <f aca="false">SUM(O149:O152)</f>
        <v>28.4023755119275</v>
      </c>
      <c r="P148" s="45" t="n">
        <f aca="false">SUM(P149:P152)</f>
        <v>30.2172816339456</v>
      </c>
      <c r="Q148" s="45" t="n">
        <f aca="false">SUM(Q149:Q152)</f>
        <v>32.5094612254592</v>
      </c>
      <c r="R148" s="45" t="n">
        <f aca="false">SUM(R149:R152)</f>
        <v>35.0125959190944</v>
      </c>
      <c r="S148" s="28" t="s">
        <v>25</v>
      </c>
      <c r="T148" s="13"/>
      <c r="AA148" s="29" t="str">
        <f aca="false">CONCATENATE(A96," (0 - ",W158," T$ / yr)")</f>
        <v> PIB dos EUA (0 - 17 trilhões de dólares/ano)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K145/$W158</f>
        <v>0.802169975440536</v>
      </c>
      <c r="AL148" s="57" t="n">
        <f aca="false">L145/$W158</f>
        <v>0.832186247774549</v>
      </c>
      <c r="AM148" s="57" t="n">
        <f aca="false">M145/$W158</f>
        <v>0.869811245266384</v>
      </c>
      <c r="AN148" s="57" t="n">
        <f aca="false">N145/$W158</f>
        <v>0.891289690104378</v>
      </c>
      <c r="AO148" s="57" t="n">
        <f aca="false">O145/$W158</f>
        <v>0.911548711017067</v>
      </c>
      <c r="AP148" s="57" t="n">
        <f aca="false">P145/$W158</f>
        <v>0.922659987236453</v>
      </c>
      <c r="AQ148" s="57" t="n">
        <f aca="false">Q145/$W158</f>
        <v>0.930197840681175</v>
      </c>
      <c r="AR148" s="57" t="n">
        <f aca="false">R145/$W158</f>
        <v>0.921203188914843</v>
      </c>
    </row>
    <row r="149" customFormat="false" ht="11.25" hidden="false" customHeight="false" outlineLevel="0" collapsed="false">
      <c r="A149" s="92"/>
      <c r="B149" s="8"/>
      <c r="C149" s="8"/>
      <c r="D149" s="8"/>
      <c r="E149" s="8"/>
      <c r="F149" s="8"/>
      <c r="G149" s="8"/>
      <c r="H149" s="8"/>
      <c r="I149" s="8"/>
      <c r="J149" s="37" t="str">
        <f aca="false">CONCATENATE(A138," calculated from Your forecast")</f>
        <v>Participação no investimento do ano passado mais a variação percentual na taxa de investimento normal calculada a partir da sua previsão.</v>
      </c>
      <c r="K149" s="91" t="n">
        <f aca="false">J137</f>
        <v>16.5343889885339</v>
      </c>
      <c r="L149" s="45" t="n">
        <f aca="false">K149+K152</f>
        <v>18.4007917414004</v>
      </c>
      <c r="M149" s="45" t="n">
        <f aca="false">L149+L152</f>
        <v>19.8005938060503</v>
      </c>
      <c r="N149" s="45" t="n">
        <f aca="false">M149+M152</f>
        <v>20.8504453545377</v>
      </c>
      <c r="O149" s="45" t="n">
        <f aca="false">N149+N152</f>
        <v>21.6378340159033</v>
      </c>
      <c r="P149" s="45" t="n">
        <f aca="false">O149+O152</f>
        <v>22.2283755119275</v>
      </c>
      <c r="Q149" s="45" t="n">
        <f aca="false">P149+P152</f>
        <v>22.6712816339456</v>
      </c>
      <c r="R149" s="45" t="n">
        <f aca="false">Q149+Q152</f>
        <v>23.0034612254592</v>
      </c>
      <c r="S149" s="28" t="s">
        <v>25</v>
      </c>
      <c r="T149" s="13"/>
      <c r="AA149" s="29" t="str">
        <f aca="false">CONCATENATE(A137," (0 - ",W159,"% /yr)")</f>
        <v> Percentagem de investimento (0 - 37%/ano)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K148/$W$159</f>
        <v>0.504075452470282</v>
      </c>
      <c r="AL149" s="57" t="n">
        <f aca="false">L148/$W$159</f>
        <v>0.590772805568928</v>
      </c>
      <c r="AM149" s="57" t="n">
        <f aca="false">M148/$W$159</f>
        <v>0.656228252825344</v>
      </c>
      <c r="AN149" s="57" t="n">
        <f aca="false">N148/$W$159</f>
        <v>0.714590108537927</v>
      </c>
      <c r="AO149" s="57" t="n">
        <f aca="false">O148/$W$159</f>
        <v>0.767631770592635</v>
      </c>
      <c r="AP149" s="57" t="n">
        <f aca="false">P148/$W$159</f>
        <v>0.816683287403935</v>
      </c>
      <c r="AQ149" s="57" t="n">
        <f aca="false">Q148/$W$159</f>
        <v>0.878634087174573</v>
      </c>
      <c r="AR149" s="57" t="n">
        <f aca="false">R148/$W$159</f>
        <v>0.946286376191741</v>
      </c>
    </row>
    <row r="150" customFormat="false" ht="11.25" hidden="false" customHeight="false" outlineLevel="0" collapsed="false">
      <c r="E150" s="8"/>
      <c r="F150" s="8"/>
      <c r="G150" s="8"/>
      <c r="H150" s="8"/>
      <c r="I150" s="8"/>
      <c r="J150" s="37" t="str">
        <f aca="false">CONCATENATE(A139," calculated from Your forecast")</f>
        <v> % de investimento voluntário calculado a partir da sua previsão</v>
      </c>
      <c r="K150" s="43" t="n">
        <f aca="false">K143</f>
        <v>0.1</v>
      </c>
      <c r="L150" s="43" t="n">
        <f aca="false">L143</f>
        <v>1.274</v>
      </c>
      <c r="M150" s="43" t="n">
        <f aca="false">M143</f>
        <v>1.96</v>
      </c>
      <c r="N150" s="43" t="n">
        <f aca="false">N143</f>
        <v>2.646</v>
      </c>
      <c r="O150" s="43" t="n">
        <f aca="false">O143</f>
        <v>3.332</v>
      </c>
      <c r="P150" s="43" t="n">
        <f aca="false">P143</f>
        <v>4.018</v>
      </c>
      <c r="Q150" s="43" t="n">
        <f aca="false">Q143</f>
        <v>4.9</v>
      </c>
      <c r="R150" s="43" t="n">
        <f aca="false">R143</f>
        <v>5.88</v>
      </c>
      <c r="S150" s="28" t="s">
        <v>25</v>
      </c>
      <c r="T150" s="13"/>
      <c r="AA150" s="29" t="str">
        <f aca="false">CONCATENATE(A136," (0 - ",W160, " T$ / yr)")</f>
        <v> Consumo (0 - 17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K147/$W$160</f>
        <v>0.652558923909079</v>
      </c>
      <c r="AL150" s="57" t="n">
        <f aca="false">L147/$W$160</f>
        <v>0.650282036163699</v>
      </c>
      <c r="AM150" s="57" t="n">
        <f aca="false">M147/$W$160</f>
        <v>0.658617201171856</v>
      </c>
      <c r="AN150" s="57" t="n">
        <f aca="false">N147/$W$160</f>
        <v>0.655634175439921</v>
      </c>
      <c r="AO150" s="57" t="n">
        <f aca="false">O147/$W$160</f>
        <v>0.652647223139865</v>
      </c>
      <c r="AP150" s="57" t="n">
        <f aca="false">P147/$W$160</f>
        <v>0.643857220369487</v>
      </c>
      <c r="AQ150" s="57" t="n">
        <f aca="false">Q147/$W$160</f>
        <v>0.62779553434487</v>
      </c>
      <c r="AR150" s="57" t="n">
        <f aca="false">R147/$W$160</f>
        <v>0.598666038786277</v>
      </c>
    </row>
    <row r="151" customFormat="false" ht="11.25" hidden="false" customHeight="false" outlineLevel="0" collapsed="false">
      <c r="E151" s="8"/>
      <c r="F151" s="8"/>
      <c r="G151" s="8"/>
      <c r="H151" s="8"/>
      <c r="I151" s="8"/>
      <c r="J151" s="37" t="str">
        <f aca="false">CONCATENATE(A140," calculated from Your forecast")</f>
        <v> % de investimento forçado calculado a partir da sua previsão</v>
      </c>
      <c r="K151" s="43" t="n">
        <f aca="false">K144</f>
        <v>0.15</v>
      </c>
      <c r="L151" s="43" t="n">
        <f aca="false">L144</f>
        <v>0.784</v>
      </c>
      <c r="M151" s="43" t="n">
        <f aca="false">M144</f>
        <v>1.47</v>
      </c>
      <c r="N151" s="43" t="n">
        <f aca="false">N144</f>
        <v>2.156</v>
      </c>
      <c r="O151" s="43" t="n">
        <f aca="false">O144</f>
        <v>2.842</v>
      </c>
      <c r="P151" s="43" t="n">
        <f aca="false">P144</f>
        <v>3.528</v>
      </c>
      <c r="Q151" s="43" t="n">
        <f aca="false">Q144</f>
        <v>4.606</v>
      </c>
      <c r="R151" s="43" t="n">
        <f aca="false">R144</f>
        <v>5.88</v>
      </c>
      <c r="S151" s="28" t="s">
        <v>25</v>
      </c>
      <c r="T151" s="13"/>
      <c r="AA151" s="29" t="str">
        <f aca="false">CONCATENATE("normal + norm change inv."," (0 - ",W159,"% /yr)")</f>
        <v> normal + mudança normal inv. (0 - 37%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(K149+K152)/$W$159</f>
        <v>0.497318695713525</v>
      </c>
      <c r="AL151" s="48" t="n">
        <f aca="false">(L149+L152)/$W$159</f>
        <v>0.535151183947306</v>
      </c>
      <c r="AM151" s="48" t="n">
        <f aca="false">(M149+M152)/$W$159</f>
        <v>0.563525550122642</v>
      </c>
      <c r="AN151" s="48" t="n">
        <f aca="false">(N149+N152)/$W$159</f>
        <v>0.584806324754143</v>
      </c>
      <c r="AO151" s="48" t="n">
        <f aca="false">(O149+O152)/$W$159</f>
        <v>0.60076690572777</v>
      </c>
      <c r="AP151" s="48" t="n">
        <f aca="false">(P149+P152)/$W$159</f>
        <v>0.612737341457989</v>
      </c>
      <c r="AQ151" s="48" t="n">
        <f aca="false">(Q149+Q152)/$W$159</f>
        <v>0.621715168255654</v>
      </c>
      <c r="AR151" s="48" t="n">
        <f aca="false">(R149+R152)/$W$159</f>
        <v>0.628448538353903</v>
      </c>
    </row>
    <row r="152" s="3" customFormat="true" ht="11.25" hidden="false" customHeight="false" outlineLevel="0" collapsed="false">
      <c r="D152" s="8"/>
      <c r="E152" s="8"/>
      <c r="F152" s="8"/>
      <c r="G152" s="8"/>
      <c r="H152" s="8"/>
      <c r="I152" s="8"/>
      <c r="J152" s="37" t="str">
        <f aca="false">CONCATENATE(A141," calculated from Your forecast")</f>
        <v> Variação percentual na taxa de investimento normal calculada a partir da sua previsão.</v>
      </c>
      <c r="K152" s="43" t="n">
        <f aca="false">5*(24 - K$149)/20</f>
        <v>1.86640275286652</v>
      </c>
      <c r="L152" s="43" t="n">
        <f aca="false">5*(24 - L$149)/20</f>
        <v>1.39980206464989</v>
      </c>
      <c r="M152" s="43" t="n">
        <f aca="false">5*(24 - M$149)/20</f>
        <v>1.04985154848742</v>
      </c>
      <c r="N152" s="43" t="n">
        <f aca="false">5*(24 - N$149)/20</f>
        <v>0.787388661365565</v>
      </c>
      <c r="O152" s="43" t="n">
        <f aca="false">5*(24 - O$149)/20</f>
        <v>0.590541496024174</v>
      </c>
      <c r="P152" s="43" t="n">
        <f aca="false">5*(24 - P$149)/20</f>
        <v>0.442906122018131</v>
      </c>
      <c r="Q152" s="43" t="n">
        <f aca="false">5*(24 - Q$149)/20</f>
        <v>0.332179591513598</v>
      </c>
      <c r="R152" s="43" t="n">
        <f aca="false">5*(24 - R$149)/20</f>
        <v>0.249134693635199</v>
      </c>
      <c r="S152" s="28" t="s">
        <v>25</v>
      </c>
      <c r="T152" s="13"/>
      <c r="X152" s="15" t="s">
        <v>33</v>
      </c>
      <c r="AA152" s="29" t="str">
        <f aca="false">CONCATENATE("normal + voluntary inv."," (0 - ",W159,"% /yr)")</f>
        <v> Inventário normal + voluntário (0 - 37%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(K149+K152+K150)/$W$159</f>
        <v>0.500021398416228</v>
      </c>
      <c r="AL152" s="48" t="n">
        <f aca="false">(L149+L152+L150)/$W$159</f>
        <v>0.569583616379738</v>
      </c>
      <c r="AM152" s="48" t="n">
        <f aca="false">(M149+M152+M150)/$W$159</f>
        <v>0.616498523095615</v>
      </c>
      <c r="AN152" s="48" t="n">
        <f aca="false">(N149+N152+N150)/$W$159</f>
        <v>0.656319838267657</v>
      </c>
      <c r="AO152" s="48" t="n">
        <f aca="false">(O149+O152+O150)/$W$159</f>
        <v>0.690820959781824</v>
      </c>
      <c r="AP152" s="48" t="n">
        <f aca="false">(P149+P152+P150)/$W$159</f>
        <v>0.721331936052584</v>
      </c>
      <c r="AQ152" s="48" t="n">
        <f aca="false">(Q149+Q152+Q150)/$W$159</f>
        <v>0.754147600688087</v>
      </c>
      <c r="AR152" s="48" t="n">
        <f aca="false">(R149+R152+R150)/$W$159</f>
        <v>0.787367457272822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(0 - 37%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(K149+K150+K151+K152)/$W$159</f>
        <v>0.504075452470282</v>
      </c>
      <c r="AL153" s="48" t="n">
        <f aca="false">(L149+L150+L151+L152)/$W$159</f>
        <v>0.590772805568928</v>
      </c>
      <c r="AM153" s="48" t="n">
        <f aca="false">(M149+M150+M151+M152)/$W$159</f>
        <v>0.656228252825344</v>
      </c>
      <c r="AN153" s="48" t="n">
        <f aca="false">(N149+N150+N151+N152)/$W$159</f>
        <v>0.714590108537927</v>
      </c>
      <c r="AO153" s="48" t="n">
        <f aca="false">(O149+O150+O151+O152)/$W$159</f>
        <v>0.767631770592635</v>
      </c>
      <c r="AP153" s="48" t="n">
        <f aca="false">(P149+P150+P151+P152)/$W$159</f>
        <v>0.816683287403935</v>
      </c>
      <c r="AQ153" s="48" t="n">
        <f aca="false">(Q149+Q150+Q151+Q152)/$W$159</f>
        <v>0.878634087174573</v>
      </c>
      <c r="AR153" s="48" t="n">
        <f aca="false">(R149+R150+R151+R152)/$W$159</f>
        <v>0.946286376191741</v>
      </c>
    </row>
    <row r="154" s="3" customFormat="true" ht="28.3" hidden="false" customHeight="false" outlineLevel="0" collapsed="false">
      <c r="T154" s="13"/>
      <c r="U154" s="55" t="str">
        <f aca="false">U27</f>
        <v> Para o gráfico à esquerda, nomes das variáveis (unidade)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48" t="n">
        <f aca="false">K149*K$104/100</f>
        <v>2.25477636950561</v>
      </c>
      <c r="AL154" s="48" t="n">
        <f aca="false">L149*L$104/100</f>
        <v>2.60319059201068</v>
      </c>
      <c r="AM154" s="48" t="n">
        <f aca="false">M149*M$104/100</f>
        <v>2.92787245642726</v>
      </c>
      <c r="AN154" s="48" t="n">
        <f aca="false">N149*N$104/100</f>
        <v>3.15924378635931</v>
      </c>
      <c r="AO154" s="48" t="n">
        <f aca="false">O149*O$104/100</f>
        <v>3.35306975008764</v>
      </c>
      <c r="AP154" s="48" t="n">
        <f aca="false">P149*P$104/100</f>
        <v>3.48656955324075</v>
      </c>
      <c r="AQ154" s="48" t="n">
        <f aca="false">Q149*Q$104/100</f>
        <v>3.58509212763307</v>
      </c>
      <c r="AR154" s="48" t="n">
        <f aca="false">R149*R$104/100</f>
        <v>3.60244651228523</v>
      </c>
    </row>
    <row r="155" s="3" customFormat="true" ht="11.25" hidden="false" customHeight="false" outlineLevel="0" collapsed="false">
      <c r="T155" s="13"/>
      <c r="U155" s="15" t="str">
        <f aca="false">AA135</f>
        <v> PIB dos EUA (0 - 17 trilhões de dólares/ano)</v>
      </c>
      <c r="V155" s="25" t="n">
        <v>17</v>
      </c>
      <c r="W155" s="70" t="n">
        <f aca="false">W158</f>
        <v>17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48" t="n">
        <f aca="false">K150*K$104/100</f>
        <v>0.0136368895824891</v>
      </c>
      <c r="AL155" s="48" t="n">
        <f aca="false">L150*L$104/100</f>
        <v>0.180234897543012</v>
      </c>
      <c r="AM155" s="48" t="n">
        <f aca="false">M150*M$104/100</f>
        <v>0.289821106922759</v>
      </c>
      <c r="AN155" s="48" t="n">
        <f aca="false">N150*N$104/100</f>
        <v>0.400919928402751</v>
      </c>
      <c r="AO155" s="48" t="n">
        <f aca="false">O150*O$104/100</f>
        <v>0.516337651868507</v>
      </c>
      <c r="AP155" s="48" t="n">
        <f aca="false">P150*P$104/100</f>
        <v>0.630232130881731</v>
      </c>
      <c r="AQ155" s="48" t="n">
        <f aca="false">Q150*Q$104/100</f>
        <v>0.774854801287419</v>
      </c>
      <c r="AR155" s="48" t="n">
        <f aca="false">R150*R$104/100</f>
        <v>0.920834707639277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(0 - 37%/ano)</v>
      </c>
      <c r="V156" s="25" t="n">
        <v>37</v>
      </c>
      <c r="W156" s="70" t="n">
        <f aca="false">W159</f>
        <v>37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48" t="n">
        <f aca="false">K151*K$104/100</f>
        <v>0.0204553343737337</v>
      </c>
      <c r="AL156" s="48" t="n">
        <f aca="false">L151*L$104/100</f>
        <v>0.110913783103392</v>
      </c>
      <c r="AM156" s="48" t="n">
        <f aca="false">M151*M$104/100</f>
        <v>0.217365830192069</v>
      </c>
      <c r="AN156" s="48" t="n">
        <f aca="false">N151*N$104/100</f>
        <v>0.326675497217056</v>
      </c>
      <c r="AO156" s="48" t="n">
        <f aca="false">O151*O$104/100</f>
        <v>0.440405644240786</v>
      </c>
      <c r="AP156" s="48" t="n">
        <f aca="false">P151*P$104/100</f>
        <v>0.553374553944935</v>
      </c>
      <c r="AQ156" s="48" t="n">
        <f aca="false">Q151*Q$104/100</f>
        <v>0.728363513210174</v>
      </c>
      <c r="AR156" s="48" t="n">
        <f aca="false">R151*R$104/100</f>
        <v>0.920834707639277</v>
      </c>
    </row>
    <row r="157" s="3" customFormat="true" ht="11.25" hidden="false" customHeight="false" outlineLevel="0" collapsed="false">
      <c r="T157" s="13"/>
      <c r="U157" s="15" t="str">
        <f aca="false">AA137</f>
        <v> Consumo (0 - 17 T$ / ano)</v>
      </c>
      <c r="V157" s="25" t="n">
        <f aca="false">V155</f>
        <v>17</v>
      </c>
      <c r="W157" s="70" t="n">
        <f aca="false">W160</f>
        <v>17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48" t="n">
        <f aca="false">K152*K$104/100</f>
        <v>0.254519282572945</v>
      </c>
      <c r="AL157" s="48" t="n">
        <f aca="false">L152*L$104/100</f>
        <v>0.19803232472737</v>
      </c>
      <c r="AM157" s="48" t="n">
        <f aca="false">M152*M$104/100</f>
        <v>0.155239356064896</v>
      </c>
      <c r="AN157" s="48" t="n">
        <f aca="false">N152*N$104/100</f>
        <v>0.119304537316637</v>
      </c>
      <c r="AO157" s="48" t="n">
        <f aca="false">O152*O$104/100</f>
        <v>0.0915122477154974</v>
      </c>
      <c r="AP157" s="48" t="n">
        <f aca="false">P152*P$104/100</f>
        <v>0.0694707986709932</v>
      </c>
      <c r="AQ157" s="48" t="n">
        <f aca="false">Q152*Q$104/100</f>
        <v>0.0525287655865317</v>
      </c>
      <c r="AR157" s="48" t="n">
        <f aca="false">R152*R$104/100</f>
        <v>0.0390156246218315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PIB dos EUA (0 - 17 trilhões de dólares/ano) sua previsão</v>
      </c>
      <c r="W158" s="4" t="n">
        <v>17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K146-AK157-AK154-AK155-AK156</f>
        <v>3.40005801291454E-016</v>
      </c>
      <c r="AL158" s="48" t="n">
        <f aca="false">L146-AL157-AL154-AL155-AL156</f>
        <v>-6.38378239159465E-016</v>
      </c>
      <c r="AM158" s="48" t="n">
        <f aca="false">M146-AM157-AM154-AM155-AM156</f>
        <v>0</v>
      </c>
      <c r="AN158" s="48" t="n">
        <f aca="false">N146-AN157-AN154-AN155-AN156</f>
        <v>0</v>
      </c>
      <c r="AO158" s="48" t="n">
        <f aca="false">O146-AO157-AO154-AO155-AO156</f>
        <v>0</v>
      </c>
      <c r="AP158" s="48" t="n">
        <f aca="false">P146-AP157-AP154-AP155-AP156</f>
        <v>0</v>
      </c>
      <c r="AQ158" s="48" t="n">
        <f aca="false">Q146-AQ157-AQ154-AQ155-AQ156</f>
        <v>0</v>
      </c>
      <c r="AR158" s="48" t="n">
        <f aca="false">R146-AR157-AR154-AR155-AR156</f>
        <v>0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(0 - 37%/ano) sua previsão</v>
      </c>
      <c r="W159" s="4" t="n">
        <v>37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(0 - 17 T$/ano) sua previsão</v>
      </c>
      <c r="W160" s="93" t="n">
        <f aca="false">W158</f>
        <v>17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 Gráfico 4a. Participação no investimento - EUA,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1.25" hidden="false" customHeight="false" outlineLevel="0" collapsed="false">
      <c r="T194" s="13"/>
    </row>
    <row r="195" customFormat="false" ht="11.25" hidden="false" customHeight="false" outlineLevel="0" collapsed="false">
      <c r="T195" s="13"/>
    </row>
    <row r="196" customFormat="false" ht="11.25" hidden="false" customHeight="false" outlineLevel="0" collapsed="false">
      <c r="T196" s="13"/>
    </row>
    <row r="197" customFormat="false" ht="11.25" hidden="false" customHeight="false" outlineLevel="0" collapsed="false">
      <c r="T197" s="13"/>
    </row>
    <row r="198" customFormat="false" ht="11.25" hidden="false" customHeight="false" outlineLevel="0" collapsed="false">
      <c r="T198" s="13"/>
    </row>
    <row r="199" customFormat="false" ht="11.25" hidden="false" customHeight="false" outlineLevel="0" collapsed="false">
      <c r="T199" s="13"/>
    </row>
    <row r="200" customFormat="false" ht="11.25" hidden="false" customHeight="false" outlineLevel="0" collapsed="false">
      <c r="T200" s="13"/>
    </row>
    <row r="201" customFormat="false" ht="11.25" hidden="false" customHeight="false" outlineLevel="0" collapsed="false">
      <c r="T201" s="13"/>
    </row>
    <row r="202" customFormat="false" ht="11.25" hidden="false" customHeight="false" outlineLevel="0" collapsed="false">
      <c r="T202" s="13"/>
    </row>
    <row r="203" customFormat="false" ht="11.25" hidden="false" customHeight="false" outlineLevel="0" collapsed="false">
      <c r="T203" s="13"/>
    </row>
    <row r="204" customFormat="false" ht="12.65" hidden="false" customHeight="false" outlineLevel="0" collapsed="false">
      <c r="B204" s="95"/>
      <c r="T204" s="13"/>
    </row>
    <row r="205" customFormat="false" ht="12.65" hidden="false" customHeight="false" outlineLevel="0" collapsed="false">
      <c r="A205" s="61" t="s">
        <v>78</v>
      </c>
      <c r="T205" s="13"/>
    </row>
    <row r="206" customFormat="false" ht="12.65" hidden="false" customHeight="false" outlineLevel="0" collapsed="false">
      <c r="A206" s="23" t="str">
        <f aca="false">CONCATENATE(A205,". Consumption per person - ",A5," 1970 to 2050")</f>
        <v> Gráfico 5. Consumo per capita - EUA, 1970 a 2050</v>
      </c>
      <c r="T206" s="13"/>
    </row>
    <row r="207" customFormat="false" ht="11.25" hidden="false" customHeight="false" outlineLevel="0" collapsed="false">
      <c r="B207" s="24" t="n">
        <v>1970</v>
      </c>
      <c r="C207" s="24" t="n">
        <v>1975</v>
      </c>
      <c r="D207" s="24" t="n">
        <v>1980</v>
      </c>
      <c r="E207" s="24" t="n">
        <v>1985</v>
      </c>
      <c r="F207" s="24" t="n">
        <v>1990</v>
      </c>
      <c r="G207" s="24" t="n">
        <v>1995</v>
      </c>
      <c r="H207" s="24" t="n">
        <v>2000</v>
      </c>
      <c r="I207" s="24" t="n">
        <v>2005</v>
      </c>
      <c r="J207" s="24" t="n">
        <v>2010</v>
      </c>
      <c r="K207" s="24" t="n">
        <v>2015</v>
      </c>
      <c r="L207" s="24" t="n">
        <v>2020</v>
      </c>
      <c r="M207" s="24" t="n">
        <v>2025</v>
      </c>
      <c r="N207" s="24" t="n">
        <v>2030</v>
      </c>
      <c r="O207" s="24" t="n">
        <v>2035</v>
      </c>
      <c r="P207" s="24" t="n">
        <v>2040</v>
      </c>
      <c r="Q207" s="24" t="n">
        <v>2045</v>
      </c>
      <c r="R207" s="24" t="n">
        <v>2050</v>
      </c>
      <c r="S207" s="25" t="s">
        <v>15</v>
      </c>
      <c r="T207" s="13"/>
      <c r="V207" s="96"/>
      <c r="AA207" s="52" t="s">
        <v>36</v>
      </c>
    </row>
    <row r="208" customFormat="false" ht="11.25" hidden="false" customHeight="false" outlineLevel="0" collapsed="false">
      <c r="A208" s="11" t="str">
        <f aca="false">A9</f>
        <v> População, EUA</v>
      </c>
      <c r="B208" s="27" t="n">
        <f aca="false">B9</f>
        <v>212.243475</v>
      </c>
      <c r="C208" s="27" t="n">
        <f aca="false">C9</f>
        <v>222.133059</v>
      </c>
      <c r="D208" s="27" t="n">
        <f aca="false">D9</f>
        <v>233.119438</v>
      </c>
      <c r="E208" s="27" t="n">
        <f aca="false">E9</f>
        <v>244.603821</v>
      </c>
      <c r="F208" s="27" t="n">
        <f aca="false">F9</f>
        <v>256.971165</v>
      </c>
      <c r="G208" s="27" t="n">
        <f aca="false">G9</f>
        <v>270.132353</v>
      </c>
      <c r="H208" s="27" t="n">
        <f aca="false">H9</f>
        <v>286.419174</v>
      </c>
      <c r="I208" s="27" t="n">
        <f aca="false">I9</f>
        <v>300.711645</v>
      </c>
      <c r="J208" s="27" t="n">
        <f aca="false">J9</f>
        <v>314.242013</v>
      </c>
      <c r="K208" s="27" t="n">
        <f aca="false">K9</f>
        <v>322.559515897</v>
      </c>
      <c r="L208" s="27" t="n">
        <f aca="false">L9</f>
        <v>329.631882282179</v>
      </c>
      <c r="M208" s="27" t="n">
        <f aca="false">M9</f>
        <v>335.654849742529</v>
      </c>
      <c r="N208" s="27" t="n">
        <f aca="false">N9</f>
        <v>340.261054923548</v>
      </c>
      <c r="O208" s="27" t="n">
        <f aca="false">O9</f>
        <v>343.10314656863</v>
      </c>
      <c r="P208" s="27" t="n">
        <f aca="false">P9</f>
        <v>344.017563225874</v>
      </c>
      <c r="Q208" s="27" t="n">
        <f aca="false">Q9</f>
        <v>343.151676751897</v>
      </c>
      <c r="R208" s="27" t="n">
        <f aca="false">R9</f>
        <v>340.817218749119</v>
      </c>
      <c r="S208" s="28" t="s">
        <v>17</v>
      </c>
      <c r="T208" s="13"/>
      <c r="V208" s="96"/>
      <c r="AA208" s="52"/>
      <c r="AB208" s="24" t="n">
        <v>1970</v>
      </c>
      <c r="AC208" s="24" t="n">
        <v>1975</v>
      </c>
      <c r="AD208" s="24" t="n">
        <v>1980</v>
      </c>
      <c r="AE208" s="24" t="n">
        <v>1985</v>
      </c>
      <c r="AF208" s="24" t="n">
        <v>1990</v>
      </c>
      <c r="AG208" s="24" t="n">
        <v>1995</v>
      </c>
      <c r="AH208" s="24" t="n">
        <v>2000</v>
      </c>
      <c r="AI208" s="24" t="n">
        <v>2005</v>
      </c>
      <c r="AJ208" s="24" t="n">
        <v>2010</v>
      </c>
      <c r="AK208" s="24" t="n">
        <v>2015</v>
      </c>
      <c r="AL208" s="24" t="n">
        <v>2020</v>
      </c>
      <c r="AM208" s="24" t="n">
        <v>2025</v>
      </c>
      <c r="AN208" s="24" t="n">
        <v>2030</v>
      </c>
      <c r="AO208" s="24" t="n">
        <v>2035</v>
      </c>
      <c r="AP208" s="24" t="n">
        <v>2040</v>
      </c>
      <c r="AQ208" s="24" t="n">
        <v>2045</v>
      </c>
      <c r="AR208" s="24" t="n">
        <v>2050</v>
      </c>
    </row>
    <row r="209" customFormat="false" ht="11.25" hidden="false" customHeight="false" outlineLevel="0" collapsed="false">
      <c r="A209" s="11" t="str">
        <f aca="false">A136</f>
        <v> Consumo</v>
      </c>
      <c r="B209" s="75" t="n">
        <f aca="false">B136</f>
        <v>3.5450255406411</v>
      </c>
      <c r="C209" s="75" t="n">
        <f aca="false">C136</f>
        <v>4.10525968579388</v>
      </c>
      <c r="D209" s="75" t="n">
        <f aca="false">D136</f>
        <v>4.76045583321643</v>
      </c>
      <c r="E209" s="75" t="n">
        <f aca="false">E136</f>
        <v>5.53636743724877</v>
      </c>
      <c r="F209" s="75" t="n">
        <f aca="false">F136</f>
        <v>6.59382569433222</v>
      </c>
      <c r="G209" s="75" t="n">
        <f aca="false">G136</f>
        <v>7.30973568253198</v>
      </c>
      <c r="H209" s="75" t="n">
        <f aca="false">H136</f>
        <v>8.5461154172692</v>
      </c>
      <c r="I209" s="75" t="n">
        <f aca="false">I136</f>
        <v>9.77619041687153</v>
      </c>
      <c r="J209" s="75" t="n">
        <f aca="false">J136</f>
        <v>10.6219225404999</v>
      </c>
      <c r="K209" s="75" t="n">
        <f aca="false">K136</f>
        <v>11.0941400484812</v>
      </c>
      <c r="L209" s="75" t="n">
        <f aca="false">L136</f>
        <v>11.2973678046673</v>
      </c>
      <c r="M209" s="75" t="n">
        <f aca="false">M136</f>
        <v>11.457116555283</v>
      </c>
      <c r="N209" s="75" t="n">
        <f aca="false">N136</f>
        <v>11.4158462598594</v>
      </c>
      <c r="O209" s="75" t="n">
        <f aca="false">O136</f>
        <v>11.3701193074981</v>
      </c>
      <c r="P209" s="75" t="n">
        <f aca="false">P136</f>
        <v>11.2188861644781</v>
      </c>
      <c r="Q209" s="75" t="n">
        <f aca="false">Q136</f>
        <v>10.9344200845086</v>
      </c>
      <c r="R209" s="75" t="n">
        <f aca="false">R136</f>
        <v>10.4172017204081</v>
      </c>
      <c r="S209" s="28" t="s">
        <v>53</v>
      </c>
      <c r="T209" s="13"/>
      <c r="V209" s="96"/>
      <c r="AA209" s="29" t="str">
        <f aca="false">CONCATENATE(A209," (0 - ",W213, " T$ / yr)")</f>
        <v> Consumo (0 - 18 T$ / ano)</v>
      </c>
      <c r="AB209" s="57" t="n">
        <f aca="false">B209/$W$213</f>
        <v>0.19694586336895</v>
      </c>
      <c r="AC209" s="57" t="n">
        <f aca="false">C209/$W$213</f>
        <v>0.228069982544105</v>
      </c>
      <c r="AD209" s="57" t="n">
        <f aca="false">D209/$W$213</f>
        <v>0.264469768512024</v>
      </c>
      <c r="AE209" s="57" t="n">
        <f aca="false">E209/$W$213</f>
        <v>0.307575968736043</v>
      </c>
      <c r="AF209" s="57" t="n">
        <f aca="false">F209/$W$213</f>
        <v>0.366323649685123</v>
      </c>
      <c r="AG209" s="57" t="n">
        <f aca="false">G209/$W$213</f>
        <v>0.406096426807332</v>
      </c>
      <c r="AH209" s="57" t="n">
        <f aca="false">H209/$W$213</f>
        <v>0.474784189848289</v>
      </c>
      <c r="AI209" s="57" t="n">
        <f aca="false">I209/$W$213</f>
        <v>0.543121689826196</v>
      </c>
      <c r="AJ209" s="57" t="n">
        <f aca="false">J209/$W$213</f>
        <v>0.59010680780555</v>
      </c>
      <c r="AK209" s="57" t="n">
        <f aca="false">K209/$W$213</f>
        <v>0.61634111380451</v>
      </c>
      <c r="AL209" s="57" t="n">
        <f aca="false">L209/$W$213</f>
        <v>0.62763154470374</v>
      </c>
      <c r="AM209" s="57" t="n">
        <f aca="false">M209/$W$213</f>
        <v>0.636506475293501</v>
      </c>
      <c r="AN209" s="57" t="n">
        <f aca="false">N209/$W$213</f>
        <v>0.634213681103303</v>
      </c>
      <c r="AO209" s="57" t="n">
        <f aca="false">O209/$W$213</f>
        <v>0.631673294861007</v>
      </c>
      <c r="AP209" s="57" t="n">
        <f aca="false">P209/$W$213</f>
        <v>0.623271453582118</v>
      </c>
      <c r="AQ209" s="57" t="n">
        <f aca="false">Q209/$W$213</f>
        <v>0.607467782472702</v>
      </c>
      <c r="AR209" s="57" t="n">
        <f aca="false">R209/$W$213</f>
        <v>0.578733428911563</v>
      </c>
      <c r="AS209" s="29"/>
    </row>
    <row r="210" customFormat="false" ht="11.25" hidden="false" customHeight="false" outlineLevel="0" collapsed="false">
      <c r="A210" s="11" t="s">
        <v>79</v>
      </c>
      <c r="B210" s="27" t="n">
        <f aca="false">B209/B208*1000000</f>
        <v>16702.6361618</v>
      </c>
      <c r="C210" s="27" t="n">
        <f aca="false">C209/C208*1000000</f>
        <v>18481.0838345043</v>
      </c>
      <c r="D210" s="27" t="n">
        <f aca="false">D209/D208*1000000</f>
        <v>20420.6730852553</v>
      </c>
      <c r="E210" s="27" t="n">
        <f aca="false">E209/E208*1000000</f>
        <v>22634.0186126887</v>
      </c>
      <c r="F210" s="27" t="n">
        <f aca="false">F209/F208*1000000</f>
        <v>25659.7883047782</v>
      </c>
      <c r="G210" s="27" t="n">
        <f aca="false">G209/G208*1000000</f>
        <v>27059.8304918033</v>
      </c>
      <c r="H210" s="27" t="n">
        <f aca="false">H209/H208*1000000</f>
        <v>29837.7908780269</v>
      </c>
      <c r="I210" s="27" t="n">
        <f aca="false">I209/I208*1000000</f>
        <v>32510.1823604853</v>
      </c>
      <c r="J210" s="27" t="n">
        <f aca="false">J209/J208*1000000</f>
        <v>33801.7263799156</v>
      </c>
      <c r="K210" s="27" t="n">
        <f aca="false">K209/K208*1000000</f>
        <v>34394.086987729</v>
      </c>
      <c r="L210" s="27" t="n">
        <f aca="false">L209/L208*1000000</f>
        <v>34272.6793490088</v>
      </c>
      <c r="M210" s="27" t="n">
        <f aca="false">M209/M208*1000000</f>
        <v>34133.6243586871</v>
      </c>
      <c r="N210" s="27" t="n">
        <f aca="false">N209/N208*1000000</f>
        <v>33550.2582345912</v>
      </c>
      <c r="O210" s="27" t="n">
        <f aca="false">O209/O208*1000000</f>
        <v>33139.070338499</v>
      </c>
      <c r="P210" s="27" t="n">
        <f aca="false">P209/P208*1000000</f>
        <v>32611.376173001</v>
      </c>
      <c r="Q210" s="27" t="n">
        <f aca="false">Q209/Q208*1000000</f>
        <v>31864.6849929699</v>
      </c>
      <c r="R210" s="27" t="n">
        <f aca="false">R209/R208*1000000</f>
        <v>30565.3621569995</v>
      </c>
      <c r="S210" s="28" t="s">
        <v>80</v>
      </c>
      <c r="T210" s="13"/>
      <c r="X210" s="15" t="s">
        <v>33</v>
      </c>
      <c r="AA210" s="29" t="str">
        <f aca="false">CONCATENATE(A210," (0 - ",W214, " $ / yr)")</f>
        <v>Consumo por pessoa (0 - 36000 $ / ano)</v>
      </c>
      <c r="AB210" s="57" t="n">
        <f aca="false">B210/$W$214</f>
        <v>0.463962115605557</v>
      </c>
      <c r="AC210" s="57" t="n">
        <f aca="false">C210/$W$214</f>
        <v>0.513363439847341</v>
      </c>
      <c r="AD210" s="57" t="n">
        <f aca="false">D210/$W$214</f>
        <v>0.567240919034869</v>
      </c>
      <c r="AE210" s="57" t="n">
        <f aca="false">E210/$W$214</f>
        <v>0.628722739241353</v>
      </c>
      <c r="AF210" s="57" t="n">
        <f aca="false">F210/$W$214</f>
        <v>0.712771897354949</v>
      </c>
      <c r="AG210" s="57" t="n">
        <f aca="false">G210/$W$214</f>
        <v>0.751661958105648</v>
      </c>
      <c r="AH210" s="57" t="n">
        <f aca="false">H210/$W$214</f>
        <v>0.828827524389636</v>
      </c>
      <c r="AI210" s="57" t="n">
        <f aca="false">I210/$W$214</f>
        <v>0.903060621124592</v>
      </c>
      <c r="AJ210" s="57" t="n">
        <f aca="false">J210/$W$214</f>
        <v>0.938936843886546</v>
      </c>
      <c r="AK210" s="57" t="n">
        <f aca="false">K210/$W$214</f>
        <v>0.955391305214695</v>
      </c>
      <c r="AL210" s="57" t="n">
        <f aca="false">L210/$W$214</f>
        <v>0.9520188708058</v>
      </c>
      <c r="AM210" s="57" t="n">
        <f aca="false">M210/$W$214</f>
        <v>0.948156232185751</v>
      </c>
      <c r="AN210" s="57" t="n">
        <f aca="false">N210/$W$214</f>
        <v>0.931951617627532</v>
      </c>
      <c r="AO210" s="57" t="n">
        <f aca="false">O210/$W$214</f>
        <v>0.920529731624971</v>
      </c>
      <c r="AP210" s="57" t="n">
        <f aca="false">P210/$W$214</f>
        <v>0.905871560361138</v>
      </c>
      <c r="AQ210" s="57" t="n">
        <f aca="false">Q210/$W$214</f>
        <v>0.885130138693609</v>
      </c>
      <c r="AR210" s="57" t="n">
        <f aca="false">R210/$W$214</f>
        <v>0.84903783769443</v>
      </c>
      <c r="AS210" s="29"/>
    </row>
    <row r="211" customFormat="false" ht="11.25" hidden="false" customHeight="false" outlineLevel="0" collapsed="false">
      <c r="A211" s="97"/>
      <c r="T211" s="13"/>
      <c r="V211" s="3" t="s">
        <v>35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98" t="n">
        <f aca="false">K17</f>
        <v>322.5694263445</v>
      </c>
      <c r="AL211" s="98" t="n">
        <f aca="false">L17</f>
        <v>329.500558350303</v>
      </c>
      <c r="AM211" s="98" t="n">
        <f aca="false">M17</f>
        <v>335.400714927463</v>
      </c>
      <c r="AN211" s="98" t="n">
        <f aca="false">N17</f>
        <v>339.911378252487</v>
      </c>
      <c r="AO211" s="98" t="n">
        <f aca="false">O17</f>
        <v>342.693765742141</v>
      </c>
      <c r="AP211" s="98" t="n">
        <f aca="false">P17</f>
        <v>343.588824831645</v>
      </c>
      <c r="AQ211" s="98" t="n">
        <f aca="false">Q17</f>
        <v>342.741313631993</v>
      </c>
      <c r="AR211" s="98" t="n">
        <f aca="false">R17</f>
        <v>340.456280652224</v>
      </c>
      <c r="AS211" s="29"/>
    </row>
    <row r="212" customFormat="false" ht="28.3" hidden="false" customHeight="false" outlineLevel="0" collapsed="false">
      <c r="T212" s="13"/>
      <c r="U212" s="55" t="str">
        <f aca="false">U27</f>
        <v> Para o gráfico à esquerda, nomes das variáveis (unidade)</v>
      </c>
      <c r="V212" s="54" t="s">
        <v>38</v>
      </c>
      <c r="W212" s="54" t="s">
        <v>39</v>
      </c>
      <c r="X212" s="55"/>
      <c r="Y212" s="55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48" t="n">
        <f aca="false">K147</f>
        <v>11.0935017064543</v>
      </c>
      <c r="AL212" s="48" t="n">
        <f aca="false">L147</f>
        <v>11.0547946147829</v>
      </c>
      <c r="AM212" s="48" t="n">
        <f aca="false">M147</f>
        <v>11.1964924199215</v>
      </c>
      <c r="AN212" s="48" t="n">
        <f aca="false">N147</f>
        <v>11.1457809824787</v>
      </c>
      <c r="AO212" s="48" t="n">
        <f aca="false">O147</f>
        <v>11.0950027933777</v>
      </c>
      <c r="AP212" s="48" t="n">
        <f aca="false">P147</f>
        <v>10.9455727462813</v>
      </c>
      <c r="AQ212" s="48" t="n">
        <f aca="false">Q147</f>
        <v>10.6725240838628</v>
      </c>
      <c r="AR212" s="48" t="n">
        <f aca="false">R147</f>
        <v>10.1773226593667</v>
      </c>
      <c r="AS212" s="29"/>
    </row>
    <row r="213" customFormat="false" ht="11.25" hidden="false" customHeight="false" outlineLevel="0" collapsed="false">
      <c r="T213" s="13"/>
      <c r="U213" s="99" t="str">
        <f aca="false">AA209</f>
        <v> Consumo (0 - 18 T$ / ano)</v>
      </c>
      <c r="V213" s="25" t="n">
        <v>18</v>
      </c>
      <c r="W213" s="70" t="n">
        <f aca="false">W215</f>
        <v>18</v>
      </c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47" t="n">
        <f aca="false">AK212/AK211*1000000</f>
        <v>34391.051353412</v>
      </c>
      <c r="AL213" s="47" t="n">
        <f aca="false">AL212/AL211*1000000</f>
        <v>33550.1544219848</v>
      </c>
      <c r="AM213" s="47" t="n">
        <f aca="false">AM212/AM211*1000000</f>
        <v>33382.4345673891</v>
      </c>
      <c r="AN213" s="47" t="n">
        <f aca="false">AN212/AN211*1000000</f>
        <v>32790.2556242161</v>
      </c>
      <c r="AO213" s="47" t="n">
        <f aca="false">AO212/AO211*1000000</f>
        <v>32375.8524446754</v>
      </c>
      <c r="AP213" s="47" t="n">
        <f aca="false">AP212/AP211*1000000</f>
        <v>31856.6028788756</v>
      </c>
      <c r="AQ213" s="47" t="n">
        <f aca="false">AQ212/AQ211*1000000</f>
        <v>31138.7149998557</v>
      </c>
      <c r="AR213" s="47" t="n">
        <f aca="false">AR212/AR211*1000000</f>
        <v>29893.1852273944</v>
      </c>
      <c r="AS213" s="29"/>
    </row>
    <row r="214" customFormat="false" ht="11.25" hidden="false" customHeight="false" outlineLevel="0" collapsed="false">
      <c r="T214" s="13"/>
      <c r="U214" s="99" t="str">
        <f aca="false">AA210</f>
        <v> Consumo por pessoa (0 - 36000 $ / ano)</v>
      </c>
      <c r="V214" s="25" t="n">
        <v>36000</v>
      </c>
      <c r="W214" s="70" t="n">
        <f aca="false">W216</f>
        <v>36000</v>
      </c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customFormat="false" ht="11.25" hidden="false" customHeight="false" outlineLevel="0" collapsed="false">
      <c r="T215" s="13"/>
      <c r="U215" s="100" t="str">
        <f aca="false">CONCATENATE("Consumption from Your forecast (0 - ",W215, " T$ / yr)")</f>
        <v> Consumo previsto (0 - 18 T$/ano)</v>
      </c>
      <c r="W215" s="4" t="n">
        <v>18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57" t="n">
        <f aca="false">AK212/$W$215</f>
        <v>0.616305650358575</v>
      </c>
      <c r="AL215" s="57" t="n">
        <f aca="false">AL212/$W$215</f>
        <v>0.614155256376826</v>
      </c>
      <c r="AM215" s="57" t="n">
        <f aca="false">AM212/$W$215</f>
        <v>0.622027356662308</v>
      </c>
      <c r="AN215" s="57" t="n">
        <f aca="false">AN212/$W$215</f>
        <v>0.619210054582148</v>
      </c>
      <c r="AO215" s="57" t="n">
        <f aca="false">AO212/$W$215</f>
        <v>0.616389044076539</v>
      </c>
      <c r="AP215" s="57" t="n">
        <f aca="false">AP212/$W$215</f>
        <v>0.608087374793405</v>
      </c>
      <c r="AQ215" s="57" t="n">
        <f aca="false">AQ212/$W$215</f>
        <v>0.592918004659044</v>
      </c>
      <c r="AR215" s="57" t="n">
        <f aca="false">AR212/$W$215</f>
        <v>0.565406814409262</v>
      </c>
      <c r="AS215" s="29"/>
    </row>
    <row r="216" customFormat="false" ht="11.25" hidden="false" customHeight="false" outlineLevel="0" collapsed="false">
      <c r="T216" s="13"/>
      <c r="U216" s="37" t="str">
        <f aca="false">CONCATENATE("Consumption per person from Your forecast (0 - ",W216, " $ / yr)")</f>
        <v> Consumo por pessoa de acordo com sua previsão (0 - 36.000 $/ano)</v>
      </c>
      <c r="W216" s="4" t="n">
        <v>36000</v>
      </c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57" t="n">
        <f aca="false">AK213/$W$216</f>
        <v>0.955306982039222</v>
      </c>
      <c r="AL216" s="57" t="n">
        <f aca="false">AL213/$W$216</f>
        <v>0.931948733944023</v>
      </c>
      <c r="AM216" s="57" t="n">
        <f aca="false">AM213/$W$216</f>
        <v>0.927289849094142</v>
      </c>
      <c r="AN216" s="57" t="n">
        <f aca="false">AN213/$W$216</f>
        <v>0.910840434006003</v>
      </c>
      <c r="AO216" s="57" t="n">
        <f aca="false">AO213/$W$216</f>
        <v>0.899329234574317</v>
      </c>
      <c r="AP216" s="57" t="n">
        <f aca="false">AP213/$W$216</f>
        <v>0.884905635524323</v>
      </c>
      <c r="AQ216" s="57" t="n">
        <f aca="false">AQ213/$W$216</f>
        <v>0.864964305551547</v>
      </c>
      <c r="AR216" s="57" t="n">
        <f aca="false">AR213/$W$216</f>
        <v>0.830366256316511</v>
      </c>
      <c r="AS216" s="29"/>
    </row>
    <row r="217" customFormat="false" ht="11.25" hidden="false" customHeight="false" outlineLevel="0" collapsed="false">
      <c r="T217" s="13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S217" s="29"/>
    </row>
    <row r="218" customFormat="false" ht="11.25" hidden="false" customHeight="false" outlineLevel="0" collapsed="false">
      <c r="T218" s="13"/>
    </row>
    <row r="219" customFormat="fals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s="3" customFormat="true" ht="11.25" hidden="false" customHeight="false" outlineLevel="0" collapsed="false">
      <c r="T225" s="13"/>
    </row>
    <row r="226" s="35" customFormat="true" ht="13.8" hidden="false" customHeight="false" outlineLevel="0" collapsed="false">
      <c r="T226" s="13"/>
      <c r="V226" s="3"/>
      <c r="W226" s="3"/>
      <c r="X226" s="3"/>
      <c r="Y226" s="3"/>
    </row>
    <row r="227" s="35" customFormat="true" ht="13.8" hidden="false" customHeight="false" outlineLevel="0" collapsed="false">
      <c r="T227" s="13"/>
      <c r="V227" s="3"/>
      <c r="W227" s="3"/>
      <c r="X227" s="3"/>
      <c r="Y227" s="3"/>
    </row>
    <row r="228" s="3" customFormat="true" ht="11.25" hidden="false" customHeight="false" outlineLevel="0" collapsed="false">
      <c r="T228" s="13"/>
    </row>
    <row r="229" s="3" customFormat="true" ht="11.25" hidden="false" customHeight="false" outlineLevel="0" collapsed="false">
      <c r="T229" s="13"/>
    </row>
    <row r="230" customFormat="false" ht="11.25" hidden="false" customHeight="false" outlineLevel="0" collapsed="false">
      <c r="T230" s="13"/>
    </row>
    <row r="231" customFormat="false" ht="11.25" hidden="false" customHeight="false" outlineLevel="0" collapsed="false">
      <c r="T231" s="13"/>
    </row>
    <row r="232" customFormat="false" ht="11.25" hidden="false" customHeight="false" outlineLevel="0" collapsed="false">
      <c r="T232" s="13"/>
    </row>
    <row r="233" customFormat="false" ht="11.25" hidden="false" customHeight="false" outlineLevel="0" collapsed="false">
      <c r="T233" s="13"/>
    </row>
    <row r="234" customFormat="false" ht="11.25" hidden="false" customHeight="false" outlineLevel="0" collapsed="false">
      <c r="T234" s="13"/>
    </row>
    <row r="235" customFormat="false" ht="11.25" hidden="false" customHeight="false" outlineLevel="0" collapsed="false">
      <c r="T235" s="13"/>
    </row>
    <row r="236" customFormat="false" ht="11.25" hidden="false" customHeight="false" outlineLevel="0" collapsed="false">
      <c r="T236" s="13"/>
    </row>
    <row r="237" customFormat="false" ht="11.25" hidden="false" customHeight="false" outlineLevel="0" collapsed="false">
      <c r="T237" s="13"/>
    </row>
    <row r="238" customFormat="false" ht="12.65" hidden="false" customHeight="false" outlineLevel="0" collapsed="false">
      <c r="A238" s="61" t="s">
        <v>81</v>
      </c>
      <c r="T238" s="13"/>
    </row>
    <row r="239" customFormat="false" ht="12.65" hidden="false" customHeight="false" outlineLevel="0" collapsed="false">
      <c r="A239" s="23" t="str">
        <f aca="false">CONCATENATE(A238,". Energy Use - ",A5," 1970 to 2050")</f>
        <v> Gráfico 6. Consumo de energia - EUA, 1970 a 2050</v>
      </c>
      <c r="T239" s="13"/>
    </row>
    <row r="240" customFormat="false" ht="11.25" hidden="false" customHeight="false" outlineLevel="0" collapsed="false">
      <c r="B240" s="101" t="n">
        <v>1970</v>
      </c>
      <c r="C240" s="101" t="n">
        <v>1975</v>
      </c>
      <c r="D240" s="101" t="n">
        <v>1980</v>
      </c>
      <c r="E240" s="101" t="n">
        <v>1985</v>
      </c>
      <c r="F240" s="101" t="n">
        <v>1990</v>
      </c>
      <c r="G240" s="101" t="n">
        <v>1995</v>
      </c>
      <c r="H240" s="101" t="n">
        <v>2000</v>
      </c>
      <c r="I240" s="101" t="n">
        <v>2005</v>
      </c>
      <c r="J240" s="101" t="n">
        <v>2010</v>
      </c>
      <c r="K240" s="101" t="n">
        <v>2015</v>
      </c>
      <c r="L240" s="101" t="n">
        <v>2020</v>
      </c>
      <c r="M240" s="101" t="n">
        <v>2025</v>
      </c>
      <c r="N240" s="101" t="n">
        <v>2030</v>
      </c>
      <c r="O240" s="101" t="n">
        <v>2035</v>
      </c>
      <c r="P240" s="101" t="n">
        <v>2040</v>
      </c>
      <c r="Q240" s="101" t="n">
        <v>2045</v>
      </c>
      <c r="R240" s="101" t="n">
        <v>2050</v>
      </c>
      <c r="S240" s="25" t="s">
        <v>15</v>
      </c>
      <c r="T240" s="13"/>
    </row>
    <row r="241" customFormat="false" ht="11.25" hidden="false" customHeight="false" outlineLevel="0" collapsed="false">
      <c r="A241" s="11" t="str">
        <f aca="false">A134</f>
        <v> PIB EUA</v>
      </c>
      <c r="B241" s="102" t="n">
        <f aca="false">B134</f>
        <v>4.23359657940635</v>
      </c>
      <c r="C241" s="102" t="n">
        <f aca="false">C134</f>
        <v>4.83929326880169</v>
      </c>
      <c r="D241" s="102" t="n">
        <f aca="false">D134</f>
        <v>5.76011096789823</v>
      </c>
      <c r="E241" s="102" t="n">
        <f aca="false">E134</f>
        <v>6.82644360648065</v>
      </c>
      <c r="F241" s="102" t="n">
        <f aca="false">F134</f>
        <v>7.98850086437623</v>
      </c>
      <c r="G241" s="102" t="n">
        <f aca="false">G134</f>
        <v>9.04619063009376</v>
      </c>
      <c r="H241" s="102" t="n">
        <f aca="false">H134</f>
        <v>11.1473053392797</v>
      </c>
      <c r="I241" s="102" t="n">
        <f aca="false">I134</f>
        <v>12.6820742072491</v>
      </c>
      <c r="J241" s="102" t="n">
        <f aca="false">J134</f>
        <v>12.7261064907806</v>
      </c>
      <c r="K241" s="32" t="n">
        <f aca="false">K134</f>
        <v>13.6376742760842</v>
      </c>
      <c r="L241" s="32" t="n">
        <f aca="false">L134</f>
        <v>14.4653696554514</v>
      </c>
      <c r="M241" s="32" t="n">
        <f aca="false">M134</f>
        <v>15.1449887695674</v>
      </c>
      <c r="N241" s="32" t="n">
        <f aca="false">N134</f>
        <v>15.5397626886346</v>
      </c>
      <c r="O241" s="32" t="n">
        <f aca="false">O134</f>
        <v>15.9085782489744</v>
      </c>
      <c r="P241" s="32" t="n">
        <f aca="false">P134</f>
        <v>16.1124409981207</v>
      </c>
      <c r="Q241" s="32" t="n">
        <f aca="false">Q134</f>
        <v>16.2481165950325</v>
      </c>
      <c r="R241" s="32" t="n">
        <f aca="false">R134</f>
        <v>16.0889874556071</v>
      </c>
      <c r="S241" s="28" t="s">
        <v>53</v>
      </c>
      <c r="T241" s="13"/>
      <c r="U241" s="103" t="s">
        <v>82</v>
      </c>
    </row>
    <row r="242" customFormat="false" ht="11.25" hidden="false" customHeight="false" outlineLevel="0" collapsed="false">
      <c r="A242" s="11" t="s">
        <v>83</v>
      </c>
      <c r="B242" s="62" t="n">
        <v>706.648744771748</v>
      </c>
      <c r="C242" s="62" t="n">
        <v>784.539696940845</v>
      </c>
      <c r="D242" s="62" t="n">
        <v>789.143788871731</v>
      </c>
      <c r="E242" s="62" t="n">
        <v>710.963952707732</v>
      </c>
      <c r="F242" s="62" t="n">
        <v>772.496919615959</v>
      </c>
      <c r="G242" s="62" t="n">
        <v>796.697363047178</v>
      </c>
      <c r="H242" s="62" t="n">
        <v>884.126184281317</v>
      </c>
      <c r="I242" s="62" t="n">
        <v>939.778498544093</v>
      </c>
      <c r="J242" s="62" t="n">
        <v>849.969696261391</v>
      </c>
      <c r="K242" s="27" t="n">
        <f aca="false">K$250*K253/100</f>
        <v>869.265910656879</v>
      </c>
      <c r="L242" s="27" t="n">
        <f aca="false">L$250*L253/100</f>
        <v>802.928578168666</v>
      </c>
      <c r="M242" s="27" t="n">
        <f aca="false">M$250*M253/100</f>
        <v>750.218370304735</v>
      </c>
      <c r="N242" s="27" t="n">
        <f aca="false">N$250*N253/100</f>
        <v>684.105418623139</v>
      </c>
      <c r="O242" s="27" t="n">
        <f aca="false">O$250*O253/100</f>
        <v>596.497972550764</v>
      </c>
      <c r="P242" s="27" t="n">
        <f aca="false">P$250*P253/100</f>
        <v>507.711542346917</v>
      </c>
      <c r="Q242" s="27" t="n">
        <f aca="false">Q$250*Q253/100</f>
        <v>422.945577907144</v>
      </c>
      <c r="R242" s="27" t="n">
        <f aca="false">R$250*R253/100</f>
        <v>338.183726801425</v>
      </c>
      <c r="S242" s="28" t="s">
        <v>84</v>
      </c>
      <c r="T242" s="13"/>
      <c r="U242" s="103" t="s">
        <v>85</v>
      </c>
    </row>
    <row r="243" customFormat="false" ht="11.25" hidden="false" customHeight="false" outlineLevel="0" collapsed="false">
      <c r="A243" s="11" t="s">
        <v>86</v>
      </c>
      <c r="B243" s="62" t="n">
        <v>549.224761341643</v>
      </c>
      <c r="C243" s="62" t="n">
        <v>502.681144264422</v>
      </c>
      <c r="D243" s="62" t="n">
        <v>509.924989213746</v>
      </c>
      <c r="E243" s="62" t="n">
        <v>446.120242090666</v>
      </c>
      <c r="F243" s="62" t="n">
        <v>493.991524034876</v>
      </c>
      <c r="G243" s="62" t="n">
        <v>571.303067556478</v>
      </c>
      <c r="H243" s="62" t="n">
        <v>600.35414688041</v>
      </c>
      <c r="I243" s="62" t="n">
        <v>568.527636642753</v>
      </c>
      <c r="J243" s="62" t="n">
        <v>621.018353682195</v>
      </c>
      <c r="K243" s="27" t="n">
        <f aca="false">K$250*K254/100</f>
        <v>736.461396528745</v>
      </c>
      <c r="L243" s="27" t="n">
        <f aca="false">L$250*L254/100</f>
        <v>815.094162686373</v>
      </c>
      <c r="M243" s="27" t="n">
        <f aca="false">M$250*M254/100</f>
        <v>822.82014807616</v>
      </c>
      <c r="N243" s="27" t="n">
        <f aca="false">N$250*N254/100</f>
        <v>825.644470752065</v>
      </c>
      <c r="O243" s="27" t="n">
        <f aca="false">O$250*O254/100</f>
        <v>814.449154828928</v>
      </c>
      <c r="P243" s="27" t="n">
        <f aca="false">P$250*P254/100</f>
        <v>772.6045209627</v>
      </c>
      <c r="Q243" s="27" t="n">
        <f aca="false">Q$250*Q254/100</f>
        <v>708.433842994467</v>
      </c>
      <c r="R243" s="27" t="n">
        <f aca="false">R$250*R254/100</f>
        <v>616.687972402599</v>
      </c>
      <c r="S243" s="28" t="s">
        <v>84</v>
      </c>
      <c r="T243" s="13"/>
    </row>
    <row r="244" customFormat="false" ht="11.25" hidden="false" customHeight="false" outlineLevel="0" collapsed="false">
      <c r="A244" s="11" t="s">
        <v>87</v>
      </c>
      <c r="B244" s="62" t="n">
        <v>309.060901650044</v>
      </c>
      <c r="C244" s="62" t="n">
        <v>319.096828563216</v>
      </c>
      <c r="D244" s="62" t="n">
        <v>388.648261692354</v>
      </c>
      <c r="E244" s="62" t="n">
        <v>440.448967823214</v>
      </c>
      <c r="F244" s="62" t="n">
        <v>483.142273645254</v>
      </c>
      <c r="G244" s="62" t="n">
        <v>506.227518913917</v>
      </c>
      <c r="H244" s="62" t="n">
        <v>568.994601419837</v>
      </c>
      <c r="I244" s="62" t="n">
        <v>574.207281949291</v>
      </c>
      <c r="J244" s="62" t="n">
        <v>524.580712710173</v>
      </c>
      <c r="K244" s="27" t="n">
        <f aca="false">K$250*K257/100</f>
        <v>446.706092976452</v>
      </c>
      <c r="L244" s="27" t="n">
        <f aca="false">L$250*L257/100</f>
        <v>413.62987360204</v>
      </c>
      <c r="M244" s="27" t="n">
        <f aca="false">M$250*M257/100</f>
        <v>387.209481447605</v>
      </c>
      <c r="N244" s="27" t="n">
        <f aca="false">N$250*N257/100</f>
        <v>342.05270931157</v>
      </c>
      <c r="O244" s="27" t="n">
        <f aca="false">O$250*O257/100</f>
        <v>321.191215988873</v>
      </c>
      <c r="P244" s="27" t="n">
        <f aca="false">P$250*P257/100</f>
        <v>309.04180838508</v>
      </c>
      <c r="Q244" s="27" t="n">
        <f aca="false">Q$250*Q257/100</f>
        <v>285.488265087323</v>
      </c>
      <c r="R244" s="27" t="n">
        <f aca="false">R$250*R257/100</f>
        <v>238.717924801006</v>
      </c>
      <c r="S244" s="28" t="s">
        <v>84</v>
      </c>
      <c r="T244" s="13"/>
    </row>
    <row r="245" customFormat="false" ht="11.25" hidden="false" customHeight="false" outlineLevel="0" collapsed="false">
      <c r="A245" s="11" t="s">
        <v>88</v>
      </c>
      <c r="B245" s="62" t="n">
        <v>5.19336990255885</v>
      </c>
      <c r="C245" s="62" t="n">
        <v>41.0879781251566</v>
      </c>
      <c r="D245" s="62" t="n">
        <v>59.8118820606755</v>
      </c>
      <c r="E245" s="62" t="n">
        <v>91.3891621391813</v>
      </c>
      <c r="F245" s="62" t="n">
        <v>137.399456463489</v>
      </c>
      <c r="G245" s="62" t="n">
        <v>160.393766241191</v>
      </c>
      <c r="H245" s="62" t="n">
        <v>179.565456611163</v>
      </c>
      <c r="I245" s="62" t="n">
        <v>186.256767410676</v>
      </c>
      <c r="J245" s="62" t="n">
        <v>192.207158390162</v>
      </c>
      <c r="K245" s="27" t="n">
        <f aca="false">K$250*K256/100</f>
        <v>193.170202368195</v>
      </c>
      <c r="L245" s="27" t="n">
        <f aca="false">L$250*L256/100</f>
        <v>182.483767765606</v>
      </c>
      <c r="M245" s="27" t="n">
        <f aca="false">M$250*M256/100</f>
        <v>169.404148133327</v>
      </c>
      <c r="N245" s="27" t="n">
        <f aca="false">N$250*N256/100</f>
        <v>153.333973139669</v>
      </c>
      <c r="O245" s="27" t="n">
        <f aca="false">O$250*O256/100</f>
        <v>126.1822634242</v>
      </c>
      <c r="P245" s="27" t="n">
        <f aca="false">P$250*P256/100</f>
        <v>110.372074423243</v>
      </c>
      <c r="Q245" s="27" t="n">
        <f aca="false">Q$250*Q256/100</f>
        <v>84.5891155814289</v>
      </c>
      <c r="R245" s="27" t="n">
        <f aca="false">R$250*R256/100</f>
        <v>59.6794812002515</v>
      </c>
      <c r="S245" s="28" t="s">
        <v>84</v>
      </c>
      <c r="T245" s="13"/>
    </row>
    <row r="246" customFormat="false" ht="11.25" hidden="false" customHeight="false" outlineLevel="0" collapsed="false">
      <c r="A246" s="11" t="s">
        <v>89</v>
      </c>
      <c r="B246" s="62" t="n">
        <v>57.3588992152591</v>
      </c>
      <c r="C246" s="62" t="n">
        <v>69.2888517706358</v>
      </c>
      <c r="D246" s="62" t="n">
        <v>63.8100240308677</v>
      </c>
      <c r="E246" s="62" t="n">
        <v>64.9823116900088</v>
      </c>
      <c r="F246" s="62" t="n">
        <v>66.9376481930214</v>
      </c>
      <c r="G246" s="62" t="n">
        <v>71.0441976903479</v>
      </c>
      <c r="H246" s="62" t="n">
        <v>62.985148585003</v>
      </c>
      <c r="I246" s="62" t="n">
        <v>61.7847479638666</v>
      </c>
      <c r="J246" s="62" t="n">
        <v>58.7519015104653</v>
      </c>
      <c r="S246" s="28" t="s">
        <v>84</v>
      </c>
      <c r="T246" s="13"/>
    </row>
    <row r="247" customFormat="false" ht="11.25" hidden="false" customHeight="false" outlineLevel="0" collapsed="false">
      <c r="A247" s="11" t="s">
        <v>90</v>
      </c>
      <c r="B247" s="47"/>
      <c r="C247" s="47"/>
      <c r="D247" s="47"/>
      <c r="E247" s="47"/>
      <c r="F247" s="62" t="n">
        <v>14.4259315255822</v>
      </c>
      <c r="G247" s="62" t="n">
        <v>16.2339437999877</v>
      </c>
      <c r="H247" s="62" t="n">
        <v>17.6836029928168</v>
      </c>
      <c r="I247" s="62" t="n">
        <v>20.6237916929843</v>
      </c>
      <c r="J247" s="62" t="n">
        <v>39.1258713640838</v>
      </c>
      <c r="S247" s="28" t="s">
        <v>84</v>
      </c>
      <c r="T247" s="13"/>
    </row>
    <row r="248" customFormat="false" ht="11.25" hidden="false" customHeight="false" outlineLevel="0" collapsed="false">
      <c r="A248" s="11" t="s">
        <v>91</v>
      </c>
      <c r="B248" s="47"/>
      <c r="C248" s="47"/>
      <c r="D248" s="47"/>
      <c r="E248" s="47"/>
      <c r="F248" s="47"/>
      <c r="G248" s="47"/>
      <c r="H248" s="62" t="n">
        <v>2.99140639030588</v>
      </c>
      <c r="I248" s="62" t="n">
        <v>7.47830094926612</v>
      </c>
      <c r="J248" s="62" t="n">
        <v>25.3507023918131</v>
      </c>
      <c r="S248" s="28" t="s">
        <v>84</v>
      </c>
      <c r="T248" s="13"/>
    </row>
    <row r="249" customFormat="false" ht="11.25" hidden="false" customHeight="false" outlineLevel="0" collapsed="false">
      <c r="A249" s="11" t="s">
        <v>92</v>
      </c>
      <c r="B249" s="27" t="n">
        <f aca="false">B246+B247+B248</f>
        <v>57.3588992152591</v>
      </c>
      <c r="C249" s="27" t="n">
        <f aca="false">C246+C247+C248</f>
        <v>69.2888517706358</v>
      </c>
      <c r="D249" s="27" t="n">
        <f aca="false">D246+D247+D248</f>
        <v>63.8100240308677</v>
      </c>
      <c r="E249" s="27" t="n">
        <f aca="false">E246+E247+E248</f>
        <v>64.9823116900088</v>
      </c>
      <c r="F249" s="27" t="n">
        <f aca="false">F246+F247+F248</f>
        <v>81.3635797186036</v>
      </c>
      <c r="G249" s="27" t="n">
        <f aca="false">G246+G247+G248</f>
        <v>87.2781414903356</v>
      </c>
      <c r="H249" s="27" t="n">
        <f aca="false">H246+H247+H248</f>
        <v>83.6601579681257</v>
      </c>
      <c r="I249" s="27" t="n">
        <f aca="false">I246+I247+I248</f>
        <v>89.886840606117</v>
      </c>
      <c r="J249" s="27" t="n">
        <f aca="false">J246+J247+J248</f>
        <v>123.228475266362</v>
      </c>
      <c r="K249" s="27" t="n">
        <f aca="false">K$250*K255/100</f>
        <v>169.023927072171</v>
      </c>
      <c r="L249" s="27" t="n">
        <f aca="false">L$250*L255/100</f>
        <v>218.980521318727</v>
      </c>
      <c r="M249" s="27" t="n">
        <f aca="false">M$250*M255/100</f>
        <v>290.407111085704</v>
      </c>
      <c r="N249" s="27" t="n">
        <f aca="false">N$250*N255/100</f>
        <v>353.847630322314</v>
      </c>
      <c r="O249" s="27" t="n">
        <f aca="false">O$250*O255/100</f>
        <v>435.902364556328</v>
      </c>
      <c r="P249" s="27" t="n">
        <f aca="false">P$250*P255/100</f>
        <v>507.711542346917</v>
      </c>
      <c r="Q249" s="27" t="n">
        <f aca="false">Q$250*Q255/100</f>
        <v>613.271087965359</v>
      </c>
      <c r="R249" s="27" t="n">
        <f aca="false">R$250*R255/100</f>
        <v>736.046934803102</v>
      </c>
      <c r="S249" s="28" t="s">
        <v>84</v>
      </c>
      <c r="T249" s="13"/>
    </row>
    <row r="250" customFormat="false" ht="11.25" hidden="false" customHeight="false" outlineLevel="0" collapsed="false">
      <c r="A250" s="11" t="s">
        <v>93</v>
      </c>
      <c r="B250" s="27" t="n">
        <f aca="false">SUM(B242:B245)+B249</f>
        <v>1627.48667688125</v>
      </c>
      <c r="C250" s="27" t="n">
        <f aca="false">SUM(C242:C245)+C249</f>
        <v>1716.69449966428</v>
      </c>
      <c r="D250" s="27" t="n">
        <f aca="false">SUM(D242:D245)+D249</f>
        <v>1811.33894586937</v>
      </c>
      <c r="E250" s="27" t="n">
        <f aca="false">SUM(E242:E245)+E249</f>
        <v>1753.9046364508</v>
      </c>
      <c r="F250" s="27" t="n">
        <f aca="false">SUM(F242:F245)+F249</f>
        <v>1968.39375347818</v>
      </c>
      <c r="G250" s="27" t="n">
        <f aca="false">SUM(G242:G245)+G249</f>
        <v>2121.8998572491</v>
      </c>
      <c r="H250" s="27" t="n">
        <f aca="false">SUM(H242:H245)+H249</f>
        <v>2316.70054716085</v>
      </c>
      <c r="I250" s="27" t="n">
        <f aca="false">SUM(I242:I245)+I249</f>
        <v>2358.65702515293</v>
      </c>
      <c r="J250" s="27" t="n">
        <f aca="false">SUM(J242:J245)+J249</f>
        <v>2311.00439631028</v>
      </c>
      <c r="K250" s="27" t="n">
        <f aca="false">K241*K251</f>
        <v>2414.62752960244</v>
      </c>
      <c r="L250" s="27" t="n">
        <f aca="false">L241*L251</f>
        <v>2433.11690354141</v>
      </c>
      <c r="M250" s="27" t="n">
        <f aca="false">M241*M251</f>
        <v>2420.05925904753</v>
      </c>
      <c r="N250" s="27" t="n">
        <f aca="false">N241*N251</f>
        <v>2358.98420214876</v>
      </c>
      <c r="O250" s="27" t="n">
        <f aca="false">O241*O251</f>
        <v>2294.22297134909</v>
      </c>
      <c r="P250" s="27" t="n">
        <f aca="false">P241*P251</f>
        <v>2207.44148846486</v>
      </c>
      <c r="Q250" s="27" t="n">
        <f aca="false">Q241*Q251</f>
        <v>2114.72788953572</v>
      </c>
      <c r="R250" s="27" t="n">
        <f aca="false">R241*R251</f>
        <v>1989.31604000838</v>
      </c>
      <c r="S250" s="28" t="s">
        <v>84</v>
      </c>
      <c r="T250" s="13"/>
    </row>
    <row r="251" customFormat="false" ht="11.25" hidden="false" customHeight="false" outlineLevel="0" collapsed="false">
      <c r="A251" s="46" t="s">
        <v>94</v>
      </c>
      <c r="B251" s="27" t="n">
        <f aca="false">B250/B241</f>
        <v>384.421766778134</v>
      </c>
      <c r="C251" s="27" t="n">
        <f aca="false">C250/C241</f>
        <v>354.740745044651</v>
      </c>
      <c r="D251" s="27" t="n">
        <f aca="false">D250/D241</f>
        <v>314.462508789184</v>
      </c>
      <c r="E251" s="27" t="n">
        <f aca="false">E250/E241</f>
        <v>256.928019559957</v>
      </c>
      <c r="F251" s="27" t="n">
        <f aca="false">F250/F241</f>
        <v>246.403397445446</v>
      </c>
      <c r="G251" s="27" t="n">
        <f aca="false">G250/G241</f>
        <v>234.562805938471</v>
      </c>
      <c r="H251" s="27" t="n">
        <f aca="false">H250/H241</f>
        <v>207.826059899652</v>
      </c>
      <c r="I251" s="27" t="n">
        <f aca="false">I250/I241</f>
        <v>185.983537598661</v>
      </c>
      <c r="J251" s="27" t="n">
        <f aca="false">J250/J241</f>
        <v>181.595556974514</v>
      </c>
      <c r="K251" s="27" t="n">
        <f aca="false">J251*(1+K252/100*5)</f>
        <v>177.055668050151</v>
      </c>
      <c r="L251" s="27" t="n">
        <f aca="false">K251*(1+L252/100*5)</f>
        <v>168.202884647643</v>
      </c>
      <c r="M251" s="27" t="n">
        <f aca="false">L251*(1+M252/100*5)</f>
        <v>159.792740415261</v>
      </c>
      <c r="N251" s="27" t="n">
        <f aca="false">M251*(1+N252/100*5)</f>
        <v>151.803103394498</v>
      </c>
      <c r="O251" s="27" t="n">
        <f aca="false">N251*(1+O252/100*5)</f>
        <v>144.212948224773</v>
      </c>
      <c r="P251" s="27" t="n">
        <f aca="false">O251*(1+P252/100*5)</f>
        <v>137.002300813535</v>
      </c>
      <c r="Q251" s="27" t="n">
        <f aca="false">P251*(1+Q252/100*5)</f>
        <v>130.152185772858</v>
      </c>
      <c r="R251" s="27" t="n">
        <f aca="false">Q251*(1+R252/100*5)</f>
        <v>123.644576484215</v>
      </c>
      <c r="S251" s="28" t="s">
        <v>95</v>
      </c>
      <c r="T251" s="13"/>
    </row>
    <row r="252" customFormat="false" ht="11.25" hidden="false" customHeight="false" outlineLevel="0" collapsed="false">
      <c r="A252" s="46" t="s">
        <v>96</v>
      </c>
      <c r="B252" s="27"/>
      <c r="C252" s="75" t="n">
        <f aca="false">(C251-B251)/B251*100/5</f>
        <v>-1.54419048547859</v>
      </c>
      <c r="D252" s="75" t="n">
        <f aca="false">(D251-C251)/C251*100/5</f>
        <v>-2.27085480414135</v>
      </c>
      <c r="E252" s="75" t="n">
        <f aca="false">(E251-D251)/D251*100/5</f>
        <v>-3.65922726055708</v>
      </c>
      <c r="F252" s="75" t="n">
        <f aca="false">(F251-E251)/E251*100/5</f>
        <v>-0.819266200123804</v>
      </c>
      <c r="G252" s="75" t="n">
        <f aca="false">(G251-F251)/F251*100/5</f>
        <v>-0.96107372136343</v>
      </c>
      <c r="H252" s="75" t="n">
        <f aca="false">(H251-G251)/G251*100/5</f>
        <v>-2.2797089190545</v>
      </c>
      <c r="I252" s="75" t="n">
        <f aca="false">(I251-H251)/H251*100/5</f>
        <v>-2.10200032772962</v>
      </c>
      <c r="J252" s="75" t="n">
        <f aca="false">(J251-I251)/I251*100/5</f>
        <v>-0.471867637405204</v>
      </c>
      <c r="K252" s="78" t="n">
        <v>-0.5</v>
      </c>
      <c r="L252" s="78" t="n">
        <v>-1</v>
      </c>
      <c r="M252" s="78" t="n">
        <v>-1</v>
      </c>
      <c r="N252" s="78" t="n">
        <v>-1</v>
      </c>
      <c r="O252" s="78" t="n">
        <v>-1</v>
      </c>
      <c r="P252" s="78" t="n">
        <v>-1</v>
      </c>
      <c r="Q252" s="78" t="n">
        <v>-1</v>
      </c>
      <c r="R252" s="78" t="n">
        <v>-1</v>
      </c>
      <c r="S252" s="28" t="s">
        <v>25</v>
      </c>
      <c r="T252" s="13"/>
    </row>
    <row r="253" customFormat="false" ht="15" hidden="false" customHeight="false" outlineLevel="0" collapsed="false">
      <c r="A253" s="46" t="s">
        <v>97</v>
      </c>
      <c r="B253" s="65" t="n">
        <f aca="false">B242/B$250*100</f>
        <v>43.4196331564383</v>
      </c>
      <c r="C253" s="65" t="n">
        <f aca="false">C242/C$250*100</f>
        <v>45.7006006074041</v>
      </c>
      <c r="D253" s="65" t="n">
        <f aca="false">D242/D$250*100</f>
        <v>43.5668758004301</v>
      </c>
      <c r="E253" s="65" t="n">
        <f aca="false">E242/E$250*100</f>
        <v>40.5360666670246</v>
      </c>
      <c r="F253" s="65" t="n">
        <f aca="false">F242/F$250*100</f>
        <v>39.2450401882726</v>
      </c>
      <c r="G253" s="65" t="n">
        <f aca="false">G242/G$250*100</f>
        <v>37.5464167324108</v>
      </c>
      <c r="H253" s="65" t="n">
        <f aca="false">H242/H$250*100</f>
        <v>38.1631620610107</v>
      </c>
      <c r="I253" s="65" t="n">
        <f aca="false">I242/I$250*100</f>
        <v>39.8437962163304</v>
      </c>
      <c r="J253" s="65" t="n">
        <f aca="false">J242/J$250*100</f>
        <v>36.7792332034695</v>
      </c>
      <c r="K253" s="104" t="n">
        <v>36</v>
      </c>
      <c r="L253" s="104" t="n">
        <v>33</v>
      </c>
      <c r="M253" s="104" t="n">
        <v>31</v>
      </c>
      <c r="N253" s="104" t="n">
        <v>29</v>
      </c>
      <c r="O253" s="104" t="n">
        <v>26</v>
      </c>
      <c r="P253" s="104" t="n">
        <v>23</v>
      </c>
      <c r="Q253" s="104" t="n">
        <v>20</v>
      </c>
      <c r="R253" s="104" t="n">
        <v>17</v>
      </c>
      <c r="S253" s="28" t="s">
        <v>44</v>
      </c>
      <c r="T253" s="13"/>
      <c r="Y253" s="105"/>
      <c r="Z253" s="105"/>
    </row>
    <row r="254" customFormat="false" ht="11.25" hidden="false" customHeight="false" outlineLevel="0" collapsed="false">
      <c r="A254" s="46" t="s">
        <v>98</v>
      </c>
      <c r="B254" s="65" t="n">
        <f aca="false">B243/B$250*100</f>
        <v>33.7468053744145</v>
      </c>
      <c r="C254" s="65" t="n">
        <f aca="false">C243/C$250*100</f>
        <v>29.2819219938509</v>
      </c>
      <c r="D254" s="65" t="n">
        <f aca="false">D243/D$250*100</f>
        <v>28.1518260498176</v>
      </c>
      <c r="E254" s="65" t="n">
        <f aca="false">E243/E$250*100</f>
        <v>25.4358323034845</v>
      </c>
      <c r="F254" s="65" t="n">
        <f aca="false">F243/F$250*100</f>
        <v>25.0961741349761</v>
      </c>
      <c r="G254" s="65" t="n">
        <f aca="false">G243/G$250*100</f>
        <v>26.9241296004013</v>
      </c>
      <c r="H254" s="65" t="n">
        <f aca="false">H243/H$250*100</f>
        <v>25.9141885046884</v>
      </c>
      <c r="I254" s="65" t="n">
        <f aca="false">I243/I$250*100</f>
        <v>24.10387057465</v>
      </c>
      <c r="J254" s="65" t="n">
        <f aca="false">J243/J$250*100</f>
        <v>26.8722272737215</v>
      </c>
      <c r="K254" s="104" t="n">
        <v>30.5</v>
      </c>
      <c r="L254" s="104" t="n">
        <v>33.5</v>
      </c>
      <c r="M254" s="104" t="n">
        <v>34</v>
      </c>
      <c r="N254" s="104" t="n">
        <v>35</v>
      </c>
      <c r="O254" s="104" t="n">
        <v>35.5</v>
      </c>
      <c r="P254" s="104" t="n">
        <v>35</v>
      </c>
      <c r="Q254" s="104" t="n">
        <v>33.5</v>
      </c>
      <c r="R254" s="104" t="n">
        <v>31</v>
      </c>
      <c r="S254" s="28" t="s">
        <v>44</v>
      </c>
      <c r="T254" s="13"/>
    </row>
    <row r="255" customFormat="false" ht="11.25" hidden="false" customHeight="false" outlineLevel="0" collapsed="false">
      <c r="A255" s="46" t="s">
        <v>99</v>
      </c>
      <c r="B255" s="65" t="n">
        <f aca="false">B249/B$250*100</f>
        <v>3.52438517808181</v>
      </c>
      <c r="C255" s="65" t="n">
        <f aca="false">C249/C$250*100</f>
        <v>4.03617835230359</v>
      </c>
      <c r="D255" s="65" t="n">
        <f aca="false">D249/D$250*100</f>
        <v>3.52280969701346</v>
      </c>
      <c r="E255" s="65" t="n">
        <f aca="false">E249/E$250*100</f>
        <v>3.70500826210865</v>
      </c>
      <c r="F255" s="65" t="n">
        <f aca="false">F249/F$250*100</f>
        <v>4.13350121513203</v>
      </c>
      <c r="G255" s="65" t="n">
        <f aca="false">G249/G$250*100</f>
        <v>4.11320737838617</v>
      </c>
      <c r="H255" s="65" t="n">
        <f aca="false">H249/H$250*100</f>
        <v>3.61117702806486</v>
      </c>
      <c r="I255" s="65" t="n">
        <f aca="false">I249/I$250*100</f>
        <v>3.8109330711314</v>
      </c>
      <c r="J255" s="65" t="n">
        <f aca="false">J249/J$250*100</f>
        <v>5.3322475484299</v>
      </c>
      <c r="K255" s="104" t="n">
        <v>7</v>
      </c>
      <c r="L255" s="104" t="n">
        <v>9</v>
      </c>
      <c r="M255" s="104" t="n">
        <v>12</v>
      </c>
      <c r="N255" s="104" t="n">
        <v>15</v>
      </c>
      <c r="O255" s="104" t="n">
        <v>19</v>
      </c>
      <c r="P255" s="104" t="n">
        <v>23</v>
      </c>
      <c r="Q255" s="104" t="n">
        <v>29</v>
      </c>
      <c r="R255" s="104" t="n">
        <v>37</v>
      </c>
      <c r="S255" s="28" t="s">
        <v>44</v>
      </c>
      <c r="T255" s="13"/>
    </row>
    <row r="256" customFormat="false" ht="11.25" hidden="false" customHeight="false" outlineLevel="0" collapsed="false">
      <c r="A256" s="46" t="s">
        <v>100</v>
      </c>
      <c r="B256" s="65" t="n">
        <f aca="false">B245/B$250*100</f>
        <v>0.31910368154355</v>
      </c>
      <c r="C256" s="65" t="n">
        <f aca="false">C245/C$250*100</f>
        <v>2.39343564817106</v>
      </c>
      <c r="D256" s="65" t="n">
        <f aca="false">D245/D$250*100</f>
        <v>3.30208115919288</v>
      </c>
      <c r="E256" s="65" t="n">
        <f aca="false">E245/E$250*100</f>
        <v>5.21061181092013</v>
      </c>
      <c r="F256" s="65" t="n">
        <f aca="false">F245/F$250*100</f>
        <v>6.98028309735804</v>
      </c>
      <c r="G256" s="65" t="n">
        <f aca="false">G245/G$250*100</f>
        <v>7.55896965133552</v>
      </c>
      <c r="H256" s="65" t="n">
        <f aca="false">H245/H$250*100</f>
        <v>7.75091354949706</v>
      </c>
      <c r="I256" s="65" t="n">
        <f aca="false">I245/I$250*100</f>
        <v>7.89672959758104</v>
      </c>
      <c r="J256" s="65" t="n">
        <f aca="false">J245/J$250*100</f>
        <v>8.31703992848465</v>
      </c>
      <c r="K256" s="104" t="n">
        <v>8</v>
      </c>
      <c r="L256" s="104" t="n">
        <v>7.5</v>
      </c>
      <c r="M256" s="104" t="n">
        <v>7</v>
      </c>
      <c r="N256" s="104" t="n">
        <v>6.5</v>
      </c>
      <c r="O256" s="104" t="n">
        <v>5.5</v>
      </c>
      <c r="P256" s="104" t="n">
        <v>5</v>
      </c>
      <c r="Q256" s="104" t="n">
        <v>4</v>
      </c>
      <c r="R256" s="104" t="n">
        <v>3</v>
      </c>
      <c r="S256" s="28" t="s">
        <v>44</v>
      </c>
      <c r="T256" s="13"/>
    </row>
    <row r="257" customFormat="false" ht="11.25" hidden="false" customHeight="false" outlineLevel="0" collapsed="false">
      <c r="A257" s="46" t="s">
        <v>101</v>
      </c>
      <c r="B257" s="65" t="n">
        <f aca="false">B244/B$250*100</f>
        <v>18.9900726095218</v>
      </c>
      <c r="C257" s="65" t="n">
        <f aca="false">C244/C$250*100</f>
        <v>18.5878633982704</v>
      </c>
      <c r="D257" s="65" t="n">
        <f aca="false">D244/D$250*100</f>
        <v>21.4564072935459</v>
      </c>
      <c r="E257" s="65" t="n">
        <f aca="false">E244/E$250*100</f>
        <v>25.1124809564621</v>
      </c>
      <c r="F257" s="65" t="n">
        <f aca="false">F244/F$250*100</f>
        <v>24.5450013642613</v>
      </c>
      <c r="G257" s="65" t="n">
        <f aca="false">G244/G$250*100</f>
        <v>23.8572766374661</v>
      </c>
      <c r="H257" s="65" t="n">
        <f aca="false">H244/H$250*100</f>
        <v>24.5605588567391</v>
      </c>
      <c r="I257" s="65" t="n">
        <f aca="false">I244/I$250*100</f>
        <v>24.3446705403072</v>
      </c>
      <c r="J257" s="65" t="n">
        <f aca="false">J244/J$250*100</f>
        <v>22.6992520458945</v>
      </c>
      <c r="K257" s="106" t="n">
        <f aca="false">100-SUM(K253:K256)</f>
        <v>18.5</v>
      </c>
      <c r="L257" s="106" t="n">
        <f aca="false">100-SUM(L253:L256)</f>
        <v>17</v>
      </c>
      <c r="M257" s="106" t="n">
        <f aca="false">100-SUM(M253:M256)</f>
        <v>16</v>
      </c>
      <c r="N257" s="106" t="n">
        <f aca="false">100-SUM(N253:N256)</f>
        <v>14.5</v>
      </c>
      <c r="O257" s="106" t="n">
        <f aca="false">100-SUM(O253:O256)</f>
        <v>14</v>
      </c>
      <c r="P257" s="106" t="n">
        <f aca="false">100-SUM(P253:P256)</f>
        <v>14</v>
      </c>
      <c r="Q257" s="106" t="n">
        <f aca="false">100-SUM(Q253:Q256)</f>
        <v>13.5</v>
      </c>
      <c r="R257" s="106" t="n">
        <f aca="false">100-SUM(R253:R256)</f>
        <v>12</v>
      </c>
      <c r="S257" s="28" t="s">
        <v>44</v>
      </c>
      <c r="T257" s="13"/>
    </row>
    <row r="258" customFormat="false" ht="11.25" hidden="false" customHeight="false" outlineLevel="0" collapsed="false"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T258" s="13"/>
    </row>
    <row r="259" customFormat="false" ht="12.65" hidden="false" customHeight="false" outlineLevel="0" collapsed="false">
      <c r="A259" s="108" t="s">
        <v>7</v>
      </c>
      <c r="B259" s="109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41"/>
      <c r="T259" s="13"/>
      <c r="U259" s="41"/>
      <c r="V259" s="41"/>
    </row>
    <row r="260" customFormat="false" ht="11.25" hidden="false" customHeight="false" outlineLevel="0" collapsed="false">
      <c r="A260" s="63"/>
      <c r="B260" s="101" t="n">
        <v>1970</v>
      </c>
      <c r="C260" s="101" t="n">
        <v>1975</v>
      </c>
      <c r="D260" s="101" t="n">
        <v>1980</v>
      </c>
      <c r="E260" s="101" t="n">
        <v>1985</v>
      </c>
      <c r="F260" s="101" t="n">
        <v>1990</v>
      </c>
      <c r="G260" s="101" t="n">
        <v>1995</v>
      </c>
      <c r="H260" s="101" t="n">
        <v>2000</v>
      </c>
      <c r="I260" s="101" t="n">
        <v>2005</v>
      </c>
      <c r="J260" s="101" t="n">
        <v>2010</v>
      </c>
      <c r="K260" s="101" t="n">
        <v>2015</v>
      </c>
      <c r="L260" s="101" t="n">
        <v>2020</v>
      </c>
      <c r="M260" s="101" t="n">
        <v>2025</v>
      </c>
      <c r="N260" s="101" t="n">
        <v>2030</v>
      </c>
      <c r="O260" s="101" t="n">
        <v>2035</v>
      </c>
      <c r="P260" s="101" t="n">
        <v>2040</v>
      </c>
      <c r="Q260" s="101" t="n">
        <v>2045</v>
      </c>
      <c r="R260" s="101" t="n">
        <v>2050</v>
      </c>
      <c r="S260" s="25" t="s">
        <v>15</v>
      </c>
      <c r="T260" s="13"/>
      <c r="U260" s="41"/>
      <c r="V260" s="41"/>
    </row>
    <row r="261" s="3" customFormat="true" ht="11.25" hidden="false" customHeight="false" outlineLevel="0" collapsed="false">
      <c r="B261" s="47"/>
      <c r="C261" s="47"/>
      <c r="D261" s="47"/>
      <c r="E261" s="47"/>
      <c r="F261" s="47"/>
      <c r="G261" s="47"/>
      <c r="H261" s="47"/>
      <c r="I261" s="47"/>
      <c r="K261" s="84" t="n">
        <f aca="false">K$266*K269/100</f>
        <v>869.215894255352</v>
      </c>
      <c r="L261" s="84" t="n">
        <f aca="false">L$266*L269/100</f>
        <v>770.370817389397</v>
      </c>
      <c r="M261" s="84" t="n">
        <f aca="false">M$266*M269/100</f>
        <v>719.33729454025</v>
      </c>
      <c r="N261" s="84" t="n">
        <f aca="false">N$266*N269/100</f>
        <v>655.757494868818</v>
      </c>
      <c r="O261" s="84" t="n">
        <f aca="false">O$266*O269/100</f>
        <v>571.821036469386</v>
      </c>
      <c r="P261" s="84" t="n">
        <f aca="false">P$266*P269/100</f>
        <v>486.919244122104</v>
      </c>
      <c r="Q261" s="84" t="n">
        <f aca="false">Q$266*Q269/100</f>
        <v>405.950663613533</v>
      </c>
      <c r="R261" s="84" t="n">
        <f aca="false">R$266*R269/100</f>
        <v>324.977133791124</v>
      </c>
      <c r="S261" s="28" t="s">
        <v>84</v>
      </c>
      <c r="T261" s="13"/>
      <c r="U261" s="111" t="str">
        <f aca="false">CONCATENATE(A242," Your forecast")</f>
        <v> Uso de petróleo: sua previsão</v>
      </c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84" t="n">
        <f aca="false">K$266*K270/100</f>
        <v>736.419021521895</v>
      </c>
      <c r="L262" s="84" t="n">
        <f aca="false">L$266*L270/100</f>
        <v>782.043102501358</v>
      </c>
      <c r="M262" s="84" t="n">
        <f aca="false">M$266*M270/100</f>
        <v>788.950581108662</v>
      </c>
      <c r="N262" s="84" t="n">
        <f aca="false">N$266*N270/100</f>
        <v>791.431459324435</v>
      </c>
      <c r="O262" s="84" t="n">
        <f aca="false">O$266*O270/100</f>
        <v>780.755645948585</v>
      </c>
      <c r="P262" s="84" t="n">
        <f aca="false">P$266*P270/100</f>
        <v>740.964067142333</v>
      </c>
      <c r="Q262" s="84" t="n">
        <f aca="false">Q$266*Q270/100</f>
        <v>679.967361552667</v>
      </c>
      <c r="R262" s="84" t="n">
        <f aca="false">R$266*R270/100</f>
        <v>592.605361619109</v>
      </c>
      <c r="S262" s="28" t="s">
        <v>84</v>
      </c>
      <c r="T262" s="13"/>
      <c r="U262" s="111" t="str">
        <f aca="false">CONCATENATE(A243," Your forecast")</f>
        <v> Consumo de gás: Sua previsão</v>
      </c>
      <c r="Z262" s="113"/>
      <c r="AA262" s="114" t="s">
        <v>36</v>
      </c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6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47"/>
      <c r="H263" s="47"/>
      <c r="I263" s="47"/>
      <c r="K263" s="84" t="n">
        <f aca="false">K$266*K273/100</f>
        <v>446.680390103445</v>
      </c>
      <c r="L263" s="84" t="n">
        <f aca="false">L$266*L273/100</f>
        <v>444.499673855478</v>
      </c>
      <c r="M263" s="84" t="n">
        <f aca="false">M$266*M273/100</f>
        <v>418.626838955617</v>
      </c>
      <c r="N263" s="84" t="n">
        <f aca="false">N$266*N273/100</f>
        <v>374.026354392102</v>
      </c>
      <c r="O263" s="84" t="n">
        <f aca="false">O$266*O273/100</f>
        <v>352.787546832761</v>
      </c>
      <c r="P263" s="84" t="n">
        <f aca="false">P$266*P273/100</f>
        <v>339.590528731122</v>
      </c>
      <c r="Q263" s="84" t="n">
        <f aca="false">Q$266*Q273/100</f>
        <v>315.440235042556</v>
      </c>
      <c r="R263" s="84" t="n">
        <f aca="false">R$266*R273/100</f>
        <v>268.408485051973</v>
      </c>
      <c r="S263" s="28" t="s">
        <v>84</v>
      </c>
      <c r="T263" s="13"/>
      <c r="U263" s="111" t="str">
        <f aca="false">CONCATENATE(A244," Your forecast")</f>
        <v> Uso de carvão: Sua previsão</v>
      </c>
      <c r="Z263" s="113"/>
      <c r="AA263" s="117"/>
      <c r="AB263" s="118" t="n">
        <v>1970</v>
      </c>
      <c r="AC263" s="118" t="n">
        <v>1975</v>
      </c>
      <c r="AD263" s="118" t="n">
        <v>1980</v>
      </c>
      <c r="AE263" s="118" t="n">
        <v>1985</v>
      </c>
      <c r="AF263" s="118" t="n">
        <v>1990</v>
      </c>
      <c r="AG263" s="118" t="n">
        <v>1995</v>
      </c>
      <c r="AH263" s="118" t="n">
        <v>2000</v>
      </c>
      <c r="AI263" s="118" t="n">
        <v>2005</v>
      </c>
      <c r="AJ263" s="118" t="n">
        <v>2010</v>
      </c>
      <c r="AK263" s="118" t="n">
        <v>2015</v>
      </c>
      <c r="AL263" s="118" t="n">
        <v>2020</v>
      </c>
      <c r="AM263" s="118" t="n">
        <v>2025</v>
      </c>
      <c r="AN263" s="118" t="n">
        <v>2030</v>
      </c>
      <c r="AO263" s="118" t="n">
        <v>2035</v>
      </c>
      <c r="AP263" s="118" t="n">
        <v>2040</v>
      </c>
      <c r="AQ263" s="118" t="n">
        <v>2045</v>
      </c>
      <c r="AR263" s="119" t="n">
        <v>2050</v>
      </c>
      <c r="AS263" s="11"/>
    </row>
    <row r="264" s="3" customFormat="true" ht="11.25" hidden="false" customHeight="false" outlineLevel="0" collapsed="false">
      <c r="B264" s="47"/>
      <c r="C264" s="47"/>
      <c r="D264" s="47"/>
      <c r="E264" s="47"/>
      <c r="F264" s="47"/>
      <c r="G264" s="47"/>
      <c r="H264" s="47"/>
      <c r="I264" s="47"/>
      <c r="K264" s="84" t="n">
        <f aca="false">K$266*K272/100</f>
        <v>193.1590876123</v>
      </c>
      <c r="L264" s="84" t="n">
        <f aca="false">L$266*L272/100</f>
        <v>175.084276679408</v>
      </c>
      <c r="M264" s="84" t="n">
        <f aca="false">M$266*M272/100</f>
        <v>162.43100199296</v>
      </c>
      <c r="N264" s="84" t="n">
        <f aca="false">N$266*N272/100</f>
        <v>146.980128160252</v>
      </c>
      <c r="O264" s="84" t="n">
        <f aca="false">O$266*O272/100</f>
        <v>120.962142330062</v>
      </c>
      <c r="P264" s="84" t="n">
        <f aca="false">P$266*P272/100</f>
        <v>105.852009591762</v>
      </c>
      <c r="Q264" s="84" t="n">
        <f aca="false">Q$266*Q272/100</f>
        <v>81.1901327227065</v>
      </c>
      <c r="R264" s="84" t="n">
        <f aca="false">R$266*R272/100</f>
        <v>57.3489059631396</v>
      </c>
      <c r="S264" s="28" t="s">
        <v>84</v>
      </c>
      <c r="T264" s="13"/>
      <c r="U264" s="111" t="str">
        <f aca="false">CONCATENATE(A245," Your forecast")</f>
        <v> Uso de energia nuclear: Sua previsão</v>
      </c>
      <c r="Z264" s="113"/>
      <c r="AA264" s="117" t="str">
        <f aca="false">CONCATENATE(A250," (0 - ",W277," Mtoe / yr)")</f>
        <v> Consumo de energia (0 - 3000 Mtoe / ano)</v>
      </c>
      <c r="AB264" s="120" t="n">
        <f aca="false">B250/$W277</f>
        <v>0.542495558960418</v>
      </c>
      <c r="AC264" s="120" t="n">
        <f aca="false">C250/$W277</f>
        <v>0.572231499888092</v>
      </c>
      <c r="AD264" s="120" t="n">
        <f aca="false">D250/$W277</f>
        <v>0.603779648623125</v>
      </c>
      <c r="AE264" s="120" t="n">
        <f aca="false">E250/$W277</f>
        <v>0.584634878816934</v>
      </c>
      <c r="AF264" s="120" t="n">
        <f aca="false">F250/$W277</f>
        <v>0.656131251159394</v>
      </c>
      <c r="AG264" s="120" t="n">
        <f aca="false">G250/$W277</f>
        <v>0.707299952416366</v>
      </c>
      <c r="AH264" s="120" t="n">
        <f aca="false">H250/$W277</f>
        <v>0.772233515720284</v>
      </c>
      <c r="AI264" s="120" t="n">
        <f aca="false">I250/$W277</f>
        <v>0.78621900838431</v>
      </c>
      <c r="AJ264" s="120" t="n">
        <f aca="false">J250/$W277</f>
        <v>0.770334798770095</v>
      </c>
      <c r="AK264" s="120" t="n">
        <f aca="false">K250/$W277</f>
        <v>0.804875843200814</v>
      </c>
      <c r="AL264" s="120" t="n">
        <f aca="false">L250/$W277</f>
        <v>0.811038967847138</v>
      </c>
      <c r="AM264" s="120" t="n">
        <f aca="false">M250/$W277</f>
        <v>0.80668641968251</v>
      </c>
      <c r="AN264" s="120" t="n">
        <f aca="false">N250/$W277</f>
        <v>0.786328067382919</v>
      </c>
      <c r="AO264" s="120" t="n">
        <f aca="false">O250/$W277</f>
        <v>0.764740990449698</v>
      </c>
      <c r="AP264" s="120" t="n">
        <f aca="false">P250/$W277</f>
        <v>0.735813829488285</v>
      </c>
      <c r="AQ264" s="120" t="n">
        <f aca="false">Q250/$W277</f>
        <v>0.704909296511907</v>
      </c>
      <c r="AR264" s="120" t="n">
        <f aca="false">R250/$W277</f>
        <v>0.663105346669462</v>
      </c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G265" s="47"/>
      <c r="H265" s="47"/>
      <c r="I265" s="47"/>
      <c r="K265" s="84" t="n">
        <f aca="false">K$266*K271/100</f>
        <v>169.014201660763</v>
      </c>
      <c r="L265" s="84" t="n">
        <f aca="false">L$266*L271/100</f>
        <v>210.10113201529</v>
      </c>
      <c r="M265" s="84" t="n">
        <f aca="false">M$266*M271/100</f>
        <v>278.453146273645</v>
      </c>
      <c r="N265" s="84" t="n">
        <f aca="false">N$266*N271/100</f>
        <v>339.184911139044</v>
      </c>
      <c r="O265" s="84" t="n">
        <f aca="false">O$266*O271/100</f>
        <v>417.869218958398</v>
      </c>
      <c r="P265" s="84" t="n">
        <f aca="false">P$266*P271/100</f>
        <v>486.919244122104</v>
      </c>
      <c r="Q265" s="84" t="n">
        <f aca="false">Q$266*Q271/100</f>
        <v>588.628462239622</v>
      </c>
      <c r="R265" s="84" t="n">
        <f aca="false">R$266*R271/100</f>
        <v>707.303173545389</v>
      </c>
      <c r="S265" s="28" t="s">
        <v>84</v>
      </c>
      <c r="T265" s="13"/>
      <c r="U265" s="111" t="str">
        <f aca="false">CONCATENATE(A249," Your forecast")</f>
        <v> Uso de energias renováveis: Sua previsão</v>
      </c>
      <c r="Z265" s="113"/>
      <c r="AA265" s="117" t="str">
        <f aca="false">CONCATENATE(A241," (0 - ",W278," T$ / yr)")</f>
        <v> PIB dos EUA (0 - 18 trilhões de dólares/ano)</v>
      </c>
      <c r="AB265" s="120" t="n">
        <f aca="false">B241/$W278</f>
        <v>0.235199809967019</v>
      </c>
      <c r="AC265" s="120" t="n">
        <f aca="false">C241/$W278</f>
        <v>0.268849626044538</v>
      </c>
      <c r="AD265" s="120" t="n">
        <f aca="false">D241/$W278</f>
        <v>0.320006164883235</v>
      </c>
      <c r="AE265" s="120" t="n">
        <f aca="false">E241/$W278</f>
        <v>0.379246867026703</v>
      </c>
      <c r="AF265" s="120" t="n">
        <f aca="false">F241/$W278</f>
        <v>0.443805603576457</v>
      </c>
      <c r="AG265" s="120" t="n">
        <f aca="false">G241/$W278</f>
        <v>0.50256614611632</v>
      </c>
      <c r="AH265" s="120" t="n">
        <f aca="false">H241/$W278</f>
        <v>0.619294741071094</v>
      </c>
      <c r="AI265" s="120" t="n">
        <f aca="false">I241/$W278</f>
        <v>0.704559678180508</v>
      </c>
      <c r="AJ265" s="120" t="n">
        <f aca="false">J241/$W278</f>
        <v>0.707005916154479</v>
      </c>
      <c r="AK265" s="120" t="n">
        <f aca="false">K241/$W278</f>
        <v>0.757648570893565</v>
      </c>
      <c r="AL265" s="120" t="n">
        <f aca="false">L241/$W278</f>
        <v>0.803631647525078</v>
      </c>
      <c r="AM265" s="120" t="n">
        <f aca="false">M241/$W278</f>
        <v>0.841388264975967</v>
      </c>
      <c r="AN265" s="120" t="n">
        <f aca="false">N241/$W278</f>
        <v>0.863320149368586</v>
      </c>
      <c r="AO265" s="120" t="n">
        <f aca="false">O241/$W278</f>
        <v>0.883809902720798</v>
      </c>
      <c r="AP265" s="120" t="n">
        <f aca="false">P241/$W278</f>
        <v>0.895135611006704</v>
      </c>
      <c r="AQ265" s="120" t="n">
        <f aca="false">Q241/$W278</f>
        <v>0.902673144168471</v>
      </c>
      <c r="AR265" s="120" t="n">
        <f aca="false">R241/$W278</f>
        <v>0.893832636422616</v>
      </c>
      <c r="AS265" s="11"/>
    </row>
    <row r="266" s="3" customFormat="true" ht="11.25" hidden="false" customHeight="false" outlineLevel="0" collapsed="false">
      <c r="B266" s="47"/>
      <c r="C266" s="47"/>
      <c r="D266" s="47"/>
      <c r="E266" s="47"/>
      <c r="F266" s="47"/>
      <c r="G266" s="47"/>
      <c r="H266" s="47"/>
      <c r="I266" s="47"/>
      <c r="K266" s="84" t="n">
        <f aca="false">K104*K267</f>
        <v>2414.48859515376</v>
      </c>
      <c r="L266" s="84" t="n">
        <f aca="false">L104*L267</f>
        <v>2382.09900244093</v>
      </c>
      <c r="M266" s="84" t="n">
        <f aca="false">M104*M267</f>
        <v>2367.79886287113</v>
      </c>
      <c r="N266" s="84" t="n">
        <f aca="false">N104*N267</f>
        <v>2307.38034788465</v>
      </c>
      <c r="O266" s="84" t="n">
        <f aca="false">O104*O267</f>
        <v>2244.19559053919</v>
      </c>
      <c r="P266" s="84" t="n">
        <f aca="false">P104*P267</f>
        <v>2160.24509370942</v>
      </c>
      <c r="Q266" s="84" t="n">
        <f aca="false">Q104*Q267</f>
        <v>2071.17685517109</v>
      </c>
      <c r="R266" s="84" t="n">
        <f aca="false">R104*R267</f>
        <v>1950.64305997074</v>
      </c>
      <c r="S266" s="28" t="s">
        <v>84</v>
      </c>
      <c r="T266" s="13"/>
      <c r="U266" s="111" t="str">
        <f aca="false">CONCATENATE(A250," Your forecast")</f>
        <v> Consumo de energia: Sua previsão</v>
      </c>
      <c r="Z266" s="113"/>
      <c r="AA266" s="117" t="str">
        <f aca="false">CONCATENATE(A251," (0 - ",W279," toe / M$)")</f>
        <v> Intensidade energética (0 - 400 toe / M$)</v>
      </c>
      <c r="AB266" s="120" t="n">
        <f aca="false">B251/$W279</f>
        <v>0.961054416945335</v>
      </c>
      <c r="AC266" s="120" t="n">
        <f aca="false">C251/$W279</f>
        <v>0.886851862611627</v>
      </c>
      <c r="AD266" s="120" t="n">
        <f aca="false">D251/$W279</f>
        <v>0.786156271972961</v>
      </c>
      <c r="AE266" s="120" t="n">
        <f aca="false">E251/$W279</f>
        <v>0.642320048899892</v>
      </c>
      <c r="AF266" s="120" t="n">
        <f aca="false">F251/$W279</f>
        <v>0.616008493613614</v>
      </c>
      <c r="AG266" s="120" t="n">
        <f aca="false">G251/$W279</f>
        <v>0.586407014846178</v>
      </c>
      <c r="AH266" s="120" t="n">
        <f aca="false">H251/$W279</f>
        <v>0.51956514974913</v>
      </c>
      <c r="AI266" s="120" t="n">
        <f aca="false">I251/$W279</f>
        <v>0.464958843996652</v>
      </c>
      <c r="AJ266" s="120" t="n">
        <f aca="false">J251/$W279</f>
        <v>0.453988892436285</v>
      </c>
      <c r="AK266" s="120" t="n">
        <f aca="false">K251/$W279</f>
        <v>0.442639170125377</v>
      </c>
      <c r="AL266" s="120" t="n">
        <f aca="false">L251/$W279</f>
        <v>0.420507211619109</v>
      </c>
      <c r="AM266" s="120" t="n">
        <f aca="false">M251/$W279</f>
        <v>0.399481851038153</v>
      </c>
      <c r="AN266" s="120" t="n">
        <f aca="false">N251/$W279</f>
        <v>0.379507758486245</v>
      </c>
      <c r="AO266" s="120" t="n">
        <f aca="false">O251/$W279</f>
        <v>0.360532370561933</v>
      </c>
      <c r="AP266" s="120" t="n">
        <f aca="false">P251/$W279</f>
        <v>0.342505752033837</v>
      </c>
      <c r="AQ266" s="120" t="n">
        <f aca="false">Q251/$W279</f>
        <v>0.325380464432145</v>
      </c>
      <c r="AR266" s="120" t="n">
        <f aca="false">R251/$W279</f>
        <v>0.309111441210537</v>
      </c>
      <c r="AS266" s="11"/>
    </row>
    <row r="267" s="3" customFormat="true" ht="11.25" hidden="false" customHeight="false" outlineLevel="0" collapsed="false">
      <c r="B267" s="47"/>
      <c r="C267" s="47"/>
      <c r="D267" s="47"/>
      <c r="E267" s="47"/>
      <c r="F267" s="47"/>
      <c r="G267" s="47"/>
      <c r="H267" s="47"/>
      <c r="I267" s="47"/>
      <c r="K267" s="84" t="n">
        <f aca="false">J251*(1+K268/100*5)</f>
        <v>177.055668050151</v>
      </c>
      <c r="L267" s="84" t="n">
        <f aca="false">K267*(1+L268/100*5)</f>
        <v>168.379940315694</v>
      </c>
      <c r="M267" s="84" t="n">
        <f aca="false">L267*(1+M268/100*5)</f>
        <v>160.129323240225</v>
      </c>
      <c r="N267" s="84" t="n">
        <f aca="false">M267*(1+N268/100*5)</f>
        <v>152.282986401454</v>
      </c>
      <c r="O267" s="84" t="n">
        <f aca="false">N267*(1+O268/100*5)</f>
        <v>144.821120067782</v>
      </c>
      <c r="P267" s="84" t="n">
        <f aca="false">O267*(1+P268/100*5)</f>
        <v>137.724885184461</v>
      </c>
      <c r="Q267" s="84" t="n">
        <f aca="false">P267*(1+Q268/100*5)</f>
        <v>130.976365810422</v>
      </c>
      <c r="R267" s="84" t="n">
        <f aca="false">Q267*(1+R268/100*5)</f>
        <v>124.558523885712</v>
      </c>
      <c r="S267" s="28" t="s">
        <v>95</v>
      </c>
      <c r="T267" s="13"/>
      <c r="U267" s="111" t="str">
        <f aca="false">CONCATENATE(A251," Your forecast")</f>
        <v> Intensidade energética Sua previsão</v>
      </c>
      <c r="Z267" s="113"/>
      <c r="AA267" s="117" t="str">
        <f aca="false">CONCATENATE(A252," (0 - ",W292*(-1),"*(-1) % / yr)")</f>
        <v> Crescimento da intensidade energética (0 - 0*(-1) % / ano)</v>
      </c>
      <c r="AB267" s="120"/>
      <c r="AC267" s="120" t="n">
        <f aca="false">C252/1</f>
        <v>-1.54419048547859</v>
      </c>
      <c r="AD267" s="120" t="n">
        <f aca="false">D252/1</f>
        <v>-2.27085480414135</v>
      </c>
      <c r="AE267" s="120" t="n">
        <f aca="false">E252/1</f>
        <v>-3.65922726055708</v>
      </c>
      <c r="AF267" s="120" t="n">
        <f aca="false">F252/1</f>
        <v>-0.819266200123804</v>
      </c>
      <c r="AG267" s="120" t="n">
        <f aca="false">G252/1</f>
        <v>-0.96107372136343</v>
      </c>
      <c r="AH267" s="120" t="n">
        <f aca="false">H252/1</f>
        <v>-2.2797089190545</v>
      </c>
      <c r="AI267" s="120" t="n">
        <f aca="false">I252/1</f>
        <v>-2.10200032772962</v>
      </c>
      <c r="AJ267" s="120" t="n">
        <f aca="false">J252/1</f>
        <v>-0.471867637405204</v>
      </c>
      <c r="AK267" s="120" t="n">
        <f aca="false">K252/1</f>
        <v>-0.5</v>
      </c>
      <c r="AL267" s="120" t="n">
        <f aca="false">L252/1</f>
        <v>-1</v>
      </c>
      <c r="AM267" s="120" t="n">
        <f aca="false">M252/1</f>
        <v>-1</v>
      </c>
      <c r="AN267" s="120" t="n">
        <f aca="false">N252/1</f>
        <v>-1</v>
      </c>
      <c r="AO267" s="120" t="n">
        <f aca="false">O252/1</f>
        <v>-1</v>
      </c>
      <c r="AP267" s="120" t="n">
        <f aca="false">P252/1</f>
        <v>-1</v>
      </c>
      <c r="AQ267" s="120" t="n">
        <f aca="false">Q252/1</f>
        <v>-1</v>
      </c>
      <c r="AR267" s="120" t="n">
        <f aca="false">R252/1</f>
        <v>-1</v>
      </c>
      <c r="AS267" s="11"/>
    </row>
    <row r="268" s="3" customFormat="true" ht="11.25" hidden="false" customHeight="false" outlineLevel="0" collapsed="false">
      <c r="B268" s="47"/>
      <c r="C268" s="47"/>
      <c r="D268" s="47"/>
      <c r="E268" s="47"/>
      <c r="F268" s="47"/>
      <c r="G268" s="47"/>
      <c r="H268" s="47"/>
      <c r="I268" s="47"/>
      <c r="K268" s="83" t="n">
        <v>-0.5</v>
      </c>
      <c r="L268" s="83" t="n">
        <f aca="false">L252*0.98</f>
        <v>-0.98</v>
      </c>
      <c r="M268" s="83" t="n">
        <f aca="false">M252*0.98</f>
        <v>-0.98</v>
      </c>
      <c r="N268" s="83" t="n">
        <f aca="false">N252*0.98</f>
        <v>-0.98</v>
      </c>
      <c r="O268" s="83" t="n">
        <f aca="false">O252*0.98</f>
        <v>-0.98</v>
      </c>
      <c r="P268" s="83" t="n">
        <f aca="false">P252*0.98</f>
        <v>-0.98</v>
      </c>
      <c r="Q268" s="83" t="n">
        <f aca="false">Q252*0.98</f>
        <v>-0.98</v>
      </c>
      <c r="R268" s="83" t="n">
        <f aca="false">R252*0.98</f>
        <v>-0.98</v>
      </c>
      <c r="S268" s="28" t="s">
        <v>25</v>
      </c>
      <c r="T268" s="13"/>
      <c r="U268" s="111" t="str">
        <f aca="false">CONCATENATE(A252," Your forecast")</f>
        <v> Crescimento da intensidade energética: sua previsão</v>
      </c>
      <c r="Z268" s="113"/>
      <c r="AA268" s="11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121"/>
      <c r="AS268" s="11"/>
    </row>
    <row r="269" s="3" customFormat="true" ht="11.25" hidden="false" customHeight="false" outlineLevel="0" collapsed="false">
      <c r="B269" s="47"/>
      <c r="C269" s="47"/>
      <c r="D269" s="47"/>
      <c r="E269" s="47"/>
      <c r="F269" s="47"/>
      <c r="G269" s="47"/>
      <c r="H269" s="47"/>
      <c r="I269" s="47"/>
      <c r="K269" s="83" t="n">
        <f aca="false">K253</f>
        <v>36</v>
      </c>
      <c r="L269" s="83" t="n">
        <f aca="false">L253*0.98</f>
        <v>32.34</v>
      </c>
      <c r="M269" s="83" t="n">
        <f aca="false">M253*0.98</f>
        <v>30.38</v>
      </c>
      <c r="N269" s="83" t="n">
        <f aca="false">N253*0.98</f>
        <v>28.42</v>
      </c>
      <c r="O269" s="83" t="n">
        <f aca="false">O253*0.98</f>
        <v>25.48</v>
      </c>
      <c r="P269" s="83" t="n">
        <f aca="false">P253*0.98</f>
        <v>22.54</v>
      </c>
      <c r="Q269" s="83" t="n">
        <f aca="false">Q253*0.98</f>
        <v>19.6</v>
      </c>
      <c r="R269" s="83" t="n">
        <f aca="false">R253*0.98</f>
        <v>16.66</v>
      </c>
      <c r="S269" s="28" t="s">
        <v>44</v>
      </c>
      <c r="T269" s="13"/>
      <c r="U269" s="111" t="str">
        <f aca="false">CONCATENATE(A253," Your forecast")</f>
        <v> % de petróleo Sua previsão</v>
      </c>
      <c r="Z269" s="113"/>
      <c r="AA269" s="122" t="s">
        <v>7</v>
      </c>
      <c r="AB269" s="118" t="n">
        <v>1970</v>
      </c>
      <c r="AC269" s="118" t="n">
        <v>1975</v>
      </c>
      <c r="AD269" s="118" t="n">
        <v>1980</v>
      </c>
      <c r="AE269" s="118" t="n">
        <v>1985</v>
      </c>
      <c r="AF269" s="118" t="n">
        <v>1990</v>
      </c>
      <c r="AG269" s="118" t="n">
        <v>1995</v>
      </c>
      <c r="AH269" s="118" t="n">
        <v>2000</v>
      </c>
      <c r="AI269" s="118" t="n">
        <v>2005</v>
      </c>
      <c r="AJ269" s="118" t="n">
        <v>2010</v>
      </c>
      <c r="AK269" s="118" t="n">
        <v>2015</v>
      </c>
      <c r="AL269" s="118" t="n">
        <v>2020</v>
      </c>
      <c r="AM269" s="118" t="n">
        <v>2025</v>
      </c>
      <c r="AN269" s="118" t="n">
        <v>2030</v>
      </c>
      <c r="AO269" s="118" t="n">
        <v>2035</v>
      </c>
      <c r="AP269" s="118" t="n">
        <v>2040</v>
      </c>
      <c r="AQ269" s="118" t="n">
        <v>2045</v>
      </c>
      <c r="AR269" s="119" t="n">
        <v>2050</v>
      </c>
      <c r="AS269" s="11"/>
    </row>
    <row r="270" s="3" customFormat="true" ht="11.25" hidden="false" customHeight="false" outlineLevel="0" collapsed="false">
      <c r="B270" s="47"/>
      <c r="C270" s="47"/>
      <c r="D270" s="47"/>
      <c r="E270" s="47"/>
      <c r="F270" s="47"/>
      <c r="G270" s="47"/>
      <c r="H270" s="47"/>
      <c r="I270" s="47"/>
      <c r="K270" s="83" t="n">
        <f aca="false">K254</f>
        <v>30.5</v>
      </c>
      <c r="L270" s="83" t="n">
        <f aca="false">L254*0.98</f>
        <v>32.83</v>
      </c>
      <c r="M270" s="83" t="n">
        <f aca="false">M254*0.98</f>
        <v>33.32</v>
      </c>
      <c r="N270" s="83" t="n">
        <f aca="false">N254*0.98</f>
        <v>34.3</v>
      </c>
      <c r="O270" s="83" t="n">
        <f aca="false">O254*0.98</f>
        <v>34.79</v>
      </c>
      <c r="P270" s="83" t="n">
        <f aca="false">P254*0.98</f>
        <v>34.3</v>
      </c>
      <c r="Q270" s="83" t="n">
        <f aca="false">Q254*0.98</f>
        <v>32.83</v>
      </c>
      <c r="R270" s="83" t="n">
        <f aca="false">R254*0.98</f>
        <v>30.38</v>
      </c>
      <c r="S270" s="28" t="s">
        <v>44</v>
      </c>
      <c r="T270" s="13"/>
      <c r="U270" s="111" t="str">
        <f aca="false">CONCATENATE(A254," Your forecast")</f>
        <v> % de gás Sua previsão</v>
      </c>
      <c r="Z270" s="113"/>
      <c r="AA270" s="122" t="str">
        <f aca="false">CONCATENATE(J145," (0 - ",W281," T$ / yr)")</f>
        <v> PIB dos EUA calculado a partir da sua previsão (0 - 18 trilhões de dólares/ano)</v>
      </c>
      <c r="AB270" s="98"/>
      <c r="AC270" s="98"/>
      <c r="AD270" s="98"/>
      <c r="AE270" s="98"/>
      <c r="AF270" s="98"/>
      <c r="AG270" s="98"/>
      <c r="AH270" s="98"/>
      <c r="AI270" s="98"/>
      <c r="AJ270" s="120"/>
      <c r="AK270" s="120" t="n">
        <f aca="false">K145/$W281</f>
        <v>0.757604976804951</v>
      </c>
      <c r="AL270" s="120" t="n">
        <f aca="false">L145/$W281</f>
        <v>0.78595367845374</v>
      </c>
      <c r="AM270" s="120" t="n">
        <f aca="false">M145/$W281</f>
        <v>0.821488398307141</v>
      </c>
      <c r="AN270" s="120" t="n">
        <f aca="false">N145/$W281</f>
        <v>0.84177359620969</v>
      </c>
      <c r="AO270" s="120" t="n">
        <f aca="false">O145/$W281</f>
        <v>0.860907115960563</v>
      </c>
      <c r="AP270" s="120" t="n">
        <f aca="false">P145/$W281</f>
        <v>0.87140109905665</v>
      </c>
      <c r="AQ270" s="120" t="n">
        <f aca="false">Q145/$W281</f>
        <v>0.878520182865555</v>
      </c>
      <c r="AR270" s="120" t="n">
        <f aca="false">R145/$W281</f>
        <v>0.870025233975129</v>
      </c>
      <c r="AS270" s="11"/>
    </row>
    <row r="271" s="3" customFormat="true" ht="11.25" hidden="false" customHeight="true" outlineLevel="0" collapsed="false">
      <c r="B271" s="47"/>
      <c r="C271" s="47"/>
      <c r="D271" s="47"/>
      <c r="E271" s="47"/>
      <c r="F271" s="47"/>
      <c r="G271" s="47"/>
      <c r="H271" s="47"/>
      <c r="I271" s="47"/>
      <c r="K271" s="83" t="n">
        <f aca="false">K255</f>
        <v>7</v>
      </c>
      <c r="L271" s="83" t="n">
        <f aca="false">L255*0.98</f>
        <v>8.82</v>
      </c>
      <c r="M271" s="83" t="n">
        <f aca="false">M255*0.98</f>
        <v>11.76</v>
      </c>
      <c r="N271" s="83" t="n">
        <f aca="false">N255*0.98</f>
        <v>14.7</v>
      </c>
      <c r="O271" s="83" t="n">
        <f aca="false">O255*0.98</f>
        <v>18.62</v>
      </c>
      <c r="P271" s="83" t="n">
        <f aca="false">P255*0.98</f>
        <v>22.54</v>
      </c>
      <c r="Q271" s="83" t="n">
        <f aca="false">Q255*0.98</f>
        <v>28.42</v>
      </c>
      <c r="R271" s="83" t="n">
        <f aca="false">R255*0.98</f>
        <v>36.26</v>
      </c>
      <c r="S271" s="28" t="s">
        <v>44</v>
      </c>
      <c r="T271" s="13"/>
      <c r="U271" s="111" t="str">
        <f aca="false">CONCATENATE(A255," Your forecast")</f>
        <v> % de energias renováveis Sua previsão</v>
      </c>
      <c r="V271" s="123" t="s">
        <v>102</v>
      </c>
      <c r="W271" s="123"/>
      <c r="X271" s="123"/>
      <c r="Y271" s="123"/>
      <c r="Z271" s="113"/>
      <c r="AA271" s="122" t="str">
        <f aca="false">CONCATENATE(A250," (0 - ",W280," Mtoe / yr), Your forecast")</f>
        <v> Consumo de energia (0 - 3000 Mtoe/ano), sua previsão</v>
      </c>
      <c r="AB271" s="98"/>
      <c r="AC271" s="98"/>
      <c r="AD271" s="98"/>
      <c r="AE271" s="98"/>
      <c r="AF271" s="98"/>
      <c r="AG271" s="98"/>
      <c r="AH271" s="98"/>
      <c r="AI271" s="98"/>
      <c r="AJ271" s="120"/>
      <c r="AK271" s="120" t="n">
        <f aca="false">K266/$W280</f>
        <v>0.804829531717919</v>
      </c>
      <c r="AL271" s="120" t="n">
        <f aca="false">L266/$W280</f>
        <v>0.794033000813644</v>
      </c>
      <c r="AM271" s="120" t="n">
        <f aca="false">M266/$W280</f>
        <v>0.789266287623711</v>
      </c>
      <c r="AN271" s="120" t="n">
        <f aca="false">N266/$W280</f>
        <v>0.769126782628217</v>
      </c>
      <c r="AO271" s="120" t="n">
        <f aca="false">O266/$W280</f>
        <v>0.748065196846398</v>
      </c>
      <c r="AP271" s="120" t="n">
        <f aca="false">P266/$W280</f>
        <v>0.720081697903142</v>
      </c>
      <c r="AQ271" s="120" t="n">
        <f aca="false">Q266/$W280</f>
        <v>0.690392285057028</v>
      </c>
      <c r="AR271" s="120" t="n">
        <f aca="false">R266/$W280</f>
        <v>0.650214353323578</v>
      </c>
      <c r="AS271" s="11"/>
    </row>
    <row r="272" s="3" customFormat="true" ht="11.25" hidden="false" customHeight="true" outlineLevel="0" collapsed="false">
      <c r="B272" s="47"/>
      <c r="C272" s="47"/>
      <c r="D272" s="47"/>
      <c r="E272" s="47"/>
      <c r="F272" s="47"/>
      <c r="G272" s="47"/>
      <c r="H272" s="47"/>
      <c r="I272" s="47"/>
      <c r="K272" s="83" t="n">
        <f aca="false">K256</f>
        <v>8</v>
      </c>
      <c r="L272" s="83" t="n">
        <f aca="false">L256*0.98</f>
        <v>7.35</v>
      </c>
      <c r="M272" s="83" t="n">
        <f aca="false">M256*0.98</f>
        <v>6.86</v>
      </c>
      <c r="N272" s="83" t="n">
        <f aca="false">N256*0.98</f>
        <v>6.37</v>
      </c>
      <c r="O272" s="83" t="n">
        <f aca="false">O256*0.98</f>
        <v>5.39</v>
      </c>
      <c r="P272" s="83" t="n">
        <f aca="false">P256*0.98</f>
        <v>4.9</v>
      </c>
      <c r="Q272" s="83" t="n">
        <f aca="false">Q256*0.98</f>
        <v>3.92</v>
      </c>
      <c r="R272" s="83" t="n">
        <f aca="false">R256*0.98</f>
        <v>2.94</v>
      </c>
      <c r="S272" s="28" t="s">
        <v>44</v>
      </c>
      <c r="T272" s="13"/>
      <c r="U272" s="111" t="str">
        <f aca="false">CONCATENATE(A256," Your forecast")</f>
        <v> % nuclear Sua previsão</v>
      </c>
      <c r="V272" s="123"/>
      <c r="W272" s="123"/>
      <c r="X272" s="123"/>
      <c r="Y272" s="123"/>
      <c r="Z272" s="113"/>
      <c r="AA272" s="122" t="str">
        <f aca="false">CONCATENATE(A251," (0 - ",W282," toe / M$), Your forecast")</f>
        <v>Intensidade energética (0 - 400 toe / M$), Sua previsão</v>
      </c>
      <c r="AB272" s="98"/>
      <c r="AC272" s="98"/>
      <c r="AD272" s="98"/>
      <c r="AE272" s="98"/>
      <c r="AF272" s="98"/>
      <c r="AG272" s="98"/>
      <c r="AH272" s="98"/>
      <c r="AI272" s="98"/>
      <c r="AJ272" s="98"/>
      <c r="AK272" s="120" t="n">
        <f aca="false">K267/$W282</f>
        <v>0.442639170125377</v>
      </c>
      <c r="AL272" s="120" t="n">
        <f aca="false">L267/$W282</f>
        <v>0.420949850789234</v>
      </c>
      <c r="AM272" s="120" t="n">
        <f aca="false">M267/$W282</f>
        <v>0.400323308100561</v>
      </c>
      <c r="AN272" s="120" t="n">
        <f aca="false">N267/$W282</f>
        <v>0.380707466003634</v>
      </c>
      <c r="AO272" s="120" t="n">
        <f aca="false">O267/$W282</f>
        <v>0.362052800169456</v>
      </c>
      <c r="AP272" s="120" t="n">
        <f aca="false">P267/$W282</f>
        <v>0.344312212961153</v>
      </c>
      <c r="AQ272" s="120" t="n">
        <f aca="false">Q267/$W282</f>
        <v>0.327440914526056</v>
      </c>
      <c r="AR272" s="120" t="n">
        <f aca="false">R267/$W282</f>
        <v>0.311396309714279</v>
      </c>
      <c r="AS272" s="11"/>
    </row>
    <row r="273" s="3" customFormat="true" ht="11.25" hidden="false" customHeight="false" outlineLevel="0" collapsed="false">
      <c r="B273" s="47"/>
      <c r="C273" s="47"/>
      <c r="D273" s="47"/>
      <c r="E273" s="47"/>
      <c r="F273" s="47"/>
      <c r="G273" s="47"/>
      <c r="H273" s="47"/>
      <c r="I273" s="47"/>
      <c r="K273" s="124" t="n">
        <f aca="false">100-SUM(K269:K272)</f>
        <v>18.5</v>
      </c>
      <c r="L273" s="124" t="n">
        <f aca="false">100-SUM(L269:L272)</f>
        <v>18.66</v>
      </c>
      <c r="M273" s="124" t="n">
        <f aca="false">100-SUM(M269:M272)</f>
        <v>17.68</v>
      </c>
      <c r="N273" s="124" t="n">
        <f aca="false">100-SUM(N269:N272)</f>
        <v>16.21</v>
      </c>
      <c r="O273" s="124" t="n">
        <f aca="false">100-SUM(O269:O272)</f>
        <v>15.72</v>
      </c>
      <c r="P273" s="124" t="n">
        <f aca="false">100-SUM(P269:P272)</f>
        <v>15.72</v>
      </c>
      <c r="Q273" s="124" t="n">
        <f aca="false">100-SUM(Q269:Q272)</f>
        <v>15.23</v>
      </c>
      <c r="R273" s="124" t="n">
        <f aca="false">100-SUM(R269:R272)</f>
        <v>13.76</v>
      </c>
      <c r="S273" s="28" t="s">
        <v>44</v>
      </c>
      <c r="T273" s="13"/>
      <c r="U273" s="111" t="str">
        <f aca="false">CONCATENATE(A257," Your forecast")</f>
        <v> % carvão Sua previsão</v>
      </c>
      <c r="Z273" s="113"/>
      <c r="AA273" s="122"/>
      <c r="AB273" s="98"/>
      <c r="AC273" s="98"/>
      <c r="AD273" s="98"/>
      <c r="AE273" s="98"/>
      <c r="AF273" s="98"/>
      <c r="AG273" s="98"/>
      <c r="AH273" s="98"/>
      <c r="AI273" s="98"/>
      <c r="AS273" s="11"/>
    </row>
    <row r="274" s="3" customFormat="true" ht="11.25" hidden="false" customHeight="false" outlineLevel="0" collapsed="false">
      <c r="B274" s="47"/>
      <c r="C274" s="47"/>
      <c r="D274" s="47"/>
      <c r="E274" s="47"/>
      <c r="F274" s="47"/>
      <c r="G274" s="107"/>
      <c r="H274" s="107"/>
      <c r="I274" s="107"/>
      <c r="J274" s="107"/>
      <c r="K274" s="125" t="s">
        <v>103</v>
      </c>
      <c r="L274" s="107"/>
      <c r="M274" s="107"/>
      <c r="N274" s="107"/>
      <c r="O274" s="107"/>
      <c r="P274" s="107"/>
      <c r="Q274" s="107"/>
      <c r="R274" s="107"/>
      <c r="T274" s="13"/>
      <c r="V274" s="3" t="s">
        <v>35</v>
      </c>
      <c r="Z274" s="113"/>
      <c r="AA274" s="122"/>
      <c r="AB274" s="98"/>
      <c r="AC274" s="98"/>
      <c r="AD274" s="98"/>
      <c r="AE274" s="98"/>
      <c r="AF274" s="98"/>
      <c r="AG274" s="98"/>
      <c r="AH274" s="98"/>
      <c r="AI274" s="98"/>
      <c r="AS274" s="11"/>
    </row>
    <row r="275" s="3" customFormat="true" ht="28.3" hidden="false" customHeight="false" outlineLevel="0" collapsed="false">
      <c r="B275" s="47"/>
      <c r="C275" s="47"/>
      <c r="D275" s="47"/>
      <c r="E275" s="47"/>
      <c r="F275" s="47"/>
      <c r="T275" s="13"/>
      <c r="U275" s="55" t="str">
        <f aca="false">U27</f>
        <v> Para o gráfico à esquerda, nomes das variáveis (unidade)</v>
      </c>
      <c r="V275" s="54" t="s">
        <v>38</v>
      </c>
      <c r="W275" s="54" t="s">
        <v>39</v>
      </c>
      <c r="X275" s="55"/>
      <c r="Y275" s="55"/>
      <c r="Z275" s="113"/>
      <c r="AA275" s="122"/>
      <c r="AB275" s="98"/>
      <c r="AC275" s="98"/>
      <c r="AD275" s="98"/>
      <c r="AE275" s="98"/>
      <c r="AF275" s="98"/>
      <c r="AG275" s="98"/>
      <c r="AH275" s="98"/>
      <c r="AI275" s="98"/>
      <c r="AS275" s="11"/>
    </row>
    <row r="276" s="3" customFormat="true" ht="11.25" hidden="false" customHeight="false" outlineLevel="0" collapsed="false">
      <c r="B276" s="47"/>
      <c r="C276" s="47"/>
      <c r="D276" s="47"/>
      <c r="E276" s="47"/>
      <c r="F276" s="47"/>
      <c r="T276" s="13"/>
      <c r="V276" s="96" t="s">
        <v>104</v>
      </c>
      <c r="W276" s="96" t="s">
        <v>105</v>
      </c>
      <c r="Z276" s="113"/>
      <c r="AA276" s="126"/>
      <c r="AB276" s="127"/>
      <c r="AC276" s="127"/>
      <c r="AD276" s="127"/>
      <c r="AE276" s="127"/>
      <c r="AF276" s="127"/>
      <c r="AG276" s="127"/>
      <c r="AH276" s="127"/>
      <c r="AI276" s="127"/>
      <c r="AS276" s="11"/>
    </row>
    <row r="277" customFormat="false" ht="11.25" hidden="false" customHeight="false" outlineLevel="0" collapsed="false">
      <c r="B277" s="107"/>
      <c r="C277" s="107"/>
      <c r="D277" s="107"/>
      <c r="E277" s="107"/>
      <c r="F277" s="107"/>
      <c r="T277" s="13"/>
      <c r="U277" s="128" t="str">
        <f aca="false">AA264</f>
        <v> Consumo de energia (0 - 3000 Mtoe / ano)</v>
      </c>
      <c r="V277" s="129" t="n">
        <v>3000</v>
      </c>
      <c r="W277" s="70" t="n">
        <f aca="false">W280</f>
        <v>3000</v>
      </c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customFormat="false" ht="11.25" hidden="false" customHeight="false" outlineLevel="0" collapsed="false"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T278" s="13"/>
      <c r="U278" s="128" t="str">
        <f aca="false">AA265</f>
        <v> PIB dos EUA (0 - 18 trilhões de dólares/ano)</v>
      </c>
      <c r="V278" s="129" t="n">
        <v>18</v>
      </c>
      <c r="W278" s="70" t="n">
        <f aca="false">W281</f>
        <v>18</v>
      </c>
    </row>
    <row r="279" customFormat="false" ht="11.25" hidden="false" customHeight="false" outlineLevel="0" collapsed="false"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T279" s="13"/>
      <c r="U279" s="128" t="str">
        <f aca="false">AA266</f>
        <v> Intensidade energética (0 - 400 toe / M$)</v>
      </c>
      <c r="V279" s="129" t="n">
        <v>400</v>
      </c>
      <c r="W279" s="70" t="n">
        <f aca="false">W282</f>
        <v>400</v>
      </c>
    </row>
    <row r="280" customFormat="false" ht="11.25" hidden="false" customHeight="false" outlineLevel="0" collapsed="false"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T280" s="13"/>
      <c r="U280" s="130" t="str">
        <f aca="false">AA271</f>
        <v> Consumo de energia (0 - 3000 Mtoe/ano), sua previsão</v>
      </c>
      <c r="W280" s="4" t="n">
        <v>3000</v>
      </c>
    </row>
    <row r="281" customFormat="false" ht="11.25" hidden="false" customHeight="false" outlineLevel="0" collapsed="false"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T281" s="13"/>
      <c r="U281" s="130" t="str">
        <f aca="false">AA270</f>
        <v> PIB dos EUA calculado a partir da sua previsão (0 - 18 trilhões de dólares/ano)</v>
      </c>
      <c r="W281" s="4" t="n">
        <v>18</v>
      </c>
    </row>
    <row r="282" customFormat="false" ht="11.25" hidden="false" customHeight="false" outlineLevel="0" collapsed="false"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T282" s="13"/>
      <c r="U282" s="130" t="str">
        <f aca="false">AA272</f>
        <v> Intensidade energética (0 - 400 toe / M$), Sua previsão</v>
      </c>
      <c r="W282" s="4" t="n">
        <v>400</v>
      </c>
    </row>
    <row r="283" customFormat="false" ht="11.25" hidden="false" customHeight="false" outlineLevel="0" collapsed="false"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T283" s="13"/>
    </row>
    <row r="284" customFormat="false" ht="11.25" hidden="false" customHeight="false" outlineLevel="0" collapsed="false"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T284" s="13"/>
    </row>
    <row r="285" s="3" customFormat="true" ht="11.25" hidden="false" customHeight="false" outlineLevel="0" collapsed="false"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T285" s="13"/>
    </row>
    <row r="286" s="3" customFormat="true" ht="11.25" hidden="false" customHeight="false" outlineLevel="0" collapsed="false"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T286" s="13"/>
    </row>
    <row r="287" s="3" customFormat="true" ht="11.25" hidden="false" customHeight="false" outlineLevel="0" collapsed="false"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T287" s="13"/>
    </row>
    <row r="288" s="3" customFormat="true" ht="11.25" hidden="false" customHeight="false" outlineLevel="0" collapsed="false">
      <c r="T288" s="13"/>
    </row>
    <row r="289" s="3" customFormat="true" ht="11.25" hidden="false" customHeight="false" outlineLevel="0" collapsed="false">
      <c r="T289" s="13"/>
    </row>
    <row r="290" s="3" customFormat="true" ht="11.25" hidden="false" customHeight="false" outlineLevel="0" collapsed="false">
      <c r="T290" s="13"/>
    </row>
    <row r="291" s="3" customFormat="true" ht="11.25" hidden="false" customHeight="false" outlineLevel="0" collapsed="false">
      <c r="T291" s="13"/>
    </row>
    <row r="292" customFormat="false" ht="11.25" hidden="false" customHeight="false" outlineLevel="0" collapsed="false">
      <c r="T292" s="13"/>
    </row>
    <row r="293" customFormat="false" ht="11.25" hidden="false" customHeight="false" outlineLevel="0" collapsed="false">
      <c r="T293" s="13"/>
    </row>
    <row r="294" s="3" customFormat="true" ht="11.25" hidden="false" customHeight="false" outlineLevel="0" collapsed="false">
      <c r="T294" s="13"/>
    </row>
    <row r="295" s="3" customFormat="true" ht="11.25" hidden="false" customHeight="false" outlineLevel="0" collapsed="false">
      <c r="S295" s="50"/>
      <c r="T295" s="13"/>
      <c r="U295" s="50"/>
    </row>
    <row r="296" s="3" customFormat="true" ht="11.25" hidden="false" customHeight="false" outlineLevel="0" collapsed="false">
      <c r="T296" s="13"/>
    </row>
    <row r="297" s="3" customFormat="true" ht="11.25" hidden="false" customHeight="false" outlineLevel="0" collapsed="false">
      <c r="T297" s="13"/>
    </row>
    <row r="298" customFormat="false" ht="11.25" hidden="false" customHeight="false" outlineLevel="0" collapsed="false">
      <c r="T298" s="13"/>
    </row>
    <row r="299" customFormat="false" ht="11.25" hidden="false" customHeight="false" outlineLevel="0" collapsed="false">
      <c r="T299" s="13"/>
    </row>
    <row r="300" customFormat="false" ht="12.65" hidden="false" customHeight="false" outlineLevel="0" collapsed="false">
      <c r="A300" s="61" t="s">
        <v>106</v>
      </c>
      <c r="T300" s="13"/>
    </row>
    <row r="301" customFormat="false" ht="12.65" hidden="false" customHeight="false" outlineLevel="0" collapsed="false">
      <c r="A301" s="23" t="str">
        <f aca="false">CONCATENATE(A300,". Shares of total energy use - ",A5," 1970 to 2050")</f>
        <v> Gráfico 7. Participação no consumo total de energia - EUA, de 1970 a 2050</v>
      </c>
      <c r="T301" s="13"/>
      <c r="V301" s="95"/>
    </row>
    <row r="302" customFormat="false" ht="12.65" hidden="false" customHeight="false" outlineLevel="0" collapsed="false">
      <c r="T302" s="13"/>
      <c r="V302" s="95"/>
      <c r="AA302" s="52"/>
    </row>
    <row r="303" customFormat="false" ht="12.65" hidden="false" customHeight="false" outlineLevel="0" collapsed="false">
      <c r="T303" s="13"/>
      <c r="V303" s="95"/>
      <c r="AB303" s="131"/>
      <c r="AC303" s="131"/>
      <c r="AD303" s="131"/>
      <c r="AE303" s="131"/>
      <c r="AF303" s="131"/>
      <c r="AG303" s="131"/>
      <c r="AH303" s="131"/>
      <c r="AI303" s="131"/>
      <c r="AJ303" s="131"/>
    </row>
    <row r="304" customFormat="false" ht="12.65" hidden="false" customHeight="false" outlineLevel="0" collapsed="false">
      <c r="T304" s="13"/>
      <c r="V304" s="95"/>
      <c r="AB304" s="131"/>
      <c r="AC304" s="131"/>
      <c r="AD304" s="131"/>
      <c r="AE304" s="131"/>
      <c r="AF304" s="131"/>
      <c r="AG304" s="131"/>
      <c r="AH304" s="131"/>
      <c r="AI304" s="131"/>
      <c r="AJ304" s="131"/>
    </row>
    <row r="305" customFormat="false" ht="12.65" hidden="false" customHeight="false" outlineLevel="0" collapsed="false">
      <c r="T305" s="13"/>
      <c r="V305" s="95"/>
      <c r="AB305" s="131"/>
      <c r="AC305" s="131"/>
      <c r="AD305" s="131"/>
      <c r="AE305" s="131"/>
      <c r="AF305" s="131"/>
      <c r="AG305" s="131"/>
      <c r="AH305" s="131"/>
      <c r="AI305" s="131"/>
      <c r="AJ305" s="131"/>
    </row>
    <row r="306" customFormat="false" ht="12.65" hidden="false" customHeight="false" outlineLevel="0" collapsed="false">
      <c r="T306" s="13"/>
      <c r="V306" s="95"/>
      <c r="AB306" s="131"/>
      <c r="AC306" s="131"/>
      <c r="AD306" s="131"/>
      <c r="AE306" s="131"/>
      <c r="AF306" s="131"/>
      <c r="AG306" s="131"/>
      <c r="AH306" s="131"/>
      <c r="AI306" s="131"/>
      <c r="AJ306" s="131"/>
    </row>
    <row r="307" customFormat="false" ht="12.65" hidden="false" customHeight="false" outlineLevel="0" collapsed="false">
      <c r="T307" s="13"/>
      <c r="V307" s="95"/>
      <c r="AB307" s="131"/>
      <c r="AC307" s="131"/>
      <c r="AD307" s="131"/>
      <c r="AE307" s="131"/>
      <c r="AF307" s="131"/>
      <c r="AG307" s="131"/>
      <c r="AH307" s="131"/>
      <c r="AI307" s="131"/>
      <c r="AJ307" s="131"/>
    </row>
    <row r="308" customFormat="false" ht="12.65" hidden="false" customHeight="false" outlineLevel="0" collapsed="false">
      <c r="T308" s="13"/>
      <c r="V308" s="95"/>
      <c r="AB308" s="131"/>
      <c r="AC308" s="131"/>
      <c r="AD308" s="131"/>
      <c r="AE308" s="131"/>
      <c r="AF308" s="131"/>
      <c r="AG308" s="131"/>
      <c r="AH308" s="131"/>
      <c r="AI308" s="131"/>
      <c r="AJ308" s="131"/>
    </row>
    <row r="309" customFormat="false" ht="12.65" hidden="false" customHeight="false" outlineLevel="0" collapsed="false">
      <c r="T309" s="13"/>
      <c r="V309" s="95"/>
      <c r="AB309" s="131"/>
      <c r="AC309" s="131"/>
      <c r="AD309" s="131"/>
      <c r="AE309" s="131"/>
      <c r="AF309" s="131"/>
      <c r="AG309" s="131"/>
      <c r="AH309" s="131"/>
      <c r="AI309" s="131"/>
      <c r="AJ309" s="131"/>
    </row>
    <row r="310" customFormat="false" ht="12.65" hidden="false" customHeight="false" outlineLevel="0" collapsed="false">
      <c r="T310" s="13"/>
      <c r="V310" s="95"/>
      <c r="AB310" s="131"/>
      <c r="AC310" s="131"/>
      <c r="AD310" s="131"/>
      <c r="AE310" s="131"/>
      <c r="AF310" s="131"/>
      <c r="AG310" s="131"/>
      <c r="AH310" s="131"/>
      <c r="AI310" s="131"/>
      <c r="AJ310" s="131"/>
    </row>
    <row r="311" customFormat="false" ht="12.65" hidden="false" customHeight="false" outlineLevel="0" collapsed="false">
      <c r="T311" s="13"/>
      <c r="V311" s="95"/>
      <c r="AB311" s="131"/>
      <c r="AC311" s="131"/>
      <c r="AD311" s="131"/>
      <c r="AE311" s="131"/>
      <c r="AF311" s="131"/>
      <c r="AG311" s="131"/>
      <c r="AH311" s="131"/>
      <c r="AI311" s="131"/>
      <c r="AJ311" s="131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T314" s="13"/>
      <c r="V314" s="95"/>
    </row>
    <row r="315" customFormat="false" ht="12.65" hidden="false" customHeight="false" outlineLevel="0" collapsed="false">
      <c r="T315" s="13"/>
      <c r="V315" s="95"/>
    </row>
    <row r="316" customFormat="false" ht="12.65" hidden="false" customHeight="false" outlineLevel="0" collapsed="false">
      <c r="T316" s="13"/>
      <c r="V316" s="95"/>
    </row>
    <row r="317" customFormat="false" ht="12.65" hidden="false" customHeight="false" outlineLevel="0" collapsed="false">
      <c r="T317" s="13"/>
      <c r="V317" s="95"/>
    </row>
    <row r="318" customFormat="false" ht="12.65" hidden="false" customHeight="false" outlineLevel="0" collapsed="false">
      <c r="T318" s="13"/>
      <c r="V318" s="95"/>
    </row>
    <row r="319" customFormat="false" ht="12.65" hidden="false" customHeight="false" outlineLevel="0" collapsed="false">
      <c r="T319" s="13"/>
      <c r="V319" s="95"/>
    </row>
    <row r="320" customFormat="false" ht="12.65" hidden="false" customHeight="false" outlineLevel="0" collapsed="false">
      <c r="T320" s="13"/>
      <c r="V320" s="95"/>
    </row>
    <row r="321" customFormat="false" ht="12.65" hidden="false" customHeight="false" outlineLevel="0" collapsed="false">
      <c r="T321" s="13"/>
      <c r="V321" s="95"/>
    </row>
    <row r="322" customFormat="false" ht="12.65" hidden="false" customHeight="false" outlineLevel="0" collapsed="false">
      <c r="T322" s="13"/>
      <c r="V322" s="95"/>
    </row>
    <row r="323" customFormat="false" ht="12.65" hidden="false" customHeight="false" outlineLevel="0" collapsed="false">
      <c r="T323" s="13"/>
      <c r="V323" s="95"/>
    </row>
    <row r="324" customFormat="false" ht="12.65" hidden="false" customHeight="false" outlineLevel="0" collapsed="false">
      <c r="T324" s="13"/>
      <c r="V324" s="95"/>
    </row>
    <row r="325" customFormat="false" ht="12.65" hidden="false" customHeight="false" outlineLevel="0" collapsed="false">
      <c r="A325" s="61" t="s">
        <v>107</v>
      </c>
      <c r="T325" s="13"/>
      <c r="V325" s="95"/>
    </row>
    <row r="326" customFormat="false" ht="12.65" hidden="false" customHeight="false" outlineLevel="0" collapsed="false">
      <c r="A326" s="23" t="str">
        <f aca="false">CONCATENATE(A325,". Energy usages (Mtoe/yr) - ",A5," 1970 to 2050")</f>
        <v> Gráfico 8. Consumo de energia (Mtoe/ano) - EUA, 1970 a 2050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T326" s="13"/>
    </row>
    <row r="327" customFormat="false" ht="11.25" hidden="false" customHeight="false" outlineLevel="0" collapsed="false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T334" s="13"/>
    </row>
    <row r="335" customFormat="false" ht="11.25" hidden="false" customHeight="false" outlineLevel="0" collapsed="false">
      <c r="A335" s="132"/>
      <c r="B335" s="131"/>
      <c r="C335" s="131"/>
      <c r="D335" s="131"/>
      <c r="E335" s="131"/>
      <c r="F335" s="131"/>
      <c r="G335" s="131"/>
      <c r="H335" s="131"/>
      <c r="I335" s="131"/>
      <c r="T335" s="13"/>
    </row>
    <row r="336" customFormat="false" ht="11.25" hidden="false" customHeight="false" outlineLevel="0" collapsed="false">
      <c r="A336" s="132"/>
      <c r="B336" s="131"/>
      <c r="C336" s="131"/>
      <c r="D336" s="131"/>
      <c r="E336" s="131"/>
      <c r="F336" s="131"/>
      <c r="G336" s="131"/>
      <c r="H336" s="131"/>
      <c r="I336" s="131"/>
      <c r="T336" s="13"/>
    </row>
    <row r="337" customFormat="false" ht="11.25" hidden="false" customHeight="false" outlineLevel="0" collapsed="false">
      <c r="A337" s="132"/>
      <c r="B337" s="131"/>
      <c r="C337" s="131"/>
      <c r="D337" s="131"/>
      <c r="E337" s="131"/>
      <c r="F337" s="131"/>
      <c r="G337" s="131"/>
      <c r="H337" s="131"/>
      <c r="I337" s="131"/>
      <c r="T337" s="13"/>
    </row>
    <row r="338" customFormat="false" ht="11.25" hidden="false" customHeight="false" outlineLevel="0" collapsed="false">
      <c r="A338" s="132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T338" s="13"/>
    </row>
    <row r="339" customFormat="false" ht="11.25" hidden="false" customHeight="false" outlineLevel="0" collapsed="false">
      <c r="A339" s="132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T339" s="13"/>
    </row>
    <row r="340" customFormat="false" ht="11.25" hidden="false" customHeight="false" outlineLevel="0" collapsed="false">
      <c r="A340" s="132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T340" s="13"/>
    </row>
    <row r="341" customFormat="false" ht="11.25" hidden="false" customHeight="false" outlineLevel="0" collapsed="false">
      <c r="A341" s="132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T341" s="13"/>
    </row>
    <row r="342" customFormat="false" ht="11.25" hidden="false" customHeight="false" outlineLevel="0" collapsed="false">
      <c r="A342" s="132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T342" s="13"/>
    </row>
    <row r="343" customFormat="false" ht="11.25" hidden="false" customHeight="false" outlineLevel="0" collapsed="false">
      <c r="A343" s="132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T343" s="13"/>
    </row>
    <row r="344" customFormat="false" ht="11.25" hidden="false" customHeight="false" outlineLevel="0" collapsed="false">
      <c r="A344" s="132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T344" s="13"/>
    </row>
    <row r="345" customFormat="false" ht="11.25" hidden="false" customHeight="false" outlineLevel="0" collapsed="false">
      <c r="A345" s="132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T345" s="13"/>
    </row>
    <row r="346" customFormat="false" ht="11.25" hidden="false" customHeight="false" outlineLevel="0" collapsed="false">
      <c r="T346" s="13"/>
    </row>
    <row r="347" customFormat="false" ht="12.65" hidden="false" customHeight="false" outlineLevel="0" collapsed="false">
      <c r="T347" s="13"/>
      <c r="V347" s="95"/>
      <c r="AC347" s="95"/>
    </row>
    <row r="348" customFormat="false" ht="12.65" hidden="false" customHeight="false" outlineLevel="0" collapsed="false">
      <c r="B348" s="95"/>
      <c r="T348" s="13"/>
    </row>
    <row r="349" customFormat="false" ht="12.65" hidden="false" customHeight="false" outlineLevel="0" collapsed="false">
      <c r="B349" s="95"/>
      <c r="T349" s="13"/>
    </row>
    <row r="350" customFormat="false" ht="12.65" hidden="false" customHeight="false" outlineLevel="0" collapsed="false">
      <c r="B350" s="95"/>
      <c r="T350" s="13"/>
    </row>
    <row r="351" customFormat="false" ht="12.65" hidden="false" customHeight="false" outlineLevel="0" collapsed="false">
      <c r="B351" s="95"/>
      <c r="T351" s="13"/>
    </row>
    <row r="352" customFormat="false" ht="12.65" hidden="false" customHeight="false" outlineLevel="0" collapsed="false">
      <c r="B352" s="95"/>
      <c r="T352" s="13"/>
    </row>
    <row r="353" customFormat="false" ht="11.25" hidden="false" customHeight="false" outlineLevel="0" collapsed="false">
      <c r="T353" s="13"/>
    </row>
    <row r="354" customFormat="false" ht="12.65" hidden="false" customHeight="false" outlineLevel="0" collapsed="false">
      <c r="A354" s="61" t="s">
        <v>108</v>
      </c>
      <c r="T354" s="13"/>
    </row>
    <row r="355" customFormat="false" ht="12.65" hidden="false" customHeight="false" outlineLevel="0" collapsed="false">
      <c r="A355" s="23" t="str">
        <f aca="false">CONCATENATE(A354,". CO2 Emissions from Energy Use - ",A5," 1970 to 2050")</f>
        <v> Gráfico 9. Emissões de CO2 provenientes do uso de energia - EUA, 1970 a 2050</v>
      </c>
      <c r="T355" s="13"/>
    </row>
    <row r="356" customFormat="fals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  <c r="U356" s="103" t="s">
        <v>109</v>
      </c>
    </row>
    <row r="357" customFormat="false" ht="11.25" hidden="false" customHeight="false" outlineLevel="0" collapsed="false">
      <c r="A357" s="63" t="s">
        <v>110</v>
      </c>
      <c r="B357" s="62" t="n">
        <v>4328.511</v>
      </c>
      <c r="C357" s="62" t="n">
        <v>4405.929</v>
      </c>
      <c r="D357" s="62" t="n">
        <v>4720.74166666667</v>
      </c>
      <c r="E357" s="62" t="n">
        <v>4486.053</v>
      </c>
      <c r="F357" s="62" t="n">
        <v>4878.93266666667</v>
      </c>
      <c r="G357" s="62" t="n">
        <v>5237.49233333333</v>
      </c>
      <c r="H357" s="62" t="n">
        <v>5712.93066666667</v>
      </c>
      <c r="I357" s="62" t="n">
        <v>5825.864</v>
      </c>
      <c r="J357" s="62" t="n">
        <v>5671.97766666667</v>
      </c>
      <c r="K357" s="27" t="n">
        <f aca="false">K365*44/12</f>
        <v>5821.66264797208</v>
      </c>
      <c r="L357" s="27" t="n">
        <f aca="false">L365*44/12</f>
        <v>5665.31016542236</v>
      </c>
      <c r="M357" s="27" t="n">
        <f aca="false">M365*44/12</f>
        <v>5425.21686260668</v>
      </c>
      <c r="N357" s="27" t="n">
        <f aca="false">N365*44/12</f>
        <v>5062.90179754724</v>
      </c>
      <c r="O357" s="27" t="n">
        <f aca="false">O365*44/12</f>
        <v>4702.81916315611</v>
      </c>
      <c r="P357" s="27" t="n">
        <f aca="false">P365*44/12</f>
        <v>4308.60818602672</v>
      </c>
      <c r="Q357" s="27" t="n">
        <f aca="false">Q365*44/12</f>
        <v>3834.77299646043</v>
      </c>
      <c r="R357" s="27" t="n">
        <f aca="false">R365*44/12</f>
        <v>3212.63645251246</v>
      </c>
      <c r="S357" s="28" t="s">
        <v>111</v>
      </c>
      <c r="T357" s="13"/>
      <c r="U357" s="103" t="s">
        <v>85</v>
      </c>
    </row>
    <row r="358" customFormat="false" ht="11.25" hidden="false" customHeight="false" outlineLevel="0" collapsed="false">
      <c r="A358" s="63" t="str">
        <f aca="false">A250</f>
        <v> Consumo de energia</v>
      </c>
      <c r="B358" s="26" t="n">
        <f aca="false">B250</f>
        <v>1627.48667688125</v>
      </c>
      <c r="C358" s="26" t="n">
        <f aca="false">C250</f>
        <v>1716.69449966428</v>
      </c>
      <c r="D358" s="26" t="n">
        <f aca="false">D250</f>
        <v>1811.33894586937</v>
      </c>
      <c r="E358" s="26" t="n">
        <f aca="false">E250</f>
        <v>1753.9046364508</v>
      </c>
      <c r="F358" s="26" t="n">
        <f aca="false">F250</f>
        <v>1968.39375347818</v>
      </c>
      <c r="G358" s="26" t="n">
        <f aca="false">G250</f>
        <v>2121.8998572491</v>
      </c>
      <c r="H358" s="26" t="n">
        <f aca="false">H250</f>
        <v>2316.70054716085</v>
      </c>
      <c r="I358" s="26" t="n">
        <f aca="false">I250</f>
        <v>2358.65702515293</v>
      </c>
      <c r="J358" s="26" t="n">
        <f aca="false">J250</f>
        <v>2311.00439631028</v>
      </c>
      <c r="K358" s="27" t="n">
        <f aca="false">K250</f>
        <v>2414.62752960244</v>
      </c>
      <c r="L358" s="27" t="n">
        <f aca="false">L250</f>
        <v>2433.11690354141</v>
      </c>
      <c r="M358" s="27" t="n">
        <f aca="false">M250</f>
        <v>2420.05925904753</v>
      </c>
      <c r="N358" s="27" t="n">
        <f aca="false">N250</f>
        <v>2358.98420214876</v>
      </c>
      <c r="O358" s="27" t="n">
        <f aca="false">O250</f>
        <v>2294.22297134909</v>
      </c>
      <c r="P358" s="27" t="n">
        <f aca="false">P250</f>
        <v>2207.44148846486</v>
      </c>
      <c r="Q358" s="27" t="n">
        <f aca="false">Q250</f>
        <v>2114.72788953572</v>
      </c>
      <c r="R358" s="27" t="n">
        <f aca="false">R250</f>
        <v>1989.31604000838</v>
      </c>
      <c r="S358" s="28" t="s">
        <v>84</v>
      </c>
      <c r="T358" s="13"/>
    </row>
    <row r="359" customFormat="false" ht="11.25" hidden="false" customHeight="false" outlineLevel="0" collapsed="false">
      <c r="A359" s="63" t="str">
        <f aca="false">A134</f>
        <v> PIB EUA</v>
      </c>
      <c r="B359" s="133" t="n">
        <f aca="false">B134</f>
        <v>4.23359657940635</v>
      </c>
      <c r="C359" s="133" t="n">
        <f aca="false">C134</f>
        <v>4.83929326880169</v>
      </c>
      <c r="D359" s="133" t="n">
        <f aca="false">D134</f>
        <v>5.76011096789823</v>
      </c>
      <c r="E359" s="133" t="n">
        <f aca="false">E134</f>
        <v>6.82644360648065</v>
      </c>
      <c r="F359" s="133" t="n">
        <f aca="false">F134</f>
        <v>7.98850086437623</v>
      </c>
      <c r="G359" s="133" t="n">
        <f aca="false">G134</f>
        <v>9.04619063009376</v>
      </c>
      <c r="H359" s="133" t="n">
        <f aca="false">H134</f>
        <v>11.1473053392797</v>
      </c>
      <c r="I359" s="133" t="n">
        <f aca="false">I134</f>
        <v>12.6820742072491</v>
      </c>
      <c r="J359" s="133" t="n">
        <f aca="false">J134</f>
        <v>12.7261064907806</v>
      </c>
      <c r="K359" s="134" t="n">
        <f aca="false">K134</f>
        <v>13.6376742760842</v>
      </c>
      <c r="L359" s="134" t="n">
        <f aca="false">L134</f>
        <v>14.4653696554514</v>
      </c>
      <c r="M359" s="134" t="n">
        <f aca="false">M134</f>
        <v>15.1449887695674</v>
      </c>
      <c r="N359" s="134" t="n">
        <f aca="false">N134</f>
        <v>15.5397626886346</v>
      </c>
      <c r="O359" s="134" t="n">
        <f aca="false">O134</f>
        <v>15.9085782489744</v>
      </c>
      <c r="P359" s="134" t="n">
        <f aca="false">P134</f>
        <v>16.1124409981207</v>
      </c>
      <c r="Q359" s="134" t="n">
        <f aca="false">Q134</f>
        <v>16.2481165950325</v>
      </c>
      <c r="R359" s="134" t="n">
        <f aca="false">R134</f>
        <v>16.0889874556071</v>
      </c>
      <c r="S359" s="28" t="s">
        <v>53</v>
      </c>
      <c r="T359" s="13"/>
    </row>
    <row r="360" customFormat="false" ht="11.25" hidden="false" customHeight="false" outlineLevel="0" collapsed="false">
      <c r="A360" s="63" t="s">
        <v>112</v>
      </c>
      <c r="B360" s="135" t="n">
        <f aca="false">B255</f>
        <v>3.52438517808181</v>
      </c>
      <c r="C360" s="135" t="n">
        <f aca="false">C255</f>
        <v>4.03617835230359</v>
      </c>
      <c r="D360" s="135" t="n">
        <f aca="false">D255</f>
        <v>3.52280969701346</v>
      </c>
      <c r="E360" s="135" t="n">
        <f aca="false">E255</f>
        <v>3.70500826210865</v>
      </c>
      <c r="F360" s="135" t="n">
        <f aca="false">F255</f>
        <v>4.13350121513203</v>
      </c>
      <c r="G360" s="135" t="n">
        <f aca="false">G255</f>
        <v>4.11320737838617</v>
      </c>
      <c r="H360" s="135" t="n">
        <f aca="false">H255</f>
        <v>3.61117702806486</v>
      </c>
      <c r="I360" s="135" t="n">
        <f aca="false">I255</f>
        <v>3.8109330711314</v>
      </c>
      <c r="J360" s="135" t="n">
        <f aca="false">J255</f>
        <v>5.3322475484299</v>
      </c>
      <c r="K360" s="136" t="n">
        <f aca="false">K255</f>
        <v>7</v>
      </c>
      <c r="L360" s="136" t="n">
        <f aca="false">L255</f>
        <v>9</v>
      </c>
      <c r="M360" s="136" t="n">
        <f aca="false">M255</f>
        <v>12</v>
      </c>
      <c r="N360" s="136" t="n">
        <f aca="false">N255</f>
        <v>15</v>
      </c>
      <c r="O360" s="136" t="n">
        <f aca="false">O255</f>
        <v>19</v>
      </c>
      <c r="P360" s="136" t="n">
        <f aca="false">P255</f>
        <v>23</v>
      </c>
      <c r="Q360" s="136" t="n">
        <f aca="false">Q255</f>
        <v>29</v>
      </c>
      <c r="R360" s="136" t="n">
        <f aca="false">R255</f>
        <v>37</v>
      </c>
      <c r="S360" s="28" t="s">
        <v>44</v>
      </c>
      <c r="T360" s="13"/>
    </row>
    <row r="361" customFormat="false" ht="11.25" hidden="false" customHeight="false" outlineLevel="0" collapsed="false">
      <c r="A361" s="63" t="s">
        <v>113</v>
      </c>
      <c r="B361" s="75" t="n">
        <f aca="false">B357/B358</f>
        <v>2.65962914565587</v>
      </c>
      <c r="C361" s="75" t="n">
        <f aca="false">C357/C358</f>
        <v>2.56651897053415</v>
      </c>
      <c r="D361" s="75" t="n">
        <f aca="false">D357/D358</f>
        <v>2.60621662082184</v>
      </c>
      <c r="E361" s="75" t="n">
        <f aca="false">E357/E358</f>
        <v>2.55775194772161</v>
      </c>
      <c r="F361" s="75" t="n">
        <f aca="false">F357/F358</f>
        <v>2.478636531967</v>
      </c>
      <c r="G361" s="75" t="n">
        <f aca="false">G357/G358</f>
        <v>2.46830325919499</v>
      </c>
      <c r="H361" s="75" t="n">
        <f aca="false">H357/H358</f>
        <v>2.46597717329844</v>
      </c>
      <c r="I361" s="75" t="n">
        <f aca="false">I357/I358</f>
        <v>2.46999200726196</v>
      </c>
      <c r="J361" s="75" t="n">
        <f aca="false">J357/J358</f>
        <v>2.45433443386021</v>
      </c>
      <c r="K361" s="75" t="n">
        <f aca="false">K357/K358</f>
        <v>2.41099820846099</v>
      </c>
      <c r="L361" s="75" t="n">
        <f aca="false">L357/L358</f>
        <v>2.3284167551409</v>
      </c>
      <c r="M361" s="75" t="n">
        <f aca="false">M357/M358</f>
        <v>2.24177025513908</v>
      </c>
      <c r="N361" s="75" t="n">
        <f aca="false">N357/N358</f>
        <v>2.14622115440007</v>
      </c>
      <c r="O361" s="75" t="n">
        <f aca="false">O357/O358</f>
        <v>2.04985270476595</v>
      </c>
      <c r="P361" s="75" t="n">
        <f aca="false">P357/P358</f>
        <v>1.95185612327288</v>
      </c>
      <c r="Q361" s="75" t="n">
        <f aca="false">Q357/Q358</f>
        <v>1.8133647432542</v>
      </c>
      <c r="R361" s="75" t="n">
        <f aca="false">R357/R358</f>
        <v>1.61494523137657</v>
      </c>
      <c r="S361" s="28" t="s">
        <v>114</v>
      </c>
      <c r="T361" s="13"/>
    </row>
    <row r="362" customFormat="false" ht="11.25" hidden="false" customHeight="false" outlineLevel="0" collapsed="false">
      <c r="A362" s="63" t="s">
        <v>115</v>
      </c>
      <c r="K362" s="27" t="n">
        <f aca="false">K242*$D$375</f>
        <v>691.191643570613</v>
      </c>
      <c r="L362" s="27" t="n">
        <f aca="false">L242*$D$375</f>
        <v>638.443906301163</v>
      </c>
      <c r="M362" s="27" t="n">
        <f aca="false">M242*$D$375</f>
        <v>596.531696516141</v>
      </c>
      <c r="N362" s="27" t="n">
        <f aca="false">N242*$D$375</f>
        <v>543.962374316937</v>
      </c>
      <c r="O362" s="27" t="n">
        <f aca="false">O242*$D$375</f>
        <v>474.301832131369</v>
      </c>
      <c r="P362" s="27" t="n">
        <f aca="false">P242*$D$375</f>
        <v>403.70382769221</v>
      </c>
      <c r="Q362" s="27" t="n">
        <f aca="false">Q242*$D$375</f>
        <v>336.302672807739</v>
      </c>
      <c r="R362" s="27" t="n">
        <f aca="false">R242*$D$375</f>
        <v>268.904788616494</v>
      </c>
      <c r="S362" s="76" t="s">
        <v>116</v>
      </c>
      <c r="T362" s="13"/>
      <c r="U362" s="41"/>
      <c r="V362" s="41"/>
      <c r="W362" s="41"/>
      <c r="X362" s="41"/>
      <c r="Y362" s="41"/>
    </row>
    <row r="363" customFormat="false" ht="11.25" hidden="false" customHeight="false" outlineLevel="0" collapsed="false">
      <c r="A363" s="63" t="s">
        <v>117</v>
      </c>
      <c r="K363" s="27" t="n">
        <f aca="false">K243*$C$375</f>
        <v>423.026074594005</v>
      </c>
      <c r="L363" s="27" t="n">
        <f aca="false">L243*$C$375</f>
        <v>468.193018250408</v>
      </c>
      <c r="M363" s="27" t="n">
        <f aca="false">M243*$C$375</f>
        <v>472.630852042128</v>
      </c>
      <c r="N363" s="27" t="n">
        <f aca="false">N243*$C$375</f>
        <v>474.253153143864</v>
      </c>
      <c r="O363" s="27" t="n">
        <f aca="false">O243*$C$375</f>
        <v>467.822523417545</v>
      </c>
      <c r="P363" s="27" t="n">
        <f aca="false">P243*$C$375</f>
        <v>443.786815245076</v>
      </c>
      <c r="Q363" s="27" t="n">
        <f aca="false">Q243*$C$375</f>
        <v>406.926947052544</v>
      </c>
      <c r="R363" s="27" t="n">
        <f aca="false">R243*$C$375</f>
        <v>354.227789052383</v>
      </c>
      <c r="S363" s="76" t="str">
        <f aca="false">S362</f>
        <v> MtC / ano</v>
      </c>
      <c r="T363" s="13"/>
      <c r="U363" s="41"/>
      <c r="V363" s="41"/>
      <c r="W363" s="41"/>
      <c r="X363" s="41"/>
      <c r="Y363" s="41"/>
    </row>
    <row r="364" customFormat="false" ht="11.25" hidden="false" customHeight="false" outlineLevel="0" collapsed="false">
      <c r="A364" s="63" t="s">
        <v>118</v>
      </c>
      <c r="K364" s="27" t="n">
        <f aca="false">K244*$E$375</f>
        <v>473.508458555039</v>
      </c>
      <c r="L364" s="27" t="n">
        <f aca="false">L244*$E$375</f>
        <v>438.447666018163</v>
      </c>
      <c r="M364" s="27" t="n">
        <f aca="false">M244*$E$375</f>
        <v>410.442050334461</v>
      </c>
      <c r="N364" s="27" t="n">
        <f aca="false">N244*$E$375</f>
        <v>362.575871870264</v>
      </c>
      <c r="O364" s="27" t="n">
        <f aca="false">O244*$E$375</f>
        <v>340.462688948205</v>
      </c>
      <c r="P364" s="27" t="n">
        <f aca="false">P244*$E$375</f>
        <v>327.584316888185</v>
      </c>
      <c r="Q364" s="27" t="n">
        <f aca="false">Q244*$E$375</f>
        <v>302.617560992562</v>
      </c>
      <c r="R364" s="27" t="n">
        <f aca="false">R244*$E$375</f>
        <v>253.041000289067</v>
      </c>
      <c r="S364" s="76" t="str">
        <f aca="false">S363</f>
        <v> MtC / ano</v>
      </c>
      <c r="T364" s="13"/>
      <c r="U364" s="41"/>
      <c r="V364" s="41"/>
      <c r="W364" s="41"/>
      <c r="X364" s="41"/>
      <c r="Y364" s="41"/>
    </row>
    <row r="365" customFormat="false" ht="11.25" hidden="false" customHeight="false" outlineLevel="0" collapsed="false">
      <c r="A365" s="63" t="s">
        <v>119</v>
      </c>
      <c r="K365" s="27" t="n">
        <f aca="false">SUM(K362:K364)</f>
        <v>1587.72617671966</v>
      </c>
      <c r="L365" s="27" t="n">
        <f aca="false">SUM(L362:L364)</f>
        <v>1545.08459056973</v>
      </c>
      <c r="M365" s="27" t="n">
        <f aca="false">SUM(M362:M364)</f>
        <v>1479.60459889273</v>
      </c>
      <c r="N365" s="27" t="n">
        <f aca="false">SUM(N362:N364)</f>
        <v>1380.79139933106</v>
      </c>
      <c r="O365" s="27" t="n">
        <f aca="false">SUM(O362:O364)</f>
        <v>1282.58704449712</v>
      </c>
      <c r="P365" s="27" t="n">
        <f aca="false">SUM(P362:P364)</f>
        <v>1175.07495982547</v>
      </c>
      <c r="Q365" s="27" t="n">
        <f aca="false">SUM(Q362:Q364)</f>
        <v>1045.84718085285</v>
      </c>
      <c r="R365" s="27" t="n">
        <f aca="false">SUM(R362:R364)</f>
        <v>876.173577957944</v>
      </c>
      <c r="S365" s="76" t="str">
        <f aca="false">S364</f>
        <v> MtC / ano</v>
      </c>
      <c r="T365" s="13"/>
      <c r="U365" s="41"/>
      <c r="V365" s="41"/>
      <c r="W365" s="41"/>
      <c r="X365" s="41"/>
      <c r="Y365" s="41"/>
    </row>
    <row r="366" customFormat="false" ht="12.65" hidden="false" customHeight="false" outlineLevel="0" collapsed="false">
      <c r="A366" s="108" t="s">
        <v>7</v>
      </c>
      <c r="S366" s="41"/>
      <c r="T366" s="13"/>
      <c r="U366" s="41"/>
      <c r="V366" s="41"/>
      <c r="W366" s="41"/>
      <c r="X366" s="41"/>
      <c r="Y366" s="41"/>
    </row>
    <row r="367" s="3" customFormat="true" ht="11.25" hidden="false" customHeight="false" outlineLevel="0" collapsed="false">
      <c r="B367" s="24" t="n">
        <v>1970</v>
      </c>
      <c r="C367" s="24" t="n">
        <v>1975</v>
      </c>
      <c r="D367" s="24" t="n">
        <v>1980</v>
      </c>
      <c r="E367" s="24" t="n">
        <v>1985</v>
      </c>
      <c r="F367" s="24" t="n">
        <v>1990</v>
      </c>
      <c r="G367" s="24" t="n">
        <v>1995</v>
      </c>
      <c r="H367" s="24" t="n">
        <v>2000</v>
      </c>
      <c r="I367" s="24" t="n">
        <v>2005</v>
      </c>
      <c r="J367" s="24" t="n">
        <v>2010</v>
      </c>
      <c r="K367" s="24" t="n">
        <v>2015</v>
      </c>
      <c r="L367" s="24" t="n">
        <v>2020</v>
      </c>
      <c r="M367" s="24" t="n">
        <v>2025</v>
      </c>
      <c r="N367" s="24" t="n">
        <v>2030</v>
      </c>
      <c r="O367" s="24" t="n">
        <v>2035</v>
      </c>
      <c r="P367" s="24" t="n">
        <v>2040</v>
      </c>
      <c r="Q367" s="24" t="n">
        <v>2045</v>
      </c>
      <c r="R367" s="24" t="n">
        <v>2050</v>
      </c>
      <c r="S367" s="25" t="s">
        <v>15</v>
      </c>
      <c r="T367" s="13"/>
      <c r="U367" s="41"/>
      <c r="V367" s="41"/>
      <c r="W367" s="41"/>
      <c r="X367" s="41"/>
      <c r="Y367" s="41"/>
    </row>
    <row r="368" s="3" customFormat="true" ht="11.25" hidden="false" customHeight="false" outlineLevel="0" collapsed="false">
      <c r="G368" s="8"/>
      <c r="H368" s="8"/>
      <c r="I368" s="8"/>
      <c r="J368" s="37" t="str">
        <f aca="false">CONCATENATE(A357," Your forecast")</f>
        <v> Emissões de CO2: Sua previsão</v>
      </c>
      <c r="K368" s="84" t="n">
        <f aca="false">K373/12*44</f>
        <v>5821.3276772652</v>
      </c>
      <c r="L368" s="84" t="n">
        <f aca="false">L373/12*44</f>
        <v>5620.75734088386</v>
      </c>
      <c r="M368" s="84" t="n">
        <f aca="false">M373/12*44</f>
        <v>5385.95673799176</v>
      </c>
      <c r="N368" s="84" t="n">
        <f aca="false">N373/12*44</f>
        <v>5032.4659093084</v>
      </c>
      <c r="O368" s="84" t="n">
        <f aca="false">O373/12*44</f>
        <v>4682.71379716934</v>
      </c>
      <c r="P368" s="84" t="n">
        <f aca="false">P373/12*44</f>
        <v>4300.0809135994</v>
      </c>
      <c r="Q368" s="84" t="n">
        <f aca="false">Q373/12*44</f>
        <v>3841.68258536242</v>
      </c>
      <c r="R368" s="84" t="n">
        <f aca="false">R373/12*44</f>
        <v>3238.80806085625</v>
      </c>
      <c r="S368" s="28" t="str">
        <f aca="false">S357</f>
        <v> MtCO2 / ano</v>
      </c>
      <c r="T368" s="13"/>
      <c r="U368" s="41"/>
      <c r="V368" s="41"/>
      <c r="W368" s="41"/>
      <c r="X368" s="41"/>
      <c r="Y368" s="41"/>
    </row>
    <row r="369" s="3" customFormat="true" ht="11.25" hidden="false" customHeight="false" outlineLevel="0" collapsed="false">
      <c r="G369" s="8"/>
      <c r="H369" s="8"/>
      <c r="I369" s="8"/>
      <c r="J369" s="37" t="str">
        <f aca="false">CONCATENATE(A361," Your forecast")</f>
        <v> Intensidade climática Sua previsão</v>
      </c>
      <c r="K369" s="137" t="n">
        <f aca="false">K368/K266</f>
        <v>2.41099820846099</v>
      </c>
      <c r="L369" s="137" t="n">
        <f aca="false">L368/L266</f>
        <v>2.35958175337141</v>
      </c>
      <c r="M369" s="137" t="n">
        <f aca="false">M368/M266</f>
        <v>2.27466818336963</v>
      </c>
      <c r="N369" s="137" t="n">
        <f aca="false">N368/N266</f>
        <v>2.1810300646454</v>
      </c>
      <c r="O369" s="137" t="n">
        <f aca="false">O368/O266</f>
        <v>2.08658898400396</v>
      </c>
      <c r="P369" s="137" t="n">
        <f aca="false">P368/P266</f>
        <v>1.99055233414075</v>
      </c>
      <c r="Q369" s="137" t="n">
        <f aca="false">Q368/Q266</f>
        <v>1.85483078172244</v>
      </c>
      <c r="R369" s="137" t="n">
        <f aca="false">R368/R266</f>
        <v>1.66037966008237</v>
      </c>
      <c r="S369" s="28" t="str">
        <f aca="false">S361</f>
        <v> tCO2 / dedo do pé</v>
      </c>
      <c r="T369" s="13"/>
      <c r="U369" s="41"/>
      <c r="V369" s="41"/>
      <c r="W369" s="41"/>
      <c r="X369" s="41"/>
      <c r="Y369" s="41"/>
    </row>
    <row r="370" s="3" customFormat="true" ht="11.25" hidden="false" customHeight="false" outlineLevel="0" collapsed="false">
      <c r="G370" s="8"/>
      <c r="H370" s="8"/>
      <c r="I370" s="8"/>
      <c r="J370" s="37" t="str">
        <f aca="false">CONCATENATE(A362," Your forecast")</f>
        <v> Emissões de CO2 provenientes do petróleo: Sua previsão</v>
      </c>
      <c r="K370" s="84" t="n">
        <f aca="false">K261*$D$375</f>
        <v>691.151873324992</v>
      </c>
      <c r="L370" s="84" t="n">
        <f aca="false">L261*$D$375</f>
        <v>612.555795530782</v>
      </c>
      <c r="M370" s="84" t="n">
        <f aca="false">M261*$D$375</f>
        <v>571.976791910768</v>
      </c>
      <c r="N370" s="84" t="n">
        <f aca="false">N261*$D$375</f>
        <v>521.421690538417</v>
      </c>
      <c r="O370" s="84" t="n">
        <f aca="false">O261*$D$375</f>
        <v>454.680112471978</v>
      </c>
      <c r="P370" s="84" t="n">
        <f aca="false">P261*$D$375</f>
        <v>387.170954830833</v>
      </c>
      <c r="Q370" s="84" t="n">
        <f aca="false">Q261*$D$375</f>
        <v>322.789267302091</v>
      </c>
      <c r="R370" s="84" t="n">
        <f aca="false">R261*$D$375</f>
        <v>258.403644355747</v>
      </c>
      <c r="S370" s="76" t="s">
        <v>116</v>
      </c>
      <c r="T370" s="13"/>
      <c r="U370" s="41"/>
      <c r="V370" s="41"/>
      <c r="W370" s="41"/>
      <c r="X370" s="41"/>
      <c r="Y370" s="41"/>
    </row>
    <row r="371" s="3" customFormat="true" ht="11.25" hidden="false" customHeight="false" outlineLevel="0" collapsed="false">
      <c r="G371" s="8"/>
      <c r="H371" s="8"/>
      <c r="I371" s="8"/>
      <c r="J371" s="37" t="str">
        <f aca="false">CONCATENATE(A363," Your forecast")</f>
        <v> Emissões de CO2 provenientes do gás: Sua previsão</v>
      </c>
      <c r="K371" s="84" t="n">
        <f aca="false">K262*$C$375</f>
        <v>423.001734237684</v>
      </c>
      <c r="L371" s="84" t="n">
        <f aca="false">L262*$C$375</f>
        <v>449.208370423465</v>
      </c>
      <c r="M371" s="84" t="n">
        <f aca="false">M262*$C$375</f>
        <v>453.17605097585</v>
      </c>
      <c r="N371" s="84" t="n">
        <f aca="false">N262*$C$375</f>
        <v>454.601076344608</v>
      </c>
      <c r="O371" s="84" t="n">
        <f aca="false">O262*$C$375</f>
        <v>448.468850749661</v>
      </c>
      <c r="P371" s="84" t="n">
        <f aca="false">P262*$C$375</f>
        <v>425.612424786742</v>
      </c>
      <c r="Q371" s="84" t="n">
        <f aca="false">Q262*$C$375</f>
        <v>390.57569774255</v>
      </c>
      <c r="R371" s="84" t="n">
        <f aca="false">R262*$C$375</f>
        <v>340.394650813592</v>
      </c>
      <c r="S371" s="76" t="str">
        <f aca="false">S370</f>
        <v> MtC / ano</v>
      </c>
      <c r="T371" s="13"/>
      <c r="V371" s="41"/>
      <c r="W371" s="41"/>
      <c r="X371" s="41"/>
      <c r="Y371" s="41"/>
    </row>
    <row r="372" s="3" customFormat="true" ht="11.25" hidden="false" customHeight="false" outlineLevel="0" collapsed="false">
      <c r="G372" s="8"/>
      <c r="H372" s="8"/>
      <c r="I372" s="8"/>
      <c r="J372" s="37" t="str">
        <f aca="false">CONCATENATE(A364," Your forecast")</f>
        <v> Emissões de CO2 provenientes do carvão: Sua previsão</v>
      </c>
      <c r="K372" s="84" t="n">
        <f aca="false">K263*$E$375</f>
        <v>473.481213509651</v>
      </c>
      <c r="L372" s="84" t="n">
        <f aca="false">L263*$E$375</f>
        <v>471.169654286807</v>
      </c>
      <c r="M372" s="84" t="n">
        <f aca="false">M263*$E$375</f>
        <v>443.744449292954</v>
      </c>
      <c r="N372" s="84" t="n">
        <f aca="false">N263*$E$375</f>
        <v>396.467935655628</v>
      </c>
      <c r="O372" s="84" t="n">
        <f aca="false">O263*$E$375</f>
        <v>373.954799642727</v>
      </c>
      <c r="P372" s="84" t="n">
        <f aca="false">P263*$E$375</f>
        <v>359.965960454989</v>
      </c>
      <c r="Q372" s="84" t="n">
        <f aca="false">Q263*$E$375</f>
        <v>334.36664914511</v>
      </c>
      <c r="R372" s="84" t="n">
        <f aca="false">R263*$E$375</f>
        <v>284.512994155092</v>
      </c>
      <c r="S372" s="76" t="str">
        <f aca="false">S371</f>
        <v> MtC / ano</v>
      </c>
      <c r="T372" s="13"/>
      <c r="V372" s="41"/>
      <c r="W372" s="41"/>
      <c r="X372" s="41"/>
      <c r="Y372" s="41"/>
    </row>
    <row r="373" s="3" customFormat="true" ht="11.25" hidden="false" customHeight="false" outlineLevel="0" collapsed="false">
      <c r="F373" s="8"/>
      <c r="G373" s="8"/>
      <c r="H373" s="8"/>
      <c r="I373" s="8"/>
      <c r="J373" s="37" t="str">
        <f aca="false">CONCATENATE(A365," Your forecast")</f>
        <v> Emissões de CO2 provenientes de carvão, petróleo e gás: sua previsão</v>
      </c>
      <c r="K373" s="84" t="n">
        <f aca="false">SUM(K370:K372)</f>
        <v>1587.63482107233</v>
      </c>
      <c r="L373" s="84" t="n">
        <f aca="false">SUM(L370:L372)</f>
        <v>1532.93382024105</v>
      </c>
      <c r="M373" s="84" t="n">
        <f aca="false">SUM(M370:M372)</f>
        <v>1468.89729217957</v>
      </c>
      <c r="N373" s="84" t="n">
        <f aca="false">SUM(N370:N372)</f>
        <v>1372.49070253865</v>
      </c>
      <c r="O373" s="84" t="n">
        <f aca="false">SUM(O370:O372)</f>
        <v>1277.10376286437</v>
      </c>
      <c r="P373" s="84" t="n">
        <f aca="false">SUM(P370:P372)</f>
        <v>1172.74934007256</v>
      </c>
      <c r="Q373" s="84" t="n">
        <f aca="false">SUM(Q370:Q372)</f>
        <v>1047.73161418975</v>
      </c>
      <c r="R373" s="84" t="n">
        <f aca="false">SUM(R370:R372)</f>
        <v>883.311289324431</v>
      </c>
      <c r="S373" s="76" t="str">
        <f aca="false">S372</f>
        <v> MtC / ano</v>
      </c>
      <c r="T373" s="13"/>
      <c r="X373" s="15" t="s">
        <v>33</v>
      </c>
    </row>
    <row r="374" customFormat="false" ht="11.25" hidden="false" customHeight="false" outlineLevel="0" collapsed="false">
      <c r="C374" s="15" t="s">
        <v>120</v>
      </c>
      <c r="D374" s="15" t="s">
        <v>121</v>
      </c>
      <c r="E374" s="15" t="s">
        <v>122</v>
      </c>
      <c r="S374" s="41"/>
      <c r="T374" s="13"/>
      <c r="V374" s="3" t="s">
        <v>35</v>
      </c>
    </row>
    <row r="375" customFormat="false" ht="28.3" hidden="false" customHeight="false" outlineLevel="0" collapsed="false">
      <c r="B375" s="15" t="s">
        <v>123</v>
      </c>
      <c r="C375" s="32" t="n">
        <v>0.574403596153046</v>
      </c>
      <c r="D375" s="32" t="n">
        <v>0.795144080881188</v>
      </c>
      <c r="E375" s="32" t="n">
        <v>1.06</v>
      </c>
      <c r="F375" s="3" t="s">
        <v>124</v>
      </c>
      <c r="H375" s="3" t="s">
        <v>125</v>
      </c>
      <c r="S375" s="41"/>
      <c r="T375" s="13"/>
      <c r="U375" s="55" t="str">
        <f aca="false">U27</f>
        <v>Para o gráfico à esquerda, nomes das variáveis (unidade)</v>
      </c>
      <c r="V375" s="54" t="s">
        <v>38</v>
      </c>
      <c r="W375" s="54" t="s">
        <v>39</v>
      </c>
      <c r="X375" s="55"/>
      <c r="Y375" s="55"/>
    </row>
    <row r="376" s="3" customFormat="true" ht="11.25" hidden="false" customHeight="false" outlineLevel="0" collapsed="false">
      <c r="T376" s="13"/>
      <c r="U376" s="15" t="str">
        <f aca="false">AA381</f>
        <v> Emissões de CO2 (0 - 12 MtCO2 / ano)</v>
      </c>
      <c r="V376" s="25" t="n">
        <v>12000</v>
      </c>
      <c r="W376" s="70" t="n">
        <f aca="false">W380</f>
        <v>12000</v>
      </c>
    </row>
    <row r="377" s="3" customFormat="true" ht="11.25" hidden="false" customHeight="false" outlineLevel="0" collapsed="false">
      <c r="T377" s="13"/>
      <c r="U377" s="15" t="str">
        <f aca="false">AA382</f>
        <v> Consumo de energia (0 - 3 Mtoe / ano)</v>
      </c>
      <c r="V377" s="25" t="n">
        <v>3000</v>
      </c>
      <c r="W377" s="70" t="n">
        <f aca="false">W381</f>
        <v>3000</v>
      </c>
    </row>
    <row r="378" s="3" customFormat="true" ht="11.25" hidden="false" customHeight="false" outlineLevel="0" collapsed="false">
      <c r="T378" s="13"/>
      <c r="U378" s="15" t="str">
        <f aca="false">AA383</f>
        <v> Intensidade climática (0 - 6 tCO2 / toe)</v>
      </c>
      <c r="V378" s="25" t="n">
        <v>6</v>
      </c>
      <c r="W378" s="70" t="n">
        <f aca="false">W382</f>
        <v>6</v>
      </c>
    </row>
    <row r="379" s="3" customFormat="true" ht="11.25" hidden="false" customHeight="false" outlineLevel="0" collapsed="false">
      <c r="T379" s="13"/>
      <c r="U379" s="15" t="str">
        <f aca="false">AA384</f>
        <v> Fração renovável (0 - 40%)</v>
      </c>
      <c r="V379" s="25" t="n">
        <v>40</v>
      </c>
      <c r="W379" s="70" t="n">
        <f aca="false">W383</f>
        <v>40</v>
      </c>
      <c r="AA379" s="52" t="s">
        <v>36</v>
      </c>
    </row>
    <row r="380" s="3" customFormat="true" ht="15" hidden="false" customHeight="false" outlineLevel="0" collapsed="false">
      <c r="T380" s="13"/>
      <c r="U380" s="37" t="str">
        <f aca="false">AA386</f>
        <v> Emissões de CO2 (0 - 12 MtCO2/ano), sua previsão</v>
      </c>
      <c r="W380" s="4" t="n">
        <v>12000</v>
      </c>
      <c r="AA380" s="16"/>
      <c r="AB380" s="24" t="n">
        <v>1970</v>
      </c>
      <c r="AC380" s="24" t="n">
        <v>1975</v>
      </c>
      <c r="AD380" s="24" t="n">
        <v>1980</v>
      </c>
      <c r="AE380" s="24" t="n">
        <v>1985</v>
      </c>
      <c r="AF380" s="24" t="n">
        <v>1990</v>
      </c>
      <c r="AG380" s="24" t="n">
        <v>1995</v>
      </c>
      <c r="AH380" s="24" t="n">
        <v>2000</v>
      </c>
      <c r="AI380" s="24" t="n">
        <v>2005</v>
      </c>
      <c r="AJ380" s="24" t="n">
        <v>2010</v>
      </c>
      <c r="AK380" s="24" t="n">
        <v>2015</v>
      </c>
      <c r="AL380" s="24" t="n">
        <v>2020</v>
      </c>
      <c r="AM380" s="24" t="n">
        <v>2025</v>
      </c>
      <c r="AN380" s="24" t="n">
        <v>2030</v>
      </c>
      <c r="AO380" s="24" t="n">
        <v>2035</v>
      </c>
      <c r="AP380" s="24" t="n">
        <v>2040</v>
      </c>
      <c r="AQ380" s="24" t="n">
        <v>2045</v>
      </c>
      <c r="AR380" s="24" t="n">
        <v>2050</v>
      </c>
    </row>
    <row r="381" s="3" customFormat="true" ht="11.25" hidden="false" customHeight="false" outlineLevel="0" collapsed="false">
      <c r="T381" s="13"/>
      <c r="U381" s="37" t="str">
        <f aca="false">AA387</f>
        <v> Consumo de energia (0 - 3 Mtoe/ano), sua previsão</v>
      </c>
      <c r="W381" s="4" t="n">
        <v>3000</v>
      </c>
      <c r="AA381" s="29" t="str">
        <f aca="false">CONCATENATE(A357," (0 - ",W376/1000," MtCO2 / yr)")</f>
        <v> Emissões de CO2 (0 - 12 MtCO2 / ano)</v>
      </c>
      <c r="AB381" s="57" t="n">
        <f aca="false">B357/$W376</f>
        <v>0.36070925</v>
      </c>
      <c r="AC381" s="57" t="n">
        <f aca="false">C357/$W376</f>
        <v>0.36716075</v>
      </c>
      <c r="AD381" s="57" t="n">
        <f aca="false">D357/$W376</f>
        <v>0.393395138888889</v>
      </c>
      <c r="AE381" s="57" t="n">
        <f aca="false">E357/$W376</f>
        <v>0.37383775</v>
      </c>
      <c r="AF381" s="57" t="n">
        <f aca="false">F357/$W376</f>
        <v>0.406577722222222</v>
      </c>
      <c r="AG381" s="57" t="n">
        <f aca="false">G357/$W376</f>
        <v>0.436457694444444</v>
      </c>
      <c r="AH381" s="57" t="n">
        <f aca="false">H357/$W376</f>
        <v>0.476077555555556</v>
      </c>
      <c r="AI381" s="57" t="n">
        <f aca="false">I357/$W376</f>
        <v>0.485488666666667</v>
      </c>
      <c r="AJ381" s="57" t="n">
        <f aca="false">J357/$W376</f>
        <v>0.472664805555556</v>
      </c>
      <c r="AK381" s="57" t="n">
        <f aca="false">K357/$W376</f>
        <v>0.485138553997673</v>
      </c>
      <c r="AL381" s="57" t="n">
        <f aca="false">L357/$W376</f>
        <v>0.472109180451863</v>
      </c>
      <c r="AM381" s="57" t="n">
        <f aca="false">M357/$W376</f>
        <v>0.452101405217223</v>
      </c>
      <c r="AN381" s="57" t="n">
        <f aca="false">N357/$W376</f>
        <v>0.421908483128936</v>
      </c>
      <c r="AO381" s="57" t="n">
        <f aca="false">O357/$W376</f>
        <v>0.391901596929675</v>
      </c>
      <c r="AP381" s="57" t="n">
        <f aca="false">P357/$W376</f>
        <v>0.359050682168894</v>
      </c>
      <c r="AQ381" s="57" t="n">
        <f aca="false">Q357/$W376</f>
        <v>0.319564416371703</v>
      </c>
      <c r="AR381" s="57" t="n">
        <f aca="false">R357/$W376</f>
        <v>0.267719704376038</v>
      </c>
    </row>
    <row r="382" s="3" customFormat="true" ht="11.25" hidden="false" customHeight="false" outlineLevel="0" collapsed="false">
      <c r="T382" s="13"/>
      <c r="U382" s="37" t="str">
        <f aca="false">AA388</f>
        <v> Intensidade climática (0 - 6 tCO2/tep), Sua previsão</v>
      </c>
      <c r="W382" s="4" t="n">
        <v>6</v>
      </c>
      <c r="AA382" s="29" t="str">
        <f aca="false">CONCATENATE(A358," (0 - ",W377/1000," Mtoe / yr)")</f>
        <v> Consumo de energia (0 - 3 Mtoe / ano)</v>
      </c>
      <c r="AB382" s="57" t="n">
        <f aca="false">B358/$W377</f>
        <v>0.542495558960418</v>
      </c>
      <c r="AC382" s="57" t="n">
        <f aca="false">C358/$W377</f>
        <v>0.572231499888092</v>
      </c>
      <c r="AD382" s="57" t="n">
        <f aca="false">D358/$W377</f>
        <v>0.603779648623125</v>
      </c>
      <c r="AE382" s="57" t="n">
        <f aca="false">E358/$W377</f>
        <v>0.584634878816934</v>
      </c>
      <c r="AF382" s="57" t="n">
        <f aca="false">F358/$W377</f>
        <v>0.656131251159394</v>
      </c>
      <c r="AG382" s="57" t="n">
        <f aca="false">G358/$W377</f>
        <v>0.707299952416366</v>
      </c>
      <c r="AH382" s="57" t="n">
        <f aca="false">H358/$W377</f>
        <v>0.772233515720284</v>
      </c>
      <c r="AI382" s="57" t="n">
        <f aca="false">I358/$W377</f>
        <v>0.78621900838431</v>
      </c>
      <c r="AJ382" s="57" t="n">
        <f aca="false">J358/$W377</f>
        <v>0.770334798770095</v>
      </c>
      <c r="AK382" s="57" t="n">
        <f aca="false">K358/$W377</f>
        <v>0.804875843200814</v>
      </c>
      <c r="AL382" s="57" t="n">
        <f aca="false">L358/$W377</f>
        <v>0.811038967847138</v>
      </c>
      <c r="AM382" s="57" t="n">
        <f aca="false">M358/$W377</f>
        <v>0.80668641968251</v>
      </c>
      <c r="AN382" s="57" t="n">
        <f aca="false">N358/$W377</f>
        <v>0.786328067382919</v>
      </c>
      <c r="AO382" s="57" t="n">
        <f aca="false">O358/$W377</f>
        <v>0.764740990449698</v>
      </c>
      <c r="AP382" s="57" t="n">
        <f aca="false">P358/$W377</f>
        <v>0.735813829488285</v>
      </c>
      <c r="AQ382" s="57" t="n">
        <f aca="false">Q358/$W377</f>
        <v>0.704909296511907</v>
      </c>
      <c r="AR382" s="57" t="n">
        <f aca="false">R358/$W377</f>
        <v>0.663105346669462</v>
      </c>
    </row>
    <row r="383" s="3" customFormat="true" ht="11.25" hidden="false" customHeight="false" outlineLevel="0" collapsed="false">
      <c r="T383" s="13"/>
      <c r="U383" s="37" t="str">
        <f aca="false">AA389</f>
        <v> Fração renovável (0 - 40%), Sua previsão</v>
      </c>
      <c r="W383" s="4" t="n">
        <v>40</v>
      </c>
      <c r="AA383" s="29" t="str">
        <f aca="false">CONCATENATE(A361," (0 - ",W378,"  tCO2 / toe)")</f>
        <v> Intensidade climática (0 - 6 tCO2 / toe)</v>
      </c>
      <c r="AB383" s="57" t="n">
        <f aca="false">B361/$W378</f>
        <v>0.443271524275979</v>
      </c>
      <c r="AC383" s="57" t="n">
        <f aca="false">C361/$W378</f>
        <v>0.427753161755692</v>
      </c>
      <c r="AD383" s="57" t="n">
        <f aca="false">D361/$W378</f>
        <v>0.434369436803639</v>
      </c>
      <c r="AE383" s="57" t="n">
        <f aca="false">E361/$W378</f>
        <v>0.426291991286935</v>
      </c>
      <c r="AF383" s="57" t="n">
        <f aca="false">F361/$W378</f>
        <v>0.413106088661167</v>
      </c>
      <c r="AG383" s="57" t="n">
        <f aca="false">G361/$W378</f>
        <v>0.411383876532498</v>
      </c>
      <c r="AH383" s="57" t="n">
        <f aca="false">H361/$W378</f>
        <v>0.41099619554974</v>
      </c>
      <c r="AI383" s="57" t="n">
        <f aca="false">I361/$W378</f>
        <v>0.411665334543659</v>
      </c>
      <c r="AJ383" s="57" t="n">
        <f aca="false">J361/$W378</f>
        <v>0.409055738976702</v>
      </c>
      <c r="AK383" s="57" t="n">
        <f aca="false">K361/$W378</f>
        <v>0.401833034743498</v>
      </c>
      <c r="AL383" s="57" t="n">
        <f aca="false">L361/$W378</f>
        <v>0.388069459190149</v>
      </c>
      <c r="AM383" s="57" t="n">
        <f aca="false">M361/$W378</f>
        <v>0.373628375856513</v>
      </c>
      <c r="AN383" s="57" t="n">
        <f aca="false">N361/$W378</f>
        <v>0.357703525733345</v>
      </c>
      <c r="AO383" s="57" t="n">
        <f aca="false">O361/$W378</f>
        <v>0.341642117460991</v>
      </c>
      <c r="AP383" s="57" t="n">
        <f aca="false">P361/$W378</f>
        <v>0.325309353878813</v>
      </c>
      <c r="AQ383" s="57" t="n">
        <f aca="false">Q361/$W378</f>
        <v>0.302227457209033</v>
      </c>
      <c r="AR383" s="57" t="n">
        <f aca="false">R361/$W378</f>
        <v>0.269157538562761</v>
      </c>
    </row>
    <row r="384" s="3" customFormat="true" ht="11.25" hidden="false" customHeight="false" outlineLevel="0" collapsed="false">
      <c r="T384" s="13"/>
      <c r="AA384" s="29" t="str">
        <f aca="false">CONCATENATE(A360," (0 - ",W379," %)")</f>
        <v> Fração renovável (0 - 40%)</v>
      </c>
      <c r="AB384" s="57" t="n">
        <f aca="false">B360/$W379</f>
        <v>0.0881096294520453</v>
      </c>
      <c r="AC384" s="57" t="n">
        <f aca="false">C360/$W379</f>
        <v>0.10090445880759</v>
      </c>
      <c r="AD384" s="57" t="n">
        <f aca="false">D360/$W379</f>
        <v>0.0880702424253366</v>
      </c>
      <c r="AE384" s="57" t="n">
        <f aca="false">E360/$W379</f>
        <v>0.0926252065527161</v>
      </c>
      <c r="AF384" s="57" t="n">
        <f aca="false">F360/$W379</f>
        <v>0.103337530378301</v>
      </c>
      <c r="AG384" s="57" t="n">
        <f aca="false">G360/$W379</f>
        <v>0.102830184459654</v>
      </c>
      <c r="AH384" s="57" t="n">
        <f aca="false">H360/$W379</f>
        <v>0.0902794257016216</v>
      </c>
      <c r="AI384" s="57" t="n">
        <f aca="false">I360/$W379</f>
        <v>0.0952733267782849</v>
      </c>
      <c r="AJ384" s="57" t="n">
        <f aca="false">J360/$W379</f>
        <v>0.133306188710747</v>
      </c>
      <c r="AK384" s="57" t="n">
        <f aca="false">K360/$W379</f>
        <v>0.175</v>
      </c>
      <c r="AL384" s="57" t="n">
        <f aca="false">L360/$W379</f>
        <v>0.225</v>
      </c>
      <c r="AM384" s="57" t="n">
        <f aca="false">M360/$W379</f>
        <v>0.3</v>
      </c>
      <c r="AN384" s="57" t="n">
        <f aca="false">N360/$W379</f>
        <v>0.375</v>
      </c>
      <c r="AO384" s="57" t="n">
        <f aca="false">O360/$W379</f>
        <v>0.475</v>
      </c>
      <c r="AP384" s="57" t="n">
        <f aca="false">P360/$W379</f>
        <v>0.575</v>
      </c>
      <c r="AQ384" s="57" t="n">
        <f aca="false">Q360/$W379</f>
        <v>0.725</v>
      </c>
      <c r="AR384" s="57" t="n">
        <f aca="false">R360/$W379</f>
        <v>0.925</v>
      </c>
    </row>
    <row r="385" s="3" customFormat="true" ht="11.25" hidden="false" customHeight="false" outlineLevel="0" collapsed="false">
      <c r="T385" s="13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="3" customFormat="true" ht="11.25" hidden="false" customHeight="false" outlineLevel="0" collapsed="false">
      <c r="T386" s="13"/>
      <c r="AA386" s="29" t="str">
        <f aca="false">CONCATENATE(A357," (0 - ",W380/1000," MtCO2 / yr), Your forecast")</f>
        <v> Emissões de CO2 (0 - 12 MtCO2/ano), sua previsão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57" t="n">
        <f aca="false">K368/$W380</f>
        <v>0.4851106397721</v>
      </c>
      <c r="AL386" s="57" t="n">
        <f aca="false">L368/$W380</f>
        <v>0.468396445073655</v>
      </c>
      <c r="AM386" s="57" t="n">
        <f aca="false">M368/$W380</f>
        <v>0.44882972816598</v>
      </c>
      <c r="AN386" s="57" t="n">
        <f aca="false">N368/$W380</f>
        <v>0.419372159109033</v>
      </c>
      <c r="AO386" s="57" t="n">
        <f aca="false">O368/$W380</f>
        <v>0.390226149764112</v>
      </c>
      <c r="AP386" s="57" t="n">
        <f aca="false">P368/$W380</f>
        <v>0.358340076133284</v>
      </c>
      <c r="AQ386" s="57" t="n">
        <f aca="false">Q368/$W380</f>
        <v>0.320140215446868</v>
      </c>
      <c r="AR386" s="57" t="n">
        <f aca="false">R368/$W380</f>
        <v>0.26990067173802</v>
      </c>
    </row>
    <row r="387" s="3" customFormat="true" ht="11.25" hidden="false" customHeight="false" outlineLevel="0" collapsed="false">
      <c r="T387" s="13"/>
      <c r="AA387" s="29" t="str">
        <f aca="false">CONCATENATE(A358," (0 - ",W381/1000," Mtoe / yr), Your forecast")</f>
        <v> Consumo de energia (0 - 3 Mtoe/ano), sua previsão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57" t="n">
        <f aca="false">K266/$W381</f>
        <v>0.804829531717919</v>
      </c>
      <c r="AL387" s="57" t="n">
        <f aca="false">L266/$W381</f>
        <v>0.794033000813644</v>
      </c>
      <c r="AM387" s="57" t="n">
        <f aca="false">M266/$W381</f>
        <v>0.789266287623711</v>
      </c>
      <c r="AN387" s="57" t="n">
        <f aca="false">N266/$W381</f>
        <v>0.769126782628217</v>
      </c>
      <c r="AO387" s="57" t="n">
        <f aca="false">O266/$W381</f>
        <v>0.748065196846398</v>
      </c>
      <c r="AP387" s="57" t="n">
        <f aca="false">P266/$W381</f>
        <v>0.720081697903142</v>
      </c>
      <c r="AQ387" s="57" t="n">
        <f aca="false">Q266/$W381</f>
        <v>0.690392285057028</v>
      </c>
      <c r="AR387" s="57" t="n">
        <f aca="false">R266/$W381</f>
        <v>0.650214353323578</v>
      </c>
    </row>
    <row r="388" s="3" customFormat="true" ht="11.25" hidden="false" customHeight="false" outlineLevel="0" collapsed="false">
      <c r="S388" s="41"/>
      <c r="T388" s="13"/>
      <c r="U388" s="41"/>
      <c r="AA388" s="29" t="str">
        <f aca="false">CONCATENATE(A361," (0 - ",W382," tCO2 / toe), Your forecast")</f>
        <v> Intensidade climática (0 - 6 tCO2/tep), Sua previsão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57" t="n">
        <f aca="false">K369/$W382</f>
        <v>0.401833034743498</v>
      </c>
      <c r="AL388" s="57" t="n">
        <f aca="false">L369/$W382</f>
        <v>0.393263625561902</v>
      </c>
      <c r="AM388" s="57" t="n">
        <f aca="false">M369/$W382</f>
        <v>0.379111363894939</v>
      </c>
      <c r="AN388" s="57" t="n">
        <f aca="false">N369/$W382</f>
        <v>0.363505010774234</v>
      </c>
      <c r="AO388" s="57" t="n">
        <f aca="false">O369/$W382</f>
        <v>0.347764830667327</v>
      </c>
      <c r="AP388" s="57" t="n">
        <f aca="false">P369/$W382</f>
        <v>0.331758722356792</v>
      </c>
      <c r="AQ388" s="57" t="n">
        <f aca="false">Q369/$W382</f>
        <v>0.309138463620408</v>
      </c>
      <c r="AR388" s="57" t="n">
        <f aca="false">R369/$W382</f>
        <v>0.276729943347062</v>
      </c>
    </row>
    <row r="389" s="3" customFormat="true" ht="11.25" hidden="false" customHeight="false" outlineLevel="0" collapsed="false">
      <c r="S389" s="41"/>
      <c r="T389" s="13"/>
      <c r="U389" s="41"/>
      <c r="AA389" s="29" t="str">
        <f aca="false">CONCATENATE(A360," (0 - ",W383," %), Your forecast")</f>
        <v> Fração renovável (0 - 40%), Sua previsão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57" t="n">
        <f aca="false">K271/$W383</f>
        <v>0.175</v>
      </c>
      <c r="AL389" s="57" t="n">
        <f aca="false">L271/$W383</f>
        <v>0.2205</v>
      </c>
      <c r="AM389" s="57" t="n">
        <f aca="false">M271/$W383</f>
        <v>0.294</v>
      </c>
      <c r="AN389" s="57" t="n">
        <f aca="false">N271/$W383</f>
        <v>0.3675</v>
      </c>
      <c r="AO389" s="57" t="n">
        <f aca="false">O271/$W383</f>
        <v>0.4655</v>
      </c>
      <c r="AP389" s="57" t="n">
        <f aca="false">P271/$W383</f>
        <v>0.5635</v>
      </c>
      <c r="AQ389" s="57" t="n">
        <f aca="false">Q271/$W383</f>
        <v>0.7105</v>
      </c>
      <c r="AR389" s="57" t="n">
        <f aca="false">R271/$W383</f>
        <v>0.9065</v>
      </c>
    </row>
    <row r="390" s="3" customFormat="true" ht="11.25" hidden="false" customHeight="false" outlineLevel="0" collapsed="false">
      <c r="S390" s="41"/>
      <c r="T390" s="13"/>
      <c r="U390" s="41"/>
    </row>
    <row r="391" s="3" customFormat="true" ht="11.25" hidden="false" customHeight="false" outlineLevel="0" collapsed="false">
      <c r="S391" s="41"/>
      <c r="T391" s="13"/>
      <c r="U391" s="41"/>
    </row>
    <row r="392" customFormat="false" ht="11.25" hidden="false" customHeight="false" outlineLevel="0" collapsed="false">
      <c r="S392" s="41"/>
      <c r="T392" s="13"/>
      <c r="U392" s="41"/>
    </row>
    <row r="393" customFormat="false" ht="11.25" hidden="false" customHeight="false" outlineLevel="0" collapsed="false">
      <c r="K393" s="36"/>
      <c r="T393" s="13"/>
    </row>
    <row r="394" customFormat="false" ht="11.25" hidden="false" customHeight="false" outlineLevel="0" collapsed="false">
      <c r="T394" s="13"/>
    </row>
    <row r="395" customFormat="false" ht="11.25" hidden="false" customHeight="false" outlineLevel="0" collapsed="false">
      <c r="T395" s="13"/>
    </row>
    <row r="396" customFormat="false" ht="11.25" hidden="false" customHeight="false" outlineLevel="0" collapsed="false">
      <c r="T396" s="13"/>
    </row>
    <row r="397" customFormat="false" ht="11.25" hidden="false" customHeight="false" outlineLevel="0" collapsed="false">
      <c r="T397" s="13"/>
    </row>
    <row r="398" s="35" customFormat="true" ht="13.8" hidden="false" customHeight="false" outlineLevel="0" collapsed="false">
      <c r="A398" s="73"/>
      <c r="T398" s="13"/>
    </row>
    <row r="399" s="35" customFormat="true" ht="13.8" hidden="false" customHeight="false" outlineLevel="0" collapsed="false">
      <c r="A399" s="73"/>
      <c r="T399" s="13"/>
    </row>
    <row r="400" customFormat="false" ht="11.25" hidden="false" customHeight="false" outlineLevel="0" collapsed="false">
      <c r="T400" s="13"/>
    </row>
    <row r="401" customFormat="false" ht="11.25" hidden="false" customHeight="false" outlineLevel="0" collapsed="false">
      <c r="T401" s="13"/>
    </row>
    <row r="402" customFormat="false" ht="11.25" hidden="false" customHeight="false" outlineLevel="0" collapsed="false">
      <c r="T402" s="13"/>
    </row>
    <row r="403" customFormat="false" ht="11.25" hidden="false" customHeight="false" outlineLevel="0" collapsed="false">
      <c r="T403" s="13"/>
    </row>
    <row r="404" customFormat="false" ht="12.65" hidden="false" customHeight="false" outlineLevel="0" collapsed="false">
      <c r="A404" s="61" t="s">
        <v>126</v>
      </c>
      <c r="T404" s="13"/>
    </row>
    <row r="405" customFormat="false" ht="12.65" hidden="false" customHeight="false" outlineLevel="0" collapsed="false">
      <c r="A405" s="23" t="str">
        <f aca="false">CONCATENATE(A404,". Climate Change - ",A5," 1970 to 2050")</f>
        <v> Gráfico 10. Mudanças Climáticas - EUA, 1970 a 2050</v>
      </c>
      <c r="D405" s="51" t="s">
        <v>127</v>
      </c>
      <c r="T405" s="13"/>
    </row>
    <row r="406" customFormat="false" ht="12.65" hidden="false" customHeight="false" outlineLevel="0" collapsed="false">
      <c r="A406" s="23"/>
      <c r="D406" s="51"/>
      <c r="T406" s="13"/>
    </row>
    <row r="407" customFormat="false" ht="12.65" hidden="false" customHeight="false" outlineLevel="0" collapsed="false">
      <c r="A407" s="23"/>
      <c r="D407" s="51"/>
      <c r="T407" s="13"/>
    </row>
    <row r="408" customFormat="false" ht="12.65" hidden="false" customHeight="false" outlineLevel="0" collapsed="false">
      <c r="A408" s="23"/>
      <c r="D408" s="51"/>
      <c r="T408" s="13"/>
    </row>
    <row r="409" customFormat="false" ht="12.65" hidden="false" customHeight="false" outlineLevel="0" collapsed="false">
      <c r="A409" s="61" t="s">
        <v>128</v>
      </c>
      <c r="T409" s="13"/>
    </row>
    <row r="410" customFormat="false" ht="12.65" hidden="false" customHeight="false" outlineLevel="0" collapsed="false">
      <c r="A410" s="23" t="str">
        <f aca="false">CONCATENATE(A409,". Food Production - ",A5," 1970 to 2050")</f>
        <v> Gráfico 11. Produção de Alimentos - EUA, 1970 a 2050</v>
      </c>
      <c r="T410" s="13"/>
    </row>
    <row r="411" customFormat="false" ht="13.8" hidden="false" customHeight="false" outlineLevel="0" collapsed="false">
      <c r="B411" s="24" t="n">
        <v>1970</v>
      </c>
      <c r="C411" s="24" t="n">
        <v>1975</v>
      </c>
      <c r="D411" s="24" t="n">
        <v>1980</v>
      </c>
      <c r="E411" s="24" t="n">
        <v>1985</v>
      </c>
      <c r="F411" s="24" t="n">
        <v>1990</v>
      </c>
      <c r="G411" s="24" t="n">
        <v>1995</v>
      </c>
      <c r="H411" s="24" t="n">
        <v>2000</v>
      </c>
      <c r="I411" s="24" t="n">
        <v>2005</v>
      </c>
      <c r="J411" s="24" t="n">
        <v>2010</v>
      </c>
      <c r="K411" s="24" t="n">
        <v>2015</v>
      </c>
      <c r="L411" s="24" t="n">
        <v>2020</v>
      </c>
      <c r="M411" s="24" t="n">
        <v>2025</v>
      </c>
      <c r="N411" s="24" t="n">
        <v>2030</v>
      </c>
      <c r="O411" s="24" t="n">
        <v>2035</v>
      </c>
      <c r="P411" s="24" t="n">
        <v>2040</v>
      </c>
      <c r="Q411" s="24" t="n">
        <v>2045</v>
      </c>
      <c r="R411" s="24" t="n">
        <v>2050</v>
      </c>
      <c r="S411" s="25" t="s">
        <v>15</v>
      </c>
      <c r="T411" s="13"/>
      <c r="U411" s="103" t="s">
        <v>129</v>
      </c>
      <c r="X411" s="138"/>
    </row>
    <row r="412" customFormat="false" ht="11.25" hidden="false" customHeight="false" outlineLevel="0" collapsed="false">
      <c r="A412" s="63" t="s">
        <v>130</v>
      </c>
      <c r="B412" s="62" t="n">
        <v>438.164378</v>
      </c>
      <c r="C412" s="62" t="n">
        <v>561.832046</v>
      </c>
      <c r="D412" s="62" t="n">
        <v>609.012878</v>
      </c>
      <c r="E412" s="62" t="n">
        <v>767.394174</v>
      </c>
      <c r="F412" s="62" t="n">
        <v>690.702669</v>
      </c>
      <c r="G412" s="62" t="n">
        <v>658.650974</v>
      </c>
      <c r="H412" s="62" t="n">
        <v>814.835525</v>
      </c>
      <c r="I412" s="62" t="n">
        <v>859.208858</v>
      </c>
      <c r="J412" s="62" t="n">
        <v>967.217309</v>
      </c>
      <c r="K412" s="27" t="n">
        <f aca="false">K413*K414</f>
        <v>1012.5</v>
      </c>
      <c r="L412" s="27" t="n">
        <f aca="false">L413*L414</f>
        <v>1080</v>
      </c>
      <c r="M412" s="27" t="n">
        <f aca="false">M413*M414</f>
        <v>1139</v>
      </c>
      <c r="N412" s="27" t="n">
        <f aca="false">N413*N414</f>
        <v>1188</v>
      </c>
      <c r="O412" s="27" t="n">
        <f aca="false">O413*O414</f>
        <v>1222</v>
      </c>
      <c r="P412" s="27" t="n">
        <f aca="false">P413*P414</f>
        <v>1231.9</v>
      </c>
      <c r="Q412" s="27" t="n">
        <f aca="false">Q413*Q414</f>
        <v>1190.4</v>
      </c>
      <c r="R412" s="27" t="n">
        <f aca="false">R413*R414</f>
        <v>1140</v>
      </c>
      <c r="S412" s="76" t="s">
        <v>131</v>
      </c>
      <c r="T412" s="13"/>
      <c r="U412" s="103" t="s">
        <v>85</v>
      </c>
    </row>
    <row r="413" customFormat="false" ht="11.25" hidden="false" customHeight="false" outlineLevel="0" collapsed="false">
      <c r="A413" s="63" t="s">
        <v>132</v>
      </c>
      <c r="B413" s="62" t="n">
        <v>122.977439</v>
      </c>
      <c r="C413" s="62" t="n">
        <v>142.101962</v>
      </c>
      <c r="D413" s="62" t="n">
        <v>146.426998</v>
      </c>
      <c r="E413" s="62" t="n">
        <v>148.993875</v>
      </c>
      <c r="F413" s="62" t="n">
        <v>130.623356</v>
      </c>
      <c r="G413" s="62" t="n">
        <v>124.645937</v>
      </c>
      <c r="H413" s="62" t="n">
        <v>129.955677</v>
      </c>
      <c r="I413" s="62" t="n">
        <v>127.123439</v>
      </c>
      <c r="J413" s="62" t="n">
        <v>130.862287</v>
      </c>
      <c r="K413" s="139" t="n">
        <v>135</v>
      </c>
      <c r="L413" s="139" t="n">
        <v>135</v>
      </c>
      <c r="M413" s="139" t="n">
        <v>134</v>
      </c>
      <c r="N413" s="139" t="n">
        <v>132</v>
      </c>
      <c r="O413" s="139" t="n">
        <v>130</v>
      </c>
      <c r="P413" s="139" t="n">
        <v>127</v>
      </c>
      <c r="Q413" s="139" t="n">
        <v>124</v>
      </c>
      <c r="R413" s="139" t="n">
        <v>120</v>
      </c>
      <c r="S413" s="140" t="s">
        <v>133</v>
      </c>
      <c r="T413" s="13"/>
      <c r="U413" s="141"/>
    </row>
    <row r="414" customFormat="false" ht="11.25" hidden="false" customHeight="false" outlineLevel="0" collapsed="false">
      <c r="A414" s="63" t="s">
        <v>134</v>
      </c>
      <c r="B414" s="75" t="n">
        <f aca="false">B412/B413</f>
        <v>3.56296554524932</v>
      </c>
      <c r="C414" s="75" t="n">
        <f aca="false">C412/C413</f>
        <v>3.95372476278688</v>
      </c>
      <c r="D414" s="75" t="n">
        <f aca="false">D412/D413</f>
        <v>4.1591570292249</v>
      </c>
      <c r="E414" s="75" t="n">
        <f aca="false">E412/E413</f>
        <v>5.15050819370931</v>
      </c>
      <c r="F414" s="75" t="n">
        <f aca="false">F412/F413</f>
        <v>5.28774248458293</v>
      </c>
      <c r="G414" s="75" t="n">
        <f aca="false">G412/G413</f>
        <v>5.28417523950259</v>
      </c>
      <c r="H414" s="75" t="n">
        <f aca="false">H412/H413</f>
        <v>6.27010334454262</v>
      </c>
      <c r="I414" s="75" t="n">
        <f aca="false">I412/I413</f>
        <v>6.75885473803143</v>
      </c>
      <c r="J414" s="75" t="n">
        <f aca="false">J412/J413</f>
        <v>7.39110809671239</v>
      </c>
      <c r="K414" s="33" t="n">
        <v>7.5</v>
      </c>
      <c r="L414" s="33" t="n">
        <v>8</v>
      </c>
      <c r="M414" s="33" t="n">
        <v>8.5</v>
      </c>
      <c r="N414" s="33" t="n">
        <v>9</v>
      </c>
      <c r="O414" s="33" t="n">
        <v>9.4</v>
      </c>
      <c r="P414" s="33" t="n">
        <v>9.7</v>
      </c>
      <c r="Q414" s="33" t="n">
        <v>9.6</v>
      </c>
      <c r="R414" s="33" t="n">
        <v>9.5</v>
      </c>
      <c r="S414" s="140" t="s">
        <v>135</v>
      </c>
      <c r="T414" s="13"/>
      <c r="U414" s="142"/>
      <c r="W414" s="142"/>
      <c r="X414" s="142"/>
      <c r="Y414" s="142"/>
    </row>
    <row r="415" customFormat="false" ht="11.25" hidden="false" customHeight="false" outlineLevel="0" collapsed="false">
      <c r="A415" s="63" t="s">
        <v>136</v>
      </c>
      <c r="B415" s="143" t="n">
        <f aca="false">B412/B9</f>
        <v>2.06444216011823</v>
      </c>
      <c r="C415" s="143" t="n">
        <f aca="false">C412/C9</f>
        <v>2.52925903298347</v>
      </c>
      <c r="D415" s="143" t="n">
        <f aca="false">D412/D9</f>
        <v>2.61245000942392</v>
      </c>
      <c r="E415" s="143" t="n">
        <f aca="false">E412/E9</f>
        <v>3.1372943025285</v>
      </c>
      <c r="F415" s="143" t="n">
        <f aca="false">F412/F9</f>
        <v>2.68786059712186</v>
      </c>
      <c r="G415" s="143" t="n">
        <f aca="false">G412/G9</f>
        <v>2.43825282934547</v>
      </c>
      <c r="H415" s="143" t="n">
        <f aca="false">H412/H9</f>
        <v>2.84490564517863</v>
      </c>
      <c r="I415" s="143" t="n">
        <f aca="false">I412/I9</f>
        <v>2.8572516970535</v>
      </c>
      <c r="J415" s="143" t="n">
        <f aca="false">J412/J9</f>
        <v>3.07793760537042</v>
      </c>
      <c r="K415" s="143" t="n">
        <f aca="false">K412/K9</f>
        <v>3.1389556038499</v>
      </c>
      <c r="L415" s="143" t="n">
        <f aca="false">L412/L9</f>
        <v>3.27638210394793</v>
      </c>
      <c r="M415" s="143" t="n">
        <f aca="false">M412/M9</f>
        <v>3.39336673035916</v>
      </c>
      <c r="N415" s="143" t="n">
        <f aca="false">N412/N9</f>
        <v>3.49143689179159</v>
      </c>
      <c r="O415" s="143" t="n">
        <f aca="false">O412/O9</f>
        <v>3.56161117209564</v>
      </c>
      <c r="P415" s="143" t="n">
        <f aca="false">P412/P9</f>
        <v>3.58092182401502</v>
      </c>
      <c r="Q415" s="143" t="n">
        <f aca="false">Q412/Q9</f>
        <v>3.46901991349054</v>
      </c>
      <c r="R415" s="143" t="n">
        <f aca="false">R412/R9</f>
        <v>3.34490142306799</v>
      </c>
      <c r="S415" s="76" t="s">
        <v>137</v>
      </c>
      <c r="T415" s="13"/>
      <c r="U415" s="144" t="s">
        <v>138</v>
      </c>
      <c r="W415" s="144"/>
      <c r="X415" s="144"/>
      <c r="Y415" s="144"/>
    </row>
    <row r="416" customFormat="false" ht="13.8" hidden="false" customHeight="false" outlineLevel="0" collapsed="false">
      <c r="A416" s="63" t="s">
        <v>139</v>
      </c>
      <c r="B416" s="47"/>
      <c r="C416" s="31" t="n">
        <f aca="false">(C412-B412)/B412*100/5</f>
        <v>5.64480702719288</v>
      </c>
      <c r="D416" s="31" t="n">
        <f aca="false">(D412-C412)/C412*100/5</f>
        <v>1.67953509722014</v>
      </c>
      <c r="E416" s="31" t="n">
        <f aca="false">(E412-D412)/D412*100/5</f>
        <v>5.20124620418946</v>
      </c>
      <c r="F416" s="31" t="n">
        <f aca="false">(F412-E412)/E412*100/5</f>
        <v>-1.99875129622759</v>
      </c>
      <c r="G416" s="31" t="n">
        <f aca="false">(G412-F412)/F412*100/5</f>
        <v>-0.928089507643122</v>
      </c>
      <c r="H416" s="31" t="n">
        <f aca="false">(H412-G412)/G412*100/5</f>
        <v>4.7425588715519</v>
      </c>
      <c r="I416" s="31" t="n">
        <f aca="false">(I412-H412)/H412*100/5</f>
        <v>1.08913594556398</v>
      </c>
      <c r="J416" s="31" t="n">
        <f aca="false">(J412-I412)/I412*100/5</f>
        <v>2.51413727859868</v>
      </c>
      <c r="K416" s="31" t="n">
        <f aca="false">(K412-J412)/J412*100/5</f>
        <v>0.936349889081648</v>
      </c>
      <c r="L416" s="31" t="n">
        <f aca="false">(L412-K412)/K412*100/5</f>
        <v>1.33333333333333</v>
      </c>
      <c r="M416" s="31" t="n">
        <f aca="false">(M412-L412)/L412*100/5</f>
        <v>1.09259259259259</v>
      </c>
      <c r="N416" s="31" t="n">
        <f aca="false">(N412-M412)/M412*100/5</f>
        <v>0.860403863037752</v>
      </c>
      <c r="O416" s="31" t="n">
        <f aca="false">(O412-N412)/N412*100/5</f>
        <v>0.572390572390572</v>
      </c>
      <c r="P416" s="31" t="n">
        <f aca="false">(P412-O412)/O412*100/5</f>
        <v>0.162029459901798</v>
      </c>
      <c r="Q416" s="31" t="n">
        <f aca="false">(Q412-P412)/P412*100/5</f>
        <v>-0.673755986687231</v>
      </c>
      <c r="R416" s="31" t="n">
        <f aca="false">(R412-Q412)/Q412*100/5</f>
        <v>-0.846774193548385</v>
      </c>
      <c r="S416" s="76" t="s">
        <v>25</v>
      </c>
      <c r="T416" s="13"/>
      <c r="U416" s="144" t="s">
        <v>140</v>
      </c>
      <c r="W416" s="145"/>
      <c r="X416" s="145"/>
      <c r="Y416" s="145"/>
    </row>
    <row r="417" customFormat="false" ht="11.25" hidden="false" customHeight="false" outlineLevel="0" collapsed="false">
      <c r="A417" s="63" t="s">
        <v>141</v>
      </c>
      <c r="B417" s="47"/>
      <c r="C417" s="31" t="n">
        <f aca="false">(C413-B413)/B413*100/5</f>
        <v>3.11024902705934</v>
      </c>
      <c r="D417" s="31" t="n">
        <f aca="false">(D413-C413)/C413*100/5</f>
        <v>0.608722911229053</v>
      </c>
      <c r="E417" s="31" t="n">
        <f aca="false">(E413-D413)/D413*100/5</f>
        <v>0.350601601488819</v>
      </c>
      <c r="F417" s="31" t="n">
        <f aca="false">(F413-E413)/E413*100/5</f>
        <v>-2.46594284496594</v>
      </c>
      <c r="G417" s="31" t="n">
        <f aca="false">(G413-F413)/F413*100/5</f>
        <v>-0.915214427655648</v>
      </c>
      <c r="H417" s="31" t="n">
        <f aca="false">(H413-G413)/G413*100/5</f>
        <v>0.851971613001715</v>
      </c>
      <c r="I417" s="31" t="n">
        <f aca="false">(I413-H413)/H413*100/5</f>
        <v>-0.435877533845636</v>
      </c>
      <c r="J417" s="31" t="n">
        <f aca="false">(J413-I413)/I413*100/5</f>
        <v>0.588223230807972</v>
      </c>
      <c r="K417" s="31" t="n">
        <f aca="false">(K413-J413)/J413*100/5</f>
        <v>0.632376690772643</v>
      </c>
      <c r="L417" s="31" t="n">
        <f aca="false">(L413-K413)/K413*100/5</f>
        <v>0</v>
      </c>
      <c r="M417" s="31" t="n">
        <f aca="false">(M413-L413)/L413*100/5</f>
        <v>-0.148148148148148</v>
      </c>
      <c r="N417" s="31" t="n">
        <f aca="false">(N413-M413)/M413*100/5</f>
        <v>-0.298507462686567</v>
      </c>
      <c r="O417" s="31" t="n">
        <f aca="false">(O413-N413)/N413*100/5</f>
        <v>-0.303030303030303</v>
      </c>
      <c r="P417" s="31" t="n">
        <f aca="false">(P413-O413)/O413*100/5</f>
        <v>-0.461538461538462</v>
      </c>
      <c r="Q417" s="31" t="n">
        <f aca="false">(Q413-P413)/P413*100/5</f>
        <v>-0.47244094488189</v>
      </c>
      <c r="R417" s="31" t="n">
        <f aca="false">(R413-Q413)/Q413*100/5</f>
        <v>-0.645161290322581</v>
      </c>
      <c r="S417" s="76" t="s">
        <v>25</v>
      </c>
      <c r="T417" s="13"/>
      <c r="U417" s="41"/>
      <c r="V417" s="41"/>
    </row>
    <row r="418" customFormat="false" ht="12.65" hidden="false" customHeight="false" outlineLevel="0" collapsed="false">
      <c r="A418" s="108" t="s">
        <v>7</v>
      </c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T418" s="13"/>
    </row>
    <row r="419" customFormat="false" ht="11.25" hidden="false" customHeight="false" outlineLevel="0" collapsed="false">
      <c r="B419" s="24" t="n">
        <v>1970</v>
      </c>
      <c r="C419" s="24" t="n">
        <v>1975</v>
      </c>
      <c r="D419" s="24" t="n">
        <v>1980</v>
      </c>
      <c r="E419" s="24" t="n">
        <v>1985</v>
      </c>
      <c r="F419" s="24" t="n">
        <v>1990</v>
      </c>
      <c r="G419" s="24" t="n">
        <v>1995</v>
      </c>
      <c r="H419" s="24" t="n">
        <v>2000</v>
      </c>
      <c r="I419" s="24" t="n">
        <v>2005</v>
      </c>
      <c r="J419" s="24" t="n">
        <v>2010</v>
      </c>
      <c r="K419" s="24" t="n">
        <v>2015</v>
      </c>
      <c r="L419" s="24" t="n">
        <v>2020</v>
      </c>
      <c r="M419" s="24" t="n">
        <v>2025</v>
      </c>
      <c r="N419" s="24" t="n">
        <v>2030</v>
      </c>
      <c r="O419" s="24" t="n">
        <v>2035</v>
      </c>
      <c r="P419" s="24" t="n">
        <v>2040</v>
      </c>
      <c r="Q419" s="24" t="n">
        <v>2045</v>
      </c>
      <c r="R419" s="24" t="n">
        <v>2050</v>
      </c>
      <c r="S419" s="25" t="s">
        <v>15</v>
      </c>
      <c r="T419" s="13"/>
    </row>
    <row r="420" s="3" customFormat="true" ht="11.25" hidden="false" customHeight="false" outlineLevel="0" collapsed="false">
      <c r="G420" s="8"/>
      <c r="H420" s="8"/>
      <c r="I420" s="8"/>
      <c r="J420" s="146" t="str">
        <f aca="false">CONCATENATE(A412,", Your forecast")</f>
        <v> Produção de alimentos, sua previsão</v>
      </c>
      <c r="K420" s="84" t="n">
        <f aca="false">K421*K422</f>
        <v>1012.5</v>
      </c>
      <c r="L420" s="84" t="n">
        <f aca="false">L421*L422</f>
        <v>1037.232</v>
      </c>
      <c r="M420" s="84" t="n">
        <f aca="false">M421*M422</f>
        <v>1093.8956</v>
      </c>
      <c r="N420" s="84" t="n">
        <f aca="false">N421*N422</f>
        <v>1140.9552</v>
      </c>
      <c r="O420" s="84" t="n">
        <f aca="false">O421*O422</f>
        <v>1173.6088</v>
      </c>
      <c r="P420" s="84" t="n">
        <f aca="false">P421*P422</f>
        <v>1183.11676</v>
      </c>
      <c r="Q420" s="84" t="n">
        <f aca="false">Q421*Q422</f>
        <v>1143.26016</v>
      </c>
      <c r="R420" s="84" t="n">
        <f aca="false">R421*R422</f>
        <v>1094.856</v>
      </c>
      <c r="S420" s="76" t="str">
        <f aca="false">S412</f>
        <v> Monte</v>
      </c>
      <c r="T420" s="13"/>
      <c r="AA420" s="52" t="s">
        <v>36</v>
      </c>
    </row>
    <row r="421" s="3" customFormat="true" ht="15" hidden="false" customHeight="false" outlineLevel="0" collapsed="false">
      <c r="G421" s="5"/>
      <c r="H421" s="5"/>
      <c r="I421" s="5"/>
      <c r="J421" s="147" t="str">
        <f aca="false">CONCATENATE(A413,", Your forecast")</f>
        <v> Terra cultivada, sua previsão</v>
      </c>
      <c r="K421" s="68" t="n">
        <v>135</v>
      </c>
      <c r="L421" s="68" t="n">
        <f aca="false">L413*0.98</f>
        <v>132.3</v>
      </c>
      <c r="M421" s="68" t="n">
        <f aca="false">M413*0.98</f>
        <v>131.32</v>
      </c>
      <c r="N421" s="68" t="n">
        <f aca="false">N413*0.98</f>
        <v>129.36</v>
      </c>
      <c r="O421" s="68" t="n">
        <f aca="false">O413*0.98</f>
        <v>127.4</v>
      </c>
      <c r="P421" s="68" t="n">
        <f aca="false">P413*0.98</f>
        <v>124.46</v>
      </c>
      <c r="Q421" s="68" t="n">
        <f aca="false">Q413*0.98</f>
        <v>121.52</v>
      </c>
      <c r="R421" s="68" t="n">
        <f aca="false">R413*0.98</f>
        <v>117.6</v>
      </c>
      <c r="S421" s="76" t="str">
        <f aca="false">S413</f>
        <v> Mha</v>
      </c>
      <c r="T421" s="13"/>
      <c r="AA421" s="16"/>
      <c r="AB421" s="24" t="n">
        <v>1970</v>
      </c>
      <c r="AC421" s="24" t="n">
        <v>1975</v>
      </c>
      <c r="AD421" s="24" t="n">
        <v>1980</v>
      </c>
      <c r="AE421" s="24" t="n">
        <v>1985</v>
      </c>
      <c r="AF421" s="24" t="n">
        <v>1990</v>
      </c>
      <c r="AG421" s="24" t="n">
        <v>1995</v>
      </c>
      <c r="AH421" s="24" t="n">
        <v>2000</v>
      </c>
      <c r="AI421" s="24" t="n">
        <v>2005</v>
      </c>
      <c r="AJ421" s="24" t="n">
        <v>2010</v>
      </c>
      <c r="AK421" s="24" t="n">
        <v>2015</v>
      </c>
      <c r="AL421" s="24" t="n">
        <v>2020</v>
      </c>
      <c r="AM421" s="24" t="n">
        <v>2025</v>
      </c>
      <c r="AN421" s="24" t="n">
        <v>2030</v>
      </c>
      <c r="AO421" s="24" t="n">
        <v>2035</v>
      </c>
      <c r="AP421" s="24" t="n">
        <v>2040</v>
      </c>
      <c r="AQ421" s="24" t="n">
        <v>2045</v>
      </c>
      <c r="AR421" s="24" t="n">
        <v>2050</v>
      </c>
    </row>
    <row r="422" s="3" customFormat="true" ht="11.25" hidden="false" customHeight="false" outlineLevel="0" collapsed="false">
      <c r="G422" s="5"/>
      <c r="H422" s="5"/>
      <c r="I422" s="5"/>
      <c r="J422" s="147" t="str">
        <f aca="false">CONCATENATE(A414,", Your forecast")</f>
        <v> Rendimento bruto, sua previsão</v>
      </c>
      <c r="K422" s="39" t="n">
        <v>7.5</v>
      </c>
      <c r="L422" s="39" t="n">
        <f aca="false">L414*0.98</f>
        <v>7.84</v>
      </c>
      <c r="M422" s="39" t="n">
        <f aca="false">M414*0.98</f>
        <v>8.33</v>
      </c>
      <c r="N422" s="39" t="n">
        <f aca="false">N414*0.98</f>
        <v>8.82</v>
      </c>
      <c r="O422" s="39" t="n">
        <f aca="false">O414*0.98</f>
        <v>9.212</v>
      </c>
      <c r="P422" s="39" t="n">
        <f aca="false">P414*0.98</f>
        <v>9.506</v>
      </c>
      <c r="Q422" s="39" t="n">
        <f aca="false">Q414*0.98</f>
        <v>9.408</v>
      </c>
      <c r="R422" s="39" t="n">
        <f aca="false">R414*0.98</f>
        <v>9.31</v>
      </c>
      <c r="S422" s="76" t="str">
        <f aca="false">S414</f>
        <v> / ha</v>
      </c>
      <c r="T422" s="13"/>
      <c r="AA422" s="148" t="str">
        <f aca="false">CONCATENATE("Food production (0 - ",W428," Mt / yr)")</f>
        <v> Produção de alimentos (0 - 1300 Mt/ano)</v>
      </c>
      <c r="AB422" s="57" t="n">
        <f aca="false">B412/$W428</f>
        <v>0.337049521538462</v>
      </c>
      <c r="AC422" s="57" t="n">
        <f aca="false">C412/$W428</f>
        <v>0.432178496923077</v>
      </c>
      <c r="AD422" s="57" t="n">
        <f aca="false">D412/$W428</f>
        <v>0.468471444615385</v>
      </c>
      <c r="AE422" s="57" t="n">
        <f aca="false">E412/$W428</f>
        <v>0.590303210769231</v>
      </c>
      <c r="AF422" s="57" t="n">
        <f aca="false">F412/$W428</f>
        <v>0.531309745384615</v>
      </c>
      <c r="AG422" s="57" t="n">
        <f aca="false">G412/$W428</f>
        <v>0.506654595384615</v>
      </c>
      <c r="AH422" s="57" t="n">
        <f aca="false">H412/$W428</f>
        <v>0.626796557692308</v>
      </c>
      <c r="AI422" s="57" t="n">
        <f aca="false">I412/$W428</f>
        <v>0.660929890769231</v>
      </c>
      <c r="AJ422" s="57" t="n">
        <f aca="false">J412/$W428</f>
        <v>0.744013314615385</v>
      </c>
      <c r="AK422" s="57" t="n">
        <f aca="false">K412/$W428</f>
        <v>0.778846153846154</v>
      </c>
      <c r="AL422" s="57" t="n">
        <f aca="false">L412/$W428</f>
        <v>0.830769230769231</v>
      </c>
      <c r="AM422" s="57" t="n">
        <f aca="false">M412/$W428</f>
        <v>0.876153846153846</v>
      </c>
      <c r="AN422" s="57" t="n">
        <f aca="false">N412/$W428</f>
        <v>0.913846153846154</v>
      </c>
      <c r="AO422" s="57" t="n">
        <f aca="false">O412/$W428</f>
        <v>0.94</v>
      </c>
      <c r="AP422" s="57" t="n">
        <f aca="false">P412/$W428</f>
        <v>0.947615384615385</v>
      </c>
      <c r="AQ422" s="57" t="n">
        <f aca="false">Q412/$W428</f>
        <v>0.915692307692308</v>
      </c>
      <c r="AR422" s="57" t="n">
        <f aca="false">R412/$W428</f>
        <v>0.876923076923077</v>
      </c>
    </row>
    <row r="423" s="3" customFormat="true" ht="11.25" hidden="false" customHeight="false" outlineLevel="0" collapsed="false">
      <c r="G423" s="8"/>
      <c r="H423" s="8"/>
      <c r="I423" s="8"/>
      <c r="J423" s="146" t="str">
        <f aca="false">CONCATENATE(A415,", Your forecast")</f>
        <v> Alimentação por pessoa, sua previsão</v>
      </c>
      <c r="K423" s="149" t="n">
        <f aca="false">K420/K17</f>
        <v>3.13885916428627</v>
      </c>
      <c r="L423" s="149" t="n">
        <f aca="false">L420/L17</f>
        <v>3.14789147913153</v>
      </c>
      <c r="M423" s="149" t="n">
        <f aca="false">M420/M17</f>
        <v>3.26145876056519</v>
      </c>
      <c r="N423" s="149" t="n">
        <f aca="false">N420/N17</f>
        <v>3.35662550005165</v>
      </c>
      <c r="O423" s="149" t="n">
        <f aca="false">O420/O17</f>
        <v>3.4246575727995</v>
      </c>
      <c r="P423" s="149" t="n">
        <f aca="false">P420/P17</f>
        <v>3.44340873303931</v>
      </c>
      <c r="Q423" s="149" t="n">
        <f aca="false">Q420/Q17</f>
        <v>3.33563569528574</v>
      </c>
      <c r="R423" s="149" t="n">
        <f aca="false">R420/R17</f>
        <v>3.21584903031469</v>
      </c>
      <c r="S423" s="76" t="str">
        <f aca="false">S415</f>
        <v> t / pessoa-ano</v>
      </c>
      <c r="T423" s="13"/>
      <c r="AA423" s="148" t="str">
        <f aca="false">CONCATENATE("Cultivated land (0 - ",W429," Mha)")</f>
        <v> Terra cultivada (0 - 150 milhões de hectares)</v>
      </c>
      <c r="AB423" s="57" t="n">
        <f aca="false">B413/$W429</f>
        <v>0.819849593333333</v>
      </c>
      <c r="AC423" s="57" t="n">
        <f aca="false">C413/$W429</f>
        <v>0.947346413333333</v>
      </c>
      <c r="AD423" s="57" t="n">
        <f aca="false">D413/$W429</f>
        <v>0.976179986666667</v>
      </c>
      <c r="AE423" s="57" t="n">
        <f aca="false">E413/$W429</f>
        <v>0.9932925</v>
      </c>
      <c r="AF423" s="57" t="n">
        <f aca="false">F413/$W429</f>
        <v>0.870822373333333</v>
      </c>
      <c r="AG423" s="57" t="n">
        <f aca="false">G413/$W429</f>
        <v>0.830972913333333</v>
      </c>
      <c r="AH423" s="57" t="n">
        <f aca="false">H413/$W429</f>
        <v>0.86637118</v>
      </c>
      <c r="AI423" s="57" t="n">
        <f aca="false">I413/$W429</f>
        <v>0.847489593333333</v>
      </c>
      <c r="AJ423" s="57" t="n">
        <f aca="false">J413/$W429</f>
        <v>0.872415246666667</v>
      </c>
      <c r="AK423" s="57" t="n">
        <f aca="false">K413/$W429</f>
        <v>0.9</v>
      </c>
      <c r="AL423" s="57" t="n">
        <f aca="false">L413/$W429</f>
        <v>0.9</v>
      </c>
      <c r="AM423" s="57" t="n">
        <f aca="false">M413/$W429</f>
        <v>0.893333333333333</v>
      </c>
      <c r="AN423" s="57" t="n">
        <f aca="false">N413/$W429</f>
        <v>0.88</v>
      </c>
      <c r="AO423" s="57" t="n">
        <f aca="false">O413/$W429</f>
        <v>0.866666666666667</v>
      </c>
      <c r="AP423" s="57" t="n">
        <f aca="false">P413/$W429</f>
        <v>0.846666666666667</v>
      </c>
      <c r="AQ423" s="57" t="n">
        <f aca="false">Q413/$W429</f>
        <v>0.826666666666667</v>
      </c>
      <c r="AR423" s="57" t="n">
        <f aca="false">R413/$W429</f>
        <v>0.8</v>
      </c>
    </row>
    <row r="424" s="3" customFormat="true" ht="11.25" hidden="false" customHeight="false" outlineLevel="0" collapsed="false">
      <c r="G424" s="8"/>
      <c r="H424" s="8"/>
      <c r="I424" s="8"/>
      <c r="J424" s="146" t="str">
        <f aca="false">CONCATENATE(A416,", Your forecast")</f>
        <v> Crescimento na produção de alimentos, sua previsão</v>
      </c>
      <c r="K424" s="91" t="n">
        <f aca="false">(K420-J412)/J412*100/5</f>
        <v>0.936349889081648</v>
      </c>
      <c r="L424" s="91" t="n">
        <f aca="false">(L420-K420)/K420*100/5</f>
        <v>0.488533333333333</v>
      </c>
      <c r="M424" s="91" t="n">
        <f aca="false">(M420-L420)/L420*100/5</f>
        <v>1.09259259259259</v>
      </c>
      <c r="N424" s="91" t="n">
        <f aca="false">(N420-M420)/M420*100/5</f>
        <v>0.860403863037749</v>
      </c>
      <c r="O424" s="91" t="n">
        <f aca="false">(O420-N420)/N420*100/5</f>
        <v>0.572390572390574</v>
      </c>
      <c r="P424" s="91" t="n">
        <f aca="false">(P420-O420)/O420*100/5</f>
        <v>0.162029459901795</v>
      </c>
      <c r="Q424" s="91" t="n">
        <f aca="false">(Q420-P420)/P420*100/5</f>
        <v>-0.673755986687229</v>
      </c>
      <c r="R424" s="91" t="n">
        <f aca="false">(R420-Q420)/Q420*100/5</f>
        <v>-0.846774193548384</v>
      </c>
      <c r="S424" s="76" t="str">
        <f aca="false">S416</f>
        <v> % por ano</v>
      </c>
      <c r="T424" s="13"/>
      <c r="AA424" s="148" t="str">
        <f aca="false">CONCATENATE("Gross yield (0 - ",W430," t / ha-yr)")</f>
        <v> Rendimento bruto (0 - 10 t / ha-ano)</v>
      </c>
      <c r="AB424" s="57" t="n">
        <f aca="false">B414/$W430</f>
        <v>0.356296554524932</v>
      </c>
      <c r="AC424" s="57" t="n">
        <f aca="false">C414/$W430</f>
        <v>0.395372476278688</v>
      </c>
      <c r="AD424" s="57" t="n">
        <f aca="false">D414/$W430</f>
        <v>0.41591570292249</v>
      </c>
      <c r="AE424" s="57" t="n">
        <f aca="false">E414/$W430</f>
        <v>0.51505081937093</v>
      </c>
      <c r="AF424" s="57" t="n">
        <f aca="false">F414/$W430</f>
        <v>0.528774248458293</v>
      </c>
      <c r="AG424" s="57" t="n">
        <f aca="false">G414/$W430</f>
        <v>0.528417523950259</v>
      </c>
      <c r="AH424" s="57" t="n">
        <f aca="false">H414/$W430</f>
        <v>0.627010334454262</v>
      </c>
      <c r="AI424" s="57" t="n">
        <f aca="false">I414/$W430</f>
        <v>0.675885473803143</v>
      </c>
      <c r="AJ424" s="57" t="n">
        <f aca="false">J414/$W430</f>
        <v>0.739110809671239</v>
      </c>
      <c r="AK424" s="57" t="n">
        <f aca="false">K414/$W430</f>
        <v>0.75</v>
      </c>
      <c r="AL424" s="57" t="n">
        <f aca="false">L414/$W430</f>
        <v>0.8</v>
      </c>
      <c r="AM424" s="57" t="n">
        <f aca="false">M414/$W430</f>
        <v>0.85</v>
      </c>
      <c r="AN424" s="57" t="n">
        <f aca="false">N414/$W430</f>
        <v>0.9</v>
      </c>
      <c r="AO424" s="57" t="n">
        <f aca="false">O414/$W430</f>
        <v>0.94</v>
      </c>
      <c r="AP424" s="57" t="n">
        <f aca="false">P414/$W430</f>
        <v>0.97</v>
      </c>
      <c r="AQ424" s="57" t="n">
        <f aca="false">Q414/$W430</f>
        <v>0.96</v>
      </c>
      <c r="AR424" s="57" t="n">
        <f aca="false">R414/$W430</f>
        <v>0.95</v>
      </c>
    </row>
    <row r="425" s="3" customFormat="true" ht="11.25" hidden="false" customHeight="false" outlineLevel="0" collapsed="false">
      <c r="G425" s="8"/>
      <c r="H425" s="8"/>
      <c r="I425" s="8"/>
      <c r="J425" s="146" t="str">
        <f aca="false">CONCATENATE(A417,", Your forecast")</f>
        <v> Crescimento das terras cultivadas, sua previsão</v>
      </c>
      <c r="K425" s="91" t="n">
        <f aca="false">(K421-J413)/J413*100/5</f>
        <v>0.632376690772643</v>
      </c>
      <c r="L425" s="91" t="n">
        <f aca="false">(L421-K421)/K421*100/5</f>
        <v>-0.399999999999998</v>
      </c>
      <c r="M425" s="91" t="n">
        <f aca="false">(M421-L421)/L421*100/5</f>
        <v>-0.148148148148151</v>
      </c>
      <c r="N425" s="91" t="n">
        <f aca="false">(N421-M421)/M421*100/5</f>
        <v>-0.298507462686568</v>
      </c>
      <c r="O425" s="91" t="n">
        <f aca="false">(O421-N421)/N421*100/5</f>
        <v>-0.303030303030302</v>
      </c>
      <c r="P425" s="91" t="n">
        <f aca="false">(P421-O421)/O421*100/5</f>
        <v>-0.461538461538461</v>
      </c>
      <c r="Q425" s="91" t="n">
        <f aca="false">(Q421-P421)/P421*100/5</f>
        <v>-0.472440944881889</v>
      </c>
      <c r="R425" s="91" t="n">
        <f aca="false">(R421-Q421)/Q421*100/5</f>
        <v>-0.645161290322581</v>
      </c>
      <c r="S425" s="76" t="str">
        <f aca="false">S417</f>
        <v> % por ano</v>
      </c>
      <c r="T425" s="13"/>
      <c r="X425" s="15" t="s">
        <v>33</v>
      </c>
      <c r="AA425" s="148" t="str">
        <f aca="false">CONCATENATE("Food per person (0 - ",W431," t / person - yr)")</f>
        <v> Alimento por pessoa (0 - 4 t / pessoa - ano)</v>
      </c>
      <c r="AB425" s="57" t="n">
        <f aca="false">B415/$W431</f>
        <v>0.516110540029558</v>
      </c>
      <c r="AC425" s="57" t="n">
        <f aca="false">C415/$W431</f>
        <v>0.632314758245867</v>
      </c>
      <c r="AD425" s="57" t="n">
        <f aca="false">D415/$W431</f>
        <v>0.653112502355981</v>
      </c>
      <c r="AE425" s="57" t="n">
        <f aca="false">E415/$W431</f>
        <v>0.784323575632124</v>
      </c>
      <c r="AF425" s="57" t="n">
        <f aca="false">F415/$W431</f>
        <v>0.671965149280465</v>
      </c>
      <c r="AG425" s="57" t="n">
        <f aca="false">G415/$W431</f>
        <v>0.609563207336368</v>
      </c>
      <c r="AH425" s="57" t="n">
        <f aca="false">H415/$W431</f>
        <v>0.711226411294657</v>
      </c>
      <c r="AI425" s="57" t="n">
        <f aca="false">I415/$W431</f>
        <v>0.714312924263375</v>
      </c>
      <c r="AJ425" s="57" t="n">
        <f aca="false">J415/$W431</f>
        <v>0.769484401342605</v>
      </c>
      <c r="AK425" s="57" t="n">
        <f aca="false">K415/$W431</f>
        <v>0.784738900962476</v>
      </c>
      <c r="AL425" s="57" t="n">
        <f aca="false">L415/$W431</f>
        <v>0.819095525986982</v>
      </c>
      <c r="AM425" s="57" t="n">
        <f aca="false">M415/$W431</f>
        <v>0.848341682589791</v>
      </c>
      <c r="AN425" s="57" t="n">
        <f aca="false">N415/$W431</f>
        <v>0.872859222947897</v>
      </c>
      <c r="AO425" s="57" t="n">
        <f aca="false">O415/$W431</f>
        <v>0.89040279302391</v>
      </c>
      <c r="AP425" s="57" t="n">
        <f aca="false">P415/$W431</f>
        <v>0.895230456003755</v>
      </c>
      <c r="AQ425" s="57" t="n">
        <f aca="false">Q415/$W431</f>
        <v>0.867254978372636</v>
      </c>
      <c r="AR425" s="57" t="n">
        <f aca="false">R415/$W431</f>
        <v>0.836225355766997</v>
      </c>
    </row>
    <row r="426" customFormat="false" ht="11.25" hidden="false" customHeight="false" outlineLevel="0" collapsed="false">
      <c r="T426" s="13"/>
      <c r="V426" s="3" t="s">
        <v>35</v>
      </c>
      <c r="AA426" s="148" t="s">
        <v>142</v>
      </c>
      <c r="AB426" s="57" t="n">
        <f aca="false">B416/$W430</f>
        <v>0</v>
      </c>
      <c r="AC426" s="57" t="n">
        <f aca="false">C416/$W430</f>
        <v>0.564480702719288</v>
      </c>
      <c r="AD426" s="57" t="n">
        <f aca="false">D416/$W430</f>
        <v>0.167953509722014</v>
      </c>
      <c r="AE426" s="57" t="n">
        <f aca="false">E416/$W430</f>
        <v>0.520124620418946</v>
      </c>
      <c r="AF426" s="57" t="n">
        <f aca="false">F416/$W430</f>
        <v>-0.199875129622759</v>
      </c>
      <c r="AG426" s="57" t="n">
        <f aca="false">G416/$W430</f>
        <v>-0.0928089507643121</v>
      </c>
      <c r="AH426" s="57" t="n">
        <f aca="false">H416/$W430</f>
        <v>0.47425588715519</v>
      </c>
      <c r="AI426" s="57" t="n">
        <f aca="false">I416/$W430</f>
        <v>0.108913594556398</v>
      </c>
      <c r="AJ426" s="57" t="n">
        <f aca="false">J416/$W430</f>
        <v>0.251413727859868</v>
      </c>
      <c r="AK426" s="57" t="n">
        <f aca="false">K416/$W430</f>
        <v>0.0936349889081648</v>
      </c>
      <c r="AL426" s="57" t="n">
        <f aca="false">L416/$W430</f>
        <v>0.133333333333333</v>
      </c>
      <c r="AM426" s="57" t="n">
        <f aca="false">M416/$W430</f>
        <v>0.109259259259259</v>
      </c>
      <c r="AN426" s="57" t="n">
        <f aca="false">N416/$W430</f>
        <v>0.0860403863037752</v>
      </c>
      <c r="AO426" s="57" t="n">
        <f aca="false">O416/$W430</f>
        <v>0.0572390572390572</v>
      </c>
      <c r="AP426" s="57" t="n">
        <f aca="false">P416/$W430</f>
        <v>0.0162029459901798</v>
      </c>
      <c r="AQ426" s="57" t="n">
        <f aca="false">Q416/$W430</f>
        <v>-0.0673755986687231</v>
      </c>
      <c r="AR426" s="57" t="n">
        <f aca="false">R416/$W430</f>
        <v>-0.0846774193548385</v>
      </c>
    </row>
    <row r="427" customFormat="false" ht="28.3" hidden="false" customHeight="false" outlineLevel="0" collapsed="false">
      <c r="T427" s="13"/>
      <c r="U427" s="55" t="str">
        <f aca="false">U27</f>
        <v> Para o gráfico à esquerda, nomes das variáveis (unidade)</v>
      </c>
      <c r="V427" s="54" t="s">
        <v>38</v>
      </c>
      <c r="W427" s="54" t="s">
        <v>39</v>
      </c>
      <c r="X427" s="55"/>
      <c r="Y427" s="55"/>
      <c r="AA427" s="148" t="s">
        <v>143</v>
      </c>
      <c r="AB427" s="57" t="n">
        <f aca="false">B417/$W431</f>
        <v>0</v>
      </c>
      <c r="AC427" s="57" t="n">
        <f aca="false">C417/$W431</f>
        <v>0.777562256764836</v>
      </c>
      <c r="AD427" s="57" t="n">
        <f aca="false">D417/$W431</f>
        <v>0.152180727807263</v>
      </c>
      <c r="AE427" s="57" t="n">
        <f aca="false">E417/$W431</f>
        <v>0.0876504003722048</v>
      </c>
      <c r="AF427" s="57" t="n">
        <f aca="false">F417/$W431</f>
        <v>-0.616485711241486</v>
      </c>
      <c r="AG427" s="57" t="n">
        <f aca="false">G417/$W431</f>
        <v>-0.228803606913912</v>
      </c>
      <c r="AH427" s="57" t="n">
        <f aca="false">H417/$W431</f>
        <v>0.212992903250429</v>
      </c>
      <c r="AI427" s="57" t="n">
        <f aca="false">I417/$W431</f>
        <v>-0.108969383461409</v>
      </c>
      <c r="AJ427" s="57" t="n">
        <f aca="false">J417/$W431</f>
        <v>0.147055807701993</v>
      </c>
      <c r="AK427" s="57" t="n">
        <f aca="false">K417/$W431</f>
        <v>0.158094172693161</v>
      </c>
      <c r="AL427" s="57" t="n">
        <f aca="false">L417/$W431</f>
        <v>0</v>
      </c>
      <c r="AM427" s="57" t="n">
        <f aca="false">M417/$W431</f>
        <v>-0.037037037037037</v>
      </c>
      <c r="AN427" s="57" t="n">
        <f aca="false">N417/$W431</f>
        <v>-0.0746268656716418</v>
      </c>
      <c r="AO427" s="57" t="n">
        <f aca="false">O417/$W431</f>
        <v>-0.0757575757575758</v>
      </c>
      <c r="AP427" s="57" t="n">
        <f aca="false">P417/$W431</f>
        <v>-0.115384615384615</v>
      </c>
      <c r="AQ427" s="57" t="n">
        <f aca="false">Q417/$W431</f>
        <v>-0.118110236220472</v>
      </c>
      <c r="AR427" s="57" t="n">
        <f aca="false">R417/$W431</f>
        <v>-0.161290322580645</v>
      </c>
    </row>
    <row r="428" customFormat="false" ht="12" hidden="false" customHeight="false" outlineLevel="0" collapsed="false">
      <c r="T428" s="13"/>
      <c r="U428" s="15" t="str">
        <f aca="false">AA422</f>
        <v> Produção de alimentos (0 - 1300 Mt/ano)</v>
      </c>
      <c r="V428" s="25" t="n">
        <v>1300</v>
      </c>
      <c r="W428" s="70" t="n">
        <f aca="false">W432</f>
        <v>1300</v>
      </c>
      <c r="AA428" s="150"/>
      <c r="AB428" s="24" t="n">
        <v>1970</v>
      </c>
      <c r="AC428" s="24" t="n">
        <v>1975</v>
      </c>
      <c r="AD428" s="24" t="n">
        <v>1980</v>
      </c>
      <c r="AE428" s="24" t="n">
        <v>1985</v>
      </c>
      <c r="AF428" s="24" t="n">
        <v>1990</v>
      </c>
      <c r="AG428" s="24" t="n">
        <v>1995</v>
      </c>
      <c r="AH428" s="24" t="n">
        <v>2000</v>
      </c>
      <c r="AI428" s="24" t="n">
        <v>2005</v>
      </c>
      <c r="AJ428" s="24" t="n">
        <v>2010</v>
      </c>
      <c r="AK428" s="24" t="n">
        <v>2015</v>
      </c>
      <c r="AL428" s="24" t="n">
        <v>2020</v>
      </c>
      <c r="AM428" s="24" t="n">
        <v>2025</v>
      </c>
      <c r="AN428" s="24" t="n">
        <v>2030</v>
      </c>
      <c r="AO428" s="24" t="n">
        <v>2035</v>
      </c>
      <c r="AP428" s="24" t="n">
        <v>2040</v>
      </c>
      <c r="AQ428" s="24" t="n">
        <v>2045</v>
      </c>
      <c r="AR428" s="24" t="n">
        <v>2050</v>
      </c>
    </row>
    <row r="429" customFormat="false" ht="11.25" hidden="false" customHeight="false" outlineLevel="0" collapsed="false">
      <c r="T429" s="13"/>
      <c r="U429" s="15" t="str">
        <f aca="false">AA423</f>
        <v> Terra cultivada (0 - 150 milhões de hectares)</v>
      </c>
      <c r="V429" s="25" t="n">
        <v>150</v>
      </c>
      <c r="W429" s="70" t="n">
        <f aca="false">W433</f>
        <v>150</v>
      </c>
      <c r="AA429" s="148" t="str">
        <f aca="false">CONCATENATE("Food production (0 - ",W432," Mt / yr), Your forecast")</f>
        <v> Produção de alimentos (0 - 1300 Mt/ano), Sua previsão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57" t="n">
        <f aca="false">K420/$W432</f>
        <v>0.778846153846154</v>
      </c>
      <c r="AL429" s="57" t="n">
        <f aca="false">L420/$W432</f>
        <v>0.797870769230769</v>
      </c>
      <c r="AM429" s="57" t="n">
        <f aca="false">M420/$W432</f>
        <v>0.841458153846154</v>
      </c>
      <c r="AN429" s="57" t="n">
        <f aca="false">N420/$W432</f>
        <v>0.877657846153846</v>
      </c>
      <c r="AO429" s="57" t="n">
        <f aca="false">O420/$W432</f>
        <v>0.902776</v>
      </c>
      <c r="AP429" s="57" t="n">
        <f aca="false">P420/$W432</f>
        <v>0.910089815384615</v>
      </c>
      <c r="AQ429" s="57" t="n">
        <f aca="false">Q420/$W432</f>
        <v>0.879430892307692</v>
      </c>
      <c r="AR429" s="57" t="n">
        <f aca="false">R420/$W432</f>
        <v>0.842196923076923</v>
      </c>
    </row>
    <row r="430" s="3" customFormat="true" ht="11.25" hidden="false" customHeight="false" outlineLevel="0" collapsed="false">
      <c r="T430" s="13"/>
      <c r="U430" s="15" t="str">
        <f aca="false">AA424</f>
        <v> Rendimento bruto (0 - 10 t / ha-ano)</v>
      </c>
      <c r="V430" s="25" t="n">
        <v>10</v>
      </c>
      <c r="W430" s="70" t="n">
        <f aca="false">W434</f>
        <v>10</v>
      </c>
      <c r="AA430" s="148" t="str">
        <f aca="false">CONCATENATE("Cultivated land (0 - ",W433," Mha), Your forecast")</f>
        <v> Terra cultivada (0 - 150 milhões de hectares), sua previsão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57" t="n">
        <f aca="false">K421/$W433</f>
        <v>0.9</v>
      </c>
      <c r="AL430" s="57" t="n">
        <f aca="false">L421/$W433</f>
        <v>0.882</v>
      </c>
      <c r="AM430" s="57" t="n">
        <f aca="false">M421/$W433</f>
        <v>0.875466666666667</v>
      </c>
      <c r="AN430" s="57" t="n">
        <f aca="false">N421/$W433</f>
        <v>0.8624</v>
      </c>
      <c r="AO430" s="57" t="n">
        <f aca="false">O421/$W433</f>
        <v>0.849333333333333</v>
      </c>
      <c r="AP430" s="57" t="n">
        <f aca="false">P421/$W433</f>
        <v>0.829733333333333</v>
      </c>
      <c r="AQ430" s="57" t="n">
        <f aca="false">Q421/$W433</f>
        <v>0.810133333333333</v>
      </c>
      <c r="AR430" s="57" t="n">
        <f aca="false">R421/$W433</f>
        <v>0.784</v>
      </c>
    </row>
    <row r="431" s="3" customFormat="true" ht="11.25" hidden="false" customHeight="false" outlineLevel="0" collapsed="false">
      <c r="T431" s="13"/>
      <c r="U431" s="15" t="str">
        <f aca="false">AA425</f>
        <v> Alimento por pessoa (0 - 4 t / pessoa - ano)</v>
      </c>
      <c r="V431" s="25" t="n">
        <v>4</v>
      </c>
      <c r="W431" s="70" t="n">
        <f aca="false">W435</f>
        <v>4</v>
      </c>
      <c r="AA431" s="148" t="str">
        <f aca="false">CONCATENATE("Gross yield (0 - ",W434," t / ha-yr), Your forecast")</f>
        <v> Produtividade bruta (0 - 10 t/ha-ano), Sua previsão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57" t="n">
        <f aca="false">K422/$W434</f>
        <v>0.75</v>
      </c>
      <c r="AL431" s="57" t="n">
        <f aca="false">L422/$W434</f>
        <v>0.784</v>
      </c>
      <c r="AM431" s="57" t="n">
        <f aca="false">M422/$W434</f>
        <v>0.833</v>
      </c>
      <c r="AN431" s="57" t="n">
        <f aca="false">N422/$W434</f>
        <v>0.882</v>
      </c>
      <c r="AO431" s="57" t="n">
        <f aca="false">O422/$W434</f>
        <v>0.9212</v>
      </c>
      <c r="AP431" s="57" t="n">
        <f aca="false">P422/$W434</f>
        <v>0.9506</v>
      </c>
      <c r="AQ431" s="57" t="n">
        <f aca="false">Q422/$W434</f>
        <v>0.9408</v>
      </c>
      <c r="AR431" s="57" t="n">
        <f aca="false">R422/$W434</f>
        <v>0.931</v>
      </c>
    </row>
    <row r="432" s="3" customFormat="true" ht="11.25" hidden="false" customHeight="false" outlineLevel="0" collapsed="false">
      <c r="S432" s="131"/>
      <c r="T432" s="13"/>
      <c r="U432" s="37" t="str">
        <f aca="false">AA429</f>
        <v> Produção de alimentos (0 - 1300 Mt/ano), Sua previsão</v>
      </c>
      <c r="W432" s="4" t="n">
        <v>1300</v>
      </c>
      <c r="AA432" s="148" t="str">
        <f aca="false">CONCATENATE("Food per person (0 - ",W435," t / person - yr), Your forecast")</f>
        <v> Alimentação por pessoa (0 - 4 t/pessoa-ano), Sua previsão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57" t="n">
        <f aca="false">K423/$W435</f>
        <v>0.784714791071568</v>
      </c>
      <c r="AL432" s="57" t="n">
        <f aca="false">L423/$W435</f>
        <v>0.786972869782883</v>
      </c>
      <c r="AM432" s="57" t="n">
        <f aca="false">M423/$W435</f>
        <v>0.815364690141297</v>
      </c>
      <c r="AN432" s="57" t="n">
        <f aca="false">N423/$W435</f>
        <v>0.839156375012913</v>
      </c>
      <c r="AO432" s="57" t="n">
        <f aca="false">O423/$W435</f>
        <v>0.856164393199876</v>
      </c>
      <c r="AP432" s="57" t="n">
        <f aca="false">P423/$W435</f>
        <v>0.860852183259827</v>
      </c>
      <c r="AQ432" s="57" t="n">
        <f aca="false">Q423/$W435</f>
        <v>0.833908923821434</v>
      </c>
      <c r="AR432" s="57" t="n">
        <f aca="false">R423/$W435</f>
        <v>0.803962257578672</v>
      </c>
    </row>
    <row r="433" s="3" customFormat="true" ht="11.25" hidden="false" customHeight="false" outlineLevel="0" collapsed="false">
      <c r="T433" s="13"/>
      <c r="U433" s="37" t="str">
        <f aca="false">AA430</f>
        <v> Terra cultivada (0 - 150 milhões de hectares), sua previsão</v>
      </c>
      <c r="W433" s="4" t="n">
        <v>150</v>
      </c>
    </row>
    <row r="434" s="3" customFormat="true" ht="11.25" hidden="false" customHeight="false" outlineLevel="0" collapsed="false">
      <c r="T434" s="13"/>
      <c r="U434" s="37" t="str">
        <f aca="false">AA431</f>
        <v> Produtividade bruta (0 - 10 t/ha-ano), Sua previsão</v>
      </c>
      <c r="W434" s="4" t="n">
        <v>10</v>
      </c>
    </row>
    <row r="435" s="3" customFormat="true" ht="11.25" hidden="false" customHeight="false" outlineLevel="0" collapsed="false">
      <c r="T435" s="13"/>
      <c r="U435" s="37" t="str">
        <f aca="false">AA432</f>
        <v> Alimentação por pessoa (0 - 4 t/pessoa-ano), Sua previsão</v>
      </c>
      <c r="W435" s="4" t="n">
        <v>4</v>
      </c>
    </row>
    <row r="436" s="3" customFormat="true" ht="11.25" hidden="false" customHeight="false" outlineLevel="0" collapsed="false">
      <c r="T436" s="13"/>
    </row>
    <row r="437" s="3" customFormat="true" ht="11.25" hidden="false" customHeight="false" outlineLevel="0" collapsed="false">
      <c r="T437" s="13"/>
    </row>
    <row r="438" s="3" customFormat="true" ht="11.25" hidden="false" customHeight="false" outlineLevel="0" collapsed="false">
      <c r="T438" s="13"/>
    </row>
    <row r="439" s="3" customFormat="true" ht="11.25" hidden="false" customHeight="false" outlineLevel="0" collapsed="false">
      <c r="S439" s="131"/>
      <c r="T439" s="13"/>
    </row>
    <row r="440" s="3" customFormat="true" ht="11.25" hidden="false" customHeight="false" outlineLevel="0" collapsed="false">
      <c r="T440" s="13"/>
    </row>
    <row r="441" s="3" customFormat="true" ht="11.25" hidden="false" customHeight="false" outlineLevel="0" collapsed="false">
      <c r="T441" s="13"/>
    </row>
    <row r="442" customFormat="false" ht="11.25" hidden="false" customHeight="false" outlineLevel="0" collapsed="false">
      <c r="T442" s="13"/>
    </row>
    <row r="443" customFormat="false" ht="11.25" hidden="false" customHeight="false" outlineLevel="0" collapsed="false">
      <c r="T443" s="13"/>
    </row>
    <row r="444" customFormat="false" ht="11.25" hidden="false" customHeight="false" outlineLevel="0" collapsed="false">
      <c r="T444" s="13"/>
    </row>
    <row r="445" customFormat="false" ht="11.25" hidden="false" customHeight="false" outlineLevel="0" collapsed="false">
      <c r="T445" s="13"/>
    </row>
    <row r="446" customFormat="false" ht="11.25" hidden="false" customHeight="false" outlineLevel="0" collapsed="false">
      <c r="T446" s="13"/>
    </row>
    <row r="447" customFormat="false" ht="11.25" hidden="false" customHeight="false" outlineLevel="0" collapsed="false">
      <c r="T447" s="13"/>
    </row>
    <row r="448" s="35" customFormat="true" ht="13.8" hidden="false" customHeight="false" outlineLevel="0" collapsed="false">
      <c r="A448" s="73"/>
      <c r="T448" s="13"/>
    </row>
    <row r="449" s="35" customFormat="true" ht="13.8" hidden="false" customHeight="false" outlineLevel="0" collapsed="false">
      <c r="A449" s="73"/>
      <c r="T449" s="13"/>
    </row>
    <row r="450" customFormat="false" ht="11.25" hidden="false" customHeight="false" outlineLevel="0" collapsed="false">
      <c r="T450" s="13"/>
    </row>
    <row r="451" customFormat="false" ht="11.25" hidden="false" customHeight="false" outlineLevel="0" collapsed="false">
      <c r="T451" s="13"/>
    </row>
    <row r="452" customFormat="false" ht="11.25" hidden="false" customHeight="false" outlineLevel="0" collapsed="false">
      <c r="T452" s="13"/>
    </row>
    <row r="453" customFormat="false" ht="11.25" hidden="false" customHeight="false" outlineLevel="0" collapsed="false">
      <c r="T453" s="13"/>
    </row>
    <row r="454" customFormat="false" ht="12.65" hidden="false" customHeight="false" outlineLevel="0" collapsed="false">
      <c r="A454" s="61" t="s">
        <v>144</v>
      </c>
      <c r="T454" s="13"/>
    </row>
    <row r="455" customFormat="false" ht="12.65" hidden="false" customHeight="false" outlineLevel="0" collapsed="false">
      <c r="A455" s="23" t="str">
        <f aca="false">CONCATENATE(A454,". Non-energy Ecological Footprint - ",A5," 1970 to 2050")</f>
        <v>Gráfico 12. Pegada Ecológica Não Energética - EUA, 1970 a 2050</v>
      </c>
      <c r="T455" s="13"/>
    </row>
    <row r="456" customFormat="false" ht="11.25" hidden="false" customHeight="false" outlineLevel="0" collapsed="false">
      <c r="B456" s="24" t="n">
        <v>1970</v>
      </c>
      <c r="C456" s="24" t="n">
        <v>1975</v>
      </c>
      <c r="D456" s="24" t="n">
        <v>1980</v>
      </c>
      <c r="E456" s="24" t="n">
        <v>1985</v>
      </c>
      <c r="F456" s="24" t="n">
        <v>1990</v>
      </c>
      <c r="G456" s="24" t="n">
        <v>1995</v>
      </c>
      <c r="H456" s="24" t="n">
        <v>2000</v>
      </c>
      <c r="I456" s="24" t="n">
        <v>2005</v>
      </c>
      <c r="J456" s="24" t="n">
        <v>2010</v>
      </c>
      <c r="K456" s="24" t="n">
        <v>2015</v>
      </c>
      <c r="L456" s="24" t="n">
        <v>2020</v>
      </c>
      <c r="M456" s="24" t="n">
        <v>2025</v>
      </c>
      <c r="N456" s="24" t="n">
        <v>2030</v>
      </c>
      <c r="O456" s="24" t="n">
        <v>2035</v>
      </c>
      <c r="P456" s="24" t="n">
        <v>2040</v>
      </c>
      <c r="Q456" s="24" t="n">
        <v>2045</v>
      </c>
      <c r="R456" s="24" t="n">
        <v>2050</v>
      </c>
      <c r="S456" s="25" t="s">
        <v>15</v>
      </c>
      <c r="T456" s="13"/>
      <c r="U456" s="103" t="s">
        <v>145</v>
      </c>
    </row>
    <row r="457" customFormat="false" ht="11.25" hidden="false" customHeight="false" outlineLevel="0" collapsed="false">
      <c r="A457" s="11" t="s">
        <v>146</v>
      </c>
      <c r="B457" s="62" t="n">
        <v>1232.13789339013</v>
      </c>
      <c r="C457" s="62" t="n">
        <v>1279.62187761921</v>
      </c>
      <c r="D457" s="62" t="n">
        <v>1249.58229345038</v>
      </c>
      <c r="E457" s="62" t="n">
        <v>1279.14792949843</v>
      </c>
      <c r="F457" s="62" t="n">
        <v>1224.08061348421</v>
      </c>
      <c r="G457" s="62" t="n">
        <v>1190.42987638049</v>
      </c>
      <c r="H457" s="62" t="n">
        <v>1229.37565636967</v>
      </c>
      <c r="I457" s="62" t="n">
        <v>1196.17361704783</v>
      </c>
      <c r="J457" s="62" t="n">
        <v>1194.53415652414</v>
      </c>
      <c r="K457" s="64" t="n">
        <v>1200</v>
      </c>
      <c r="L457" s="64" t="n">
        <v>1200</v>
      </c>
      <c r="M457" s="64" t="n">
        <v>1200</v>
      </c>
      <c r="N457" s="64" t="n">
        <v>1200</v>
      </c>
      <c r="O457" s="64" t="n">
        <v>1200</v>
      </c>
      <c r="P457" s="64" t="n">
        <v>1180</v>
      </c>
      <c r="Q457" s="64" t="n">
        <v>1140</v>
      </c>
      <c r="R457" s="64" t="n">
        <v>1100</v>
      </c>
      <c r="S457" s="28" t="s">
        <v>147</v>
      </c>
      <c r="T457" s="13"/>
      <c r="U457" s="103" t="s">
        <v>85</v>
      </c>
    </row>
    <row r="458" customFormat="false" ht="11.25" hidden="false" customHeight="false" outlineLevel="0" collapsed="false">
      <c r="A458" s="11" t="s">
        <v>148</v>
      </c>
      <c r="B458" s="47"/>
      <c r="C458" s="75" t="n">
        <f aca="false">(C457-B457)/B457*100/5</f>
        <v>0.770757631654873</v>
      </c>
      <c r="D458" s="75" t="n">
        <f aca="false">(D457-C457)/C457*100/5</f>
        <v>-0.469507198872216</v>
      </c>
      <c r="E458" s="75" t="n">
        <f aca="false">(E457-D457)/D457*100/5</f>
        <v>0.47320830653598</v>
      </c>
      <c r="F458" s="75" t="n">
        <f aca="false">(F457-E457)/E457*100/5</f>
        <v>-0.860999963246047</v>
      </c>
      <c r="G458" s="75" t="n">
        <f aca="false">(G457-F457)/F457*100/5</f>
        <v>-0.549812434459468</v>
      </c>
      <c r="H458" s="75" t="n">
        <f aca="false">(H457-G457)/G457*100/5</f>
        <v>0.65431455916739</v>
      </c>
      <c r="I458" s="75" t="n">
        <f aca="false">(I457-H457)/H457*100/5</f>
        <v>-0.540144733626578</v>
      </c>
      <c r="J458" s="75" t="n">
        <f aca="false">(J457-I457)/I457*100/5</f>
        <v>-0.0274117486011155</v>
      </c>
      <c r="K458" s="75" t="n">
        <f aca="false">(K457-J457)/J457*100/5</f>
        <v>0.0915142266298122</v>
      </c>
      <c r="L458" s="75" t="n">
        <f aca="false">(L457-K457)/K457*100/5</f>
        <v>0</v>
      </c>
      <c r="M458" s="75" t="n">
        <f aca="false">(M457-L457)/L457*100/5</f>
        <v>0</v>
      </c>
      <c r="N458" s="75" t="n">
        <f aca="false">(N457-M457)/M457*100/5</f>
        <v>0</v>
      </c>
      <c r="O458" s="75" t="n">
        <f aca="false">(O457-N457)/N457*100/5</f>
        <v>0</v>
      </c>
      <c r="P458" s="75" t="n">
        <f aca="false">(P457-O457)/O457*100/5</f>
        <v>-0.333333333333333</v>
      </c>
      <c r="Q458" s="75" t="n">
        <f aca="false">(Q457-P457)/P457*100/5</f>
        <v>-0.677966101694915</v>
      </c>
      <c r="R458" s="75" t="n">
        <f aca="false">(R457-Q457)/Q457*100/5</f>
        <v>-0.701754385964912</v>
      </c>
      <c r="S458" s="28" t="s">
        <v>25</v>
      </c>
      <c r="T458" s="13"/>
    </row>
    <row r="459" customFormat="false" ht="11.25" hidden="false" customHeight="false" outlineLevel="0" collapsed="false">
      <c r="A459" s="11" t="s">
        <v>149</v>
      </c>
      <c r="B459" s="62" t="n">
        <v>772.9600527</v>
      </c>
      <c r="C459" s="62" t="n">
        <v>749.9525584</v>
      </c>
      <c r="D459" s="62" t="n">
        <v>690.512649</v>
      </c>
      <c r="E459" s="62" t="n">
        <v>826.752303</v>
      </c>
      <c r="F459" s="62" t="n">
        <v>755.113771</v>
      </c>
      <c r="G459" s="62" t="n">
        <v>693.633982</v>
      </c>
      <c r="H459" s="62" t="n">
        <v>786.163571</v>
      </c>
      <c r="I459" s="62" t="n">
        <v>818.854382</v>
      </c>
      <c r="J459" s="62" t="n">
        <v>749.36986</v>
      </c>
      <c r="K459" s="27" t="n">
        <f aca="false">K460*K9</f>
        <v>769.204527942617</v>
      </c>
      <c r="L459" s="27" t="n">
        <f aca="false">L460*L9</f>
        <v>766.41818272848</v>
      </c>
      <c r="M459" s="27" t="n">
        <f aca="false">M460*M9</f>
        <v>780.422021627906</v>
      </c>
      <c r="N459" s="27" t="n">
        <f aca="false">N460*N9</f>
        <v>771.353490212234</v>
      </c>
      <c r="O459" s="27" t="n">
        <f aca="false">O460*O9</f>
        <v>777.796358939686</v>
      </c>
      <c r="P459" s="27" t="n">
        <f aca="false">P460*P9</f>
        <v>779.869292265047</v>
      </c>
      <c r="Q459" s="27" t="n">
        <f aca="false">Q460*Q9</f>
        <v>777.906374252053</v>
      </c>
      <c r="R459" s="27" t="n">
        <f aca="false">R460*R9</f>
        <v>772.614283658254</v>
      </c>
      <c r="S459" s="28" t="s">
        <v>147</v>
      </c>
      <c r="T459" s="13"/>
    </row>
    <row r="460" customFormat="false" ht="11.25" hidden="false" customHeight="false" outlineLevel="0" collapsed="false">
      <c r="A460" s="117" t="s">
        <v>150</v>
      </c>
      <c r="B460" s="32" t="n">
        <f aca="false">B459/B9</f>
        <v>3.64185543371828</v>
      </c>
      <c r="C460" s="32" t="n">
        <f aca="false">C459/C9</f>
        <v>3.37614113710107</v>
      </c>
      <c r="D460" s="32" t="n">
        <f aca="false">D459/D9</f>
        <v>2.96205522338296</v>
      </c>
      <c r="E460" s="32" t="n">
        <f aca="false">E459/E9</f>
        <v>3.37996479212808</v>
      </c>
      <c r="F460" s="32" t="n">
        <f aca="false">F459/F9</f>
        <v>2.93851557625152</v>
      </c>
      <c r="G460" s="32" t="n">
        <f aca="false">G459/G9</f>
        <v>2.56775604364576</v>
      </c>
      <c r="H460" s="32" t="n">
        <f aca="false">H459/H9</f>
        <v>2.74480077580281</v>
      </c>
      <c r="I460" s="32" t="n">
        <f aca="false">I459/I9</f>
        <v>2.72305511148396</v>
      </c>
      <c r="J460" s="32" t="n">
        <f aca="false">J459/J9</f>
        <v>2.38469023554785</v>
      </c>
      <c r="K460" s="32" t="n">
        <f aca="false">J460*(1+K461/20)</f>
        <v>2.38469023554785</v>
      </c>
      <c r="L460" s="32" t="n">
        <f aca="false">K460*(1+L461/20)</f>
        <v>2.32507297965915</v>
      </c>
      <c r="M460" s="32" t="n">
        <f aca="false">L460*(1+M461/20)</f>
        <v>2.32507297965915</v>
      </c>
      <c r="N460" s="32" t="n">
        <f aca="false">M460*(1+N461/20)</f>
        <v>2.26694615516767</v>
      </c>
      <c r="O460" s="32" t="n">
        <f aca="false">N460*(1+O461/20)</f>
        <v>2.26694615516767</v>
      </c>
      <c r="P460" s="32" t="n">
        <f aca="false">O460*(1+P461/20)</f>
        <v>2.26694615516767</v>
      </c>
      <c r="Q460" s="32" t="n">
        <f aca="false">P460*(1+Q461/20)</f>
        <v>2.26694615516767</v>
      </c>
      <c r="R460" s="32" t="n">
        <f aca="false">Q460*(1+R461/20)</f>
        <v>2.26694615516767</v>
      </c>
      <c r="S460" s="28" t="s">
        <v>151</v>
      </c>
      <c r="T460" s="13"/>
      <c r="Y460" s="142"/>
      <c r="Z460" s="142"/>
    </row>
    <row r="461" customFormat="false" ht="11.25" hidden="false" customHeight="false" outlineLevel="0" collapsed="false">
      <c r="A461" s="117" t="s">
        <v>152</v>
      </c>
      <c r="B461" s="32"/>
      <c r="C461" s="75" t="n">
        <f aca="false">(C460-B460)/B460*100/5</f>
        <v>-1.4592248454295</v>
      </c>
      <c r="D461" s="75" t="n">
        <f aca="false">(D460-C460)/C460*100/5</f>
        <v>-2.45301305189906</v>
      </c>
      <c r="E461" s="75" t="n">
        <f aca="false">(E460-D460)/D460*100/5</f>
        <v>2.82175406755469</v>
      </c>
      <c r="F461" s="75" t="n">
        <f aca="false">(F460-E460)/E460*100/5</f>
        <v>-2.61215274729899</v>
      </c>
      <c r="G461" s="75" t="n">
        <f aca="false">(G460-F460)/F460*100/5</f>
        <v>-2.52344779522126</v>
      </c>
      <c r="H461" s="75" t="n">
        <f aca="false">(H460-G460)/G460*100/5</f>
        <v>1.37898405571019</v>
      </c>
      <c r="I461" s="75" t="n">
        <f aca="false">(I460-H460)/H460*100/5</f>
        <v>-0.158449855527238</v>
      </c>
      <c r="J461" s="75" t="n">
        <f aca="false">(J460-I460)/I460*100/5</f>
        <v>-2.48518566156904</v>
      </c>
      <c r="K461" s="78" t="n">
        <v>0</v>
      </c>
      <c r="L461" s="78" t="n">
        <v>-0.5</v>
      </c>
      <c r="M461" s="78" t="n">
        <v>0</v>
      </c>
      <c r="N461" s="78" t="n">
        <v>-0.5</v>
      </c>
      <c r="O461" s="78" t="n">
        <v>0</v>
      </c>
      <c r="P461" s="78" t="n">
        <v>0</v>
      </c>
      <c r="Q461" s="78" t="n">
        <v>0</v>
      </c>
      <c r="R461" s="78" t="n">
        <v>0</v>
      </c>
      <c r="S461" s="28" t="s">
        <v>25</v>
      </c>
      <c r="T461" s="13"/>
    </row>
    <row r="462" customFormat="false" ht="11.25" hidden="false" customHeight="false" outlineLevel="0" collapsed="false">
      <c r="A462" s="117" t="s">
        <v>153</v>
      </c>
      <c r="B462" s="27" t="n">
        <f aca="false">B457-B459</f>
        <v>459.17784069013</v>
      </c>
      <c r="C462" s="27" t="n">
        <f aca="false">C457-C459</f>
        <v>529.66931921921</v>
      </c>
      <c r="D462" s="27" t="n">
        <f aca="false">D457-D459</f>
        <v>559.06964445038</v>
      </c>
      <c r="E462" s="27" t="n">
        <f aca="false">E457-E459</f>
        <v>452.39562649843</v>
      </c>
      <c r="F462" s="27" t="n">
        <f aca="false">F457-F459</f>
        <v>468.96684248421</v>
      </c>
      <c r="G462" s="27" t="n">
        <f aca="false">G457-G459</f>
        <v>496.79589438049</v>
      </c>
      <c r="H462" s="27" t="n">
        <f aca="false">H457-H459</f>
        <v>443.21208536967</v>
      </c>
      <c r="I462" s="27" t="n">
        <f aca="false">I457-I459</f>
        <v>377.31923504783</v>
      </c>
      <c r="J462" s="27" t="n">
        <f aca="false">J457-J459</f>
        <v>445.16429652414</v>
      </c>
      <c r="K462" s="27" t="n">
        <f aca="false">K457-K459</f>
        <v>430.795472057383</v>
      </c>
      <c r="L462" s="27" t="n">
        <f aca="false">L457-L459</f>
        <v>433.58181727152</v>
      </c>
      <c r="M462" s="27" t="n">
        <f aca="false">M457-M459</f>
        <v>419.577978372094</v>
      </c>
      <c r="N462" s="27" t="n">
        <f aca="false">N457-N459</f>
        <v>428.646509787766</v>
      </c>
      <c r="O462" s="27" t="n">
        <f aca="false">O457-O459</f>
        <v>422.203641060314</v>
      </c>
      <c r="P462" s="27" t="n">
        <f aca="false">P457-P459</f>
        <v>400.130707734953</v>
      </c>
      <c r="Q462" s="27" t="n">
        <f aca="false">Q457-Q459</f>
        <v>362.093625747948</v>
      </c>
      <c r="R462" s="27" t="n">
        <f aca="false">R457-R459</f>
        <v>327.385716341746</v>
      </c>
      <c r="S462" s="28" t="s">
        <v>147</v>
      </c>
      <c r="T462" s="13"/>
    </row>
    <row r="463" customFormat="false" ht="11.25" hidden="false" customHeight="false" outlineLevel="0" collapsed="false">
      <c r="A463" s="117" t="s">
        <v>154</v>
      </c>
      <c r="B463" s="32" t="n">
        <f aca="false">B462/B9</f>
        <v>2.16344856156417</v>
      </c>
      <c r="C463" s="32" t="n">
        <f aca="false">C462/C9</f>
        <v>2.38446866758005</v>
      </c>
      <c r="D463" s="32" t="n">
        <f aca="false">D462/D9</f>
        <v>2.39821118842256</v>
      </c>
      <c r="E463" s="32" t="n">
        <f aca="false">E462/E9</f>
        <v>1.84950351408628</v>
      </c>
      <c r="F463" s="32" t="n">
        <f aca="false">F462/F9</f>
        <v>1.82497846590768</v>
      </c>
      <c r="G463" s="32" t="n">
        <f aca="false">G462/G9</f>
        <v>1.83908328218831</v>
      </c>
      <c r="H463" s="32" t="n">
        <f aca="false">H462/H9</f>
        <v>1.54742463355358</v>
      </c>
      <c r="I463" s="32" t="n">
        <f aca="false">I462/I9</f>
        <v>1.25475431803723</v>
      </c>
      <c r="J463" s="32" t="n">
        <f aca="false">J462/J9</f>
        <v>1.41662883417228</v>
      </c>
      <c r="K463" s="32" t="n">
        <f aca="false">K462/K9</f>
        <v>1.33555344308907</v>
      </c>
      <c r="L463" s="32" t="n">
        <f aca="false">L462/L9</f>
        <v>1.31535158028299</v>
      </c>
      <c r="M463" s="32" t="n">
        <f aca="false">M462/M9</f>
        <v>1.25002805320388</v>
      </c>
      <c r="N463" s="32" t="n">
        <f aca="false">N462/N9</f>
        <v>1.25975777593494</v>
      </c>
      <c r="O463" s="32" t="n">
        <f aca="false">O462/O9</f>
        <v>1.23054435752854</v>
      </c>
      <c r="P463" s="32" t="n">
        <f aca="false">P462/P9</f>
        <v>1.16311127833969</v>
      </c>
      <c r="Q463" s="32" t="n">
        <f aca="false">Q462/Q9</f>
        <v>1.05519993134041</v>
      </c>
      <c r="R463" s="32" t="n">
        <f aca="false">R462/R9</f>
        <v>0.960590305687401</v>
      </c>
      <c r="S463" s="28" t="s">
        <v>151</v>
      </c>
      <c r="T463" s="13"/>
    </row>
    <row r="464" customFormat="false" ht="12.65" hidden="false" customHeight="false" outlineLevel="0" collapsed="false">
      <c r="A464" s="108" t="s">
        <v>7</v>
      </c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T464" s="13"/>
    </row>
    <row r="465" customFormat="false" ht="11.25" hidden="false" customHeight="false" outlineLevel="0" collapsed="false">
      <c r="A465" s="117"/>
      <c r="B465" s="24" t="n">
        <v>1970</v>
      </c>
      <c r="C465" s="24" t="n">
        <v>1975</v>
      </c>
      <c r="D465" s="24" t="n">
        <v>1980</v>
      </c>
      <c r="E465" s="24" t="n">
        <v>1985</v>
      </c>
      <c r="F465" s="24" t="n">
        <v>1990</v>
      </c>
      <c r="G465" s="24" t="n">
        <v>1995</v>
      </c>
      <c r="H465" s="24" t="n">
        <v>2000</v>
      </c>
      <c r="I465" s="24" t="n">
        <v>2005</v>
      </c>
      <c r="J465" s="24" t="n">
        <v>2010</v>
      </c>
      <c r="K465" s="24" t="n">
        <v>2015</v>
      </c>
      <c r="L465" s="24" t="n">
        <v>2020</v>
      </c>
      <c r="M465" s="24" t="n">
        <v>2025</v>
      </c>
      <c r="N465" s="24" t="n">
        <v>2030</v>
      </c>
      <c r="O465" s="24" t="n">
        <v>2035</v>
      </c>
      <c r="P465" s="24" t="n">
        <v>2040</v>
      </c>
      <c r="Q465" s="24" t="n">
        <v>2045</v>
      </c>
      <c r="R465" s="24" t="n">
        <v>2050</v>
      </c>
      <c r="S465" s="25" t="s">
        <v>15</v>
      </c>
      <c r="T465" s="13"/>
    </row>
    <row r="466" s="3" customFormat="true" ht="11.25" hidden="false" customHeight="false" outlineLevel="0" collapsed="false">
      <c r="G466" s="5"/>
      <c r="H466" s="5"/>
      <c r="I466" s="5"/>
      <c r="J466" s="147" t="str">
        <f aca="false">CONCATENATE(A457,", Your forecast")</f>
        <v> Biocapacidade total, EUA, Sua previsão</v>
      </c>
      <c r="K466" s="151" t="n">
        <v>1200</v>
      </c>
      <c r="L466" s="151" t="n">
        <f aca="false">L457*0.98</f>
        <v>1176</v>
      </c>
      <c r="M466" s="151" t="n">
        <f aca="false">M457*0.98</f>
        <v>1176</v>
      </c>
      <c r="N466" s="151" t="n">
        <f aca="false">N457*0.98</f>
        <v>1176</v>
      </c>
      <c r="O466" s="151" t="n">
        <f aca="false">O457*0.98</f>
        <v>1176</v>
      </c>
      <c r="P466" s="151" t="n">
        <f aca="false">P457*0.98</f>
        <v>1156.4</v>
      </c>
      <c r="Q466" s="151" t="n">
        <f aca="false">Q457*0.98</f>
        <v>1117.2</v>
      </c>
      <c r="R466" s="151" t="n">
        <f aca="false">R457*0.98</f>
        <v>1078</v>
      </c>
      <c r="S466" s="28" t="s">
        <v>147</v>
      </c>
      <c r="T466" s="13"/>
    </row>
    <row r="467" s="3" customFormat="true" ht="11.25" hidden="false" customHeight="false" outlineLevel="0" collapsed="false">
      <c r="F467" s="8"/>
      <c r="G467" s="8"/>
      <c r="H467" s="8"/>
      <c r="I467" s="8"/>
      <c r="J467" s="146" t="str">
        <f aca="false">CONCATENATE(A458,", Your forecast")</f>
        <v> Crescimento da capacidade biológica total, sua previsão</v>
      </c>
      <c r="K467" s="137" t="n">
        <f aca="false">(K466-J457)/J457*100/5</f>
        <v>0.0915142266298122</v>
      </c>
      <c r="L467" s="137" t="n">
        <f aca="false">(L466-K466)/K466*100/5</f>
        <v>-0.4</v>
      </c>
      <c r="M467" s="137" t="n">
        <f aca="false">(M466-L466)/L466*100/5</f>
        <v>0</v>
      </c>
      <c r="N467" s="137" t="n">
        <f aca="false">(N466-M466)/M466*100/5</f>
        <v>0</v>
      </c>
      <c r="O467" s="137" t="n">
        <f aca="false">(O466-N466)/N466*100/5</f>
        <v>0</v>
      </c>
      <c r="P467" s="137" t="n">
        <f aca="false">(P466-O466)/O466*100/5</f>
        <v>-0.333333333333332</v>
      </c>
      <c r="Q467" s="137" t="n">
        <f aca="false">(Q466-P466)/P466*100/5</f>
        <v>-0.677966101694916</v>
      </c>
      <c r="R467" s="137" t="n">
        <f aca="false">(R466-Q466)/Q466*100/5</f>
        <v>-0.701754385964913</v>
      </c>
      <c r="S467" s="28" t="s">
        <v>25</v>
      </c>
      <c r="T467" s="13"/>
    </row>
    <row r="468" s="3" customFormat="true" ht="11.25" hidden="false" customHeight="false" outlineLevel="0" collapsed="false">
      <c r="G468" s="8"/>
      <c r="H468" s="8"/>
      <c r="I468" s="8"/>
      <c r="J468" s="146" t="str">
        <f aca="false">CONCATENATE(A459,", Your forecast")</f>
        <v> Pegada não energética, sua previsão</v>
      </c>
      <c r="K468" s="84" t="n">
        <f aca="false">K469*K17</f>
        <v>769.22816129</v>
      </c>
      <c r="L468" s="84" t="n">
        <f aca="false">L469*L17</f>
        <v>766.505723384945</v>
      </c>
      <c r="M468" s="84" t="n">
        <f aca="false">M469*M17</f>
        <v>780.231053041147</v>
      </c>
      <c r="N468" s="84" t="n">
        <f aca="false">N469*N17</f>
        <v>771.35131343411</v>
      </c>
      <c r="O468" s="84" t="n">
        <f aca="false">O469*O17</f>
        <v>777.665306968721</v>
      </c>
      <c r="P468" s="84" t="n">
        <f aca="false">P469*P17</f>
        <v>779.696439341635</v>
      </c>
      <c r="Q468" s="84" t="n">
        <f aca="false">Q469*Q17</f>
        <v>777.773206055469</v>
      </c>
      <c r="R468" s="84" t="n">
        <f aca="false">R469*R17</f>
        <v>772.587845096838</v>
      </c>
      <c r="S468" s="28" t="s">
        <v>147</v>
      </c>
      <c r="T468" s="13"/>
    </row>
    <row r="469" s="3" customFormat="true" ht="11.25" hidden="false" customHeight="false" outlineLevel="0" collapsed="false">
      <c r="E469" s="8"/>
      <c r="F469" s="8"/>
      <c r="G469" s="8"/>
      <c r="H469" s="8"/>
      <c r="I469" s="8"/>
      <c r="J469" s="146" t="str">
        <f aca="false">CONCATENATE(A460,", Your forecast")</f>
        <v> Pegada não energética por pessoa (NEFPP), sua previsão</v>
      </c>
      <c r="K469" s="43" t="n">
        <f aca="false">J460*(1+K470/20)</f>
        <v>2.38469023554785</v>
      </c>
      <c r="L469" s="43" t="n">
        <f aca="false">K469*(1+L470/20)</f>
        <v>2.32626532477693</v>
      </c>
      <c r="M469" s="43" t="n">
        <f aca="false">L469*(1+M470/20)</f>
        <v>2.32626532477693</v>
      </c>
      <c r="N469" s="43" t="n">
        <f aca="false">M469*(1+N470/20)</f>
        <v>2.26927182431989</v>
      </c>
      <c r="O469" s="43" t="n">
        <f aca="false">N469*(1+O470/20)</f>
        <v>2.26927182431989</v>
      </c>
      <c r="P469" s="43" t="n">
        <f aca="false">O469*(1+P470/20)</f>
        <v>2.26927182431989</v>
      </c>
      <c r="Q469" s="43" t="n">
        <f aca="false">P469*(1+Q470/20)</f>
        <v>2.26927182431989</v>
      </c>
      <c r="R469" s="43" t="n">
        <f aca="false">Q469*(1+R470/20)</f>
        <v>2.26927182431989</v>
      </c>
      <c r="S469" s="28" t="s">
        <v>151</v>
      </c>
      <c r="T469" s="13"/>
    </row>
    <row r="470" s="3" customFormat="true" ht="11.25" hidden="false" customHeight="false" outlineLevel="0" collapsed="false">
      <c r="G470" s="5"/>
      <c r="H470" s="5"/>
      <c r="I470" s="5"/>
      <c r="J470" s="147" t="str">
        <f aca="false">CONCATENATE(A461,", Your forecast")</f>
        <v> Taxa de variação do NEFPP, sua previsão</v>
      </c>
      <c r="K470" s="83" t="n">
        <v>0</v>
      </c>
      <c r="L470" s="83" t="n">
        <f aca="false">L461*0.98</f>
        <v>-0.49</v>
      </c>
      <c r="M470" s="83" t="n">
        <f aca="false">M461*0.98</f>
        <v>0</v>
      </c>
      <c r="N470" s="83" t="n">
        <f aca="false">N461*0.98</f>
        <v>-0.49</v>
      </c>
      <c r="O470" s="83" t="n">
        <f aca="false">O461*0.98</f>
        <v>0</v>
      </c>
      <c r="P470" s="83" t="n">
        <f aca="false">P461*0.98</f>
        <v>0</v>
      </c>
      <c r="Q470" s="83" t="n">
        <f aca="false">Q461*0.98</f>
        <v>0</v>
      </c>
      <c r="R470" s="83" t="n">
        <f aca="false">R461*0.98</f>
        <v>0</v>
      </c>
      <c r="S470" s="28" t="s">
        <v>25</v>
      </c>
      <c r="T470" s="13"/>
    </row>
    <row r="471" s="3" customFormat="true" ht="11.25" hidden="false" customHeight="false" outlineLevel="0" collapsed="false">
      <c r="G471" s="8"/>
      <c r="H471" s="8"/>
      <c r="I471" s="8"/>
      <c r="J471" s="146" t="str">
        <f aca="false">CONCATENATE(A462,", Your forecast")</f>
        <v> Biocapacidade não utilizada, Sua previsão</v>
      </c>
      <c r="K471" s="84" t="n">
        <f aca="false">K466-K468</f>
        <v>430.77183871</v>
      </c>
      <c r="L471" s="84" t="n">
        <f aca="false">L466-L468</f>
        <v>409.494276615055</v>
      </c>
      <c r="M471" s="84" t="n">
        <f aca="false">M466-M468</f>
        <v>395.768946958853</v>
      </c>
      <c r="N471" s="84" t="n">
        <f aca="false">N466-N468</f>
        <v>404.64868656589</v>
      </c>
      <c r="O471" s="84" t="n">
        <f aca="false">O466-O468</f>
        <v>398.334693031279</v>
      </c>
      <c r="P471" s="84" t="n">
        <f aca="false">P466-P468</f>
        <v>376.703560658365</v>
      </c>
      <c r="Q471" s="84" t="n">
        <f aca="false">Q466-Q468</f>
        <v>339.426793944531</v>
      </c>
      <c r="R471" s="84" t="n">
        <f aca="false">R466-R468</f>
        <v>305.412154903162</v>
      </c>
      <c r="S471" s="28" t="s">
        <v>147</v>
      </c>
      <c r="T471" s="13"/>
    </row>
    <row r="472" s="3" customFormat="true" ht="11.25" hidden="false" customHeight="false" outlineLevel="0" collapsed="false">
      <c r="F472" s="8"/>
      <c r="G472" s="8"/>
      <c r="H472" s="8"/>
      <c r="I472" s="8"/>
      <c r="J472" s="146" t="str">
        <f aca="false">CONCATENATE(A463,", Your forecast")</f>
        <v> Biocapacidade não utilizada por pessoa, sua previsão</v>
      </c>
      <c r="K472" s="43" t="n">
        <f aca="false">K471/K17</f>
        <v>1.33543914434699</v>
      </c>
      <c r="L472" s="43" t="n">
        <f aca="false">L471/L17</f>
        <v>1.24277263342209</v>
      </c>
      <c r="M472" s="43" t="n">
        <f aca="false">M471/M17</f>
        <v>1.17998838208931</v>
      </c>
      <c r="N472" s="43" t="n">
        <f aca="false">N471/N17</f>
        <v>1.19045349010152</v>
      </c>
      <c r="O472" s="43" t="n">
        <f aca="false">O471/O17</f>
        <v>1.16236340678285</v>
      </c>
      <c r="P472" s="43" t="n">
        <f aca="false">P471/P17</f>
        <v>1.09637896646652</v>
      </c>
      <c r="Q472" s="43" t="n">
        <f aca="false">Q471/Q17</f>
        <v>0.990329383836637</v>
      </c>
      <c r="R472" s="43" t="n">
        <f aca="false">R471/R17</f>
        <v>0.897067177959159</v>
      </c>
      <c r="S472" s="28" t="str">
        <f aca="false">S463</f>
        <v> gha / pessoa</v>
      </c>
      <c r="T472" s="13"/>
      <c r="X472" s="15" t="s">
        <v>33</v>
      </c>
    </row>
    <row r="473" customFormat="false" ht="11.25" hidden="false" customHeight="false" outlineLevel="0" collapsed="false">
      <c r="A473" s="117"/>
      <c r="T473" s="13"/>
      <c r="V473" s="3" t="s">
        <v>35</v>
      </c>
      <c r="AA473" s="52" t="s">
        <v>36</v>
      </c>
    </row>
    <row r="474" customFormat="false" ht="28.3" hidden="false" customHeight="false" outlineLevel="0" collapsed="false">
      <c r="T474" s="13"/>
      <c r="U474" s="55" t="str">
        <f aca="false">U27</f>
        <v> Para o gráfico à esquerda, nomes das variáveis (unidade)</v>
      </c>
      <c r="V474" s="54" t="s">
        <v>38</v>
      </c>
      <c r="W474" s="54" t="s">
        <v>39</v>
      </c>
      <c r="X474" s="55"/>
      <c r="Y474" s="55"/>
      <c r="AA474" s="16"/>
      <c r="AB474" s="24" t="n">
        <v>1970</v>
      </c>
      <c r="AC474" s="24" t="n">
        <v>1975</v>
      </c>
      <c r="AD474" s="24" t="n">
        <v>1980</v>
      </c>
      <c r="AE474" s="24" t="n">
        <v>1985</v>
      </c>
      <c r="AF474" s="24" t="n">
        <v>1990</v>
      </c>
      <c r="AG474" s="24" t="n">
        <v>1995</v>
      </c>
      <c r="AH474" s="24" t="n">
        <v>2000</v>
      </c>
      <c r="AI474" s="24" t="n">
        <v>2005</v>
      </c>
      <c r="AJ474" s="24" t="n">
        <v>2010</v>
      </c>
      <c r="AK474" s="24" t="n">
        <v>2015</v>
      </c>
      <c r="AL474" s="24" t="n">
        <v>2020</v>
      </c>
      <c r="AM474" s="24" t="n">
        <v>2025</v>
      </c>
      <c r="AN474" s="24" t="n">
        <v>2030</v>
      </c>
      <c r="AO474" s="24" t="n">
        <v>2035</v>
      </c>
      <c r="AP474" s="24" t="n">
        <v>2040</v>
      </c>
      <c r="AQ474" s="24" t="n">
        <v>2045</v>
      </c>
      <c r="AR474" s="24" t="n">
        <v>2050</v>
      </c>
    </row>
    <row r="475" customFormat="false" ht="11.25" hidden="false" customHeight="false" outlineLevel="0" collapsed="false">
      <c r="T475" s="13"/>
      <c r="U475" s="15" t="str">
        <f aca="false">AA475</f>
        <v> Biocapacidade total, EUA (0 - 1300 Mgha)</v>
      </c>
      <c r="V475" s="25" t="n">
        <v>1300</v>
      </c>
      <c r="W475" s="70" t="n">
        <f aca="false">W482</f>
        <v>1300</v>
      </c>
      <c r="AA475" s="152" t="str">
        <f aca="false">CONCATENATE(A457," (0 - ",W475," Mgha)")</f>
        <v> Biocapacidade total, EUA (0 - 1300 Mgha)</v>
      </c>
      <c r="AB475" s="57" t="n">
        <f aca="false">B457/$W475</f>
        <v>0.947798379530869</v>
      </c>
      <c r="AC475" s="57" t="n">
        <f aca="false">C457/$W475</f>
        <v>0.984324521245546</v>
      </c>
      <c r="AD475" s="57" t="n">
        <f aca="false">D457/$W475</f>
        <v>0.961217148807985</v>
      </c>
      <c r="AE475" s="57" t="n">
        <f aca="false">E457/$W475</f>
        <v>0.983959945768023</v>
      </c>
      <c r="AF475" s="57" t="n">
        <f aca="false">F457/$W475</f>
        <v>0.941600471910931</v>
      </c>
      <c r="AG475" s="57" t="n">
        <f aca="false">G457/$W475</f>
        <v>0.915715289523454</v>
      </c>
      <c r="AH475" s="57" t="n">
        <f aca="false">H457/$W475</f>
        <v>0.945673581822823</v>
      </c>
      <c r="AI475" s="57" t="n">
        <f aca="false">I457/$W475</f>
        <v>0.920133551575254</v>
      </c>
      <c r="AJ475" s="57" t="n">
        <f aca="false">J457/$W475</f>
        <v>0.918872428095492</v>
      </c>
      <c r="AK475" s="57" t="n">
        <f aca="false">K457/$W475</f>
        <v>0.923076923076923</v>
      </c>
      <c r="AL475" s="57" t="n">
        <f aca="false">L457/$W475</f>
        <v>0.923076923076923</v>
      </c>
      <c r="AM475" s="57" t="n">
        <f aca="false">M457/$W475</f>
        <v>0.923076923076923</v>
      </c>
      <c r="AN475" s="57" t="n">
        <f aca="false">N457/$W475</f>
        <v>0.923076923076923</v>
      </c>
      <c r="AO475" s="57" t="n">
        <f aca="false">O457/$W475</f>
        <v>0.923076923076923</v>
      </c>
      <c r="AP475" s="57" t="n">
        <f aca="false">P457/$W475</f>
        <v>0.907692307692308</v>
      </c>
      <c r="AQ475" s="57" t="n">
        <f aca="false">Q457/$W475</f>
        <v>0.876923076923077</v>
      </c>
      <c r="AR475" s="57" t="n">
        <f aca="false">R457/$W475</f>
        <v>0.846153846153846</v>
      </c>
    </row>
    <row r="476" customFormat="false" ht="11.25" hidden="false" customHeight="false" outlineLevel="0" collapsed="false">
      <c r="T476" s="13"/>
      <c r="U476" s="15" t="str">
        <f aca="false">AA476</f>
        <v> Crescimento da biocapacidade total (0 - 1 % / ano)</v>
      </c>
      <c r="V476" s="25" t="n">
        <v>1</v>
      </c>
      <c r="W476" s="70" t="n">
        <f aca="false">W483</f>
        <v>1</v>
      </c>
      <c r="AA476" s="152" t="str">
        <f aca="false">CONCATENATE(A458," (0 - ",W476," % / yr)")</f>
        <v> Crescimento da biocapacidade total (0 - 1 % / ano)</v>
      </c>
      <c r="AB476" s="57" t="n">
        <f aca="false">B458/$W476</f>
        <v>0</v>
      </c>
      <c r="AC476" s="57" t="n">
        <f aca="false">C458/$W476</f>
        <v>0.770757631654873</v>
      </c>
      <c r="AD476" s="57" t="n">
        <f aca="false">D458/$W476</f>
        <v>-0.469507198872216</v>
      </c>
      <c r="AE476" s="57" t="n">
        <f aca="false">E458/$W476</f>
        <v>0.47320830653598</v>
      </c>
      <c r="AF476" s="57" t="n">
        <f aca="false">F458/$W476</f>
        <v>-0.860999963246047</v>
      </c>
      <c r="AG476" s="57" t="n">
        <f aca="false">G458/$W476</f>
        <v>-0.549812434459468</v>
      </c>
      <c r="AH476" s="57" t="n">
        <f aca="false">H458/$W476</f>
        <v>0.65431455916739</v>
      </c>
      <c r="AI476" s="57" t="n">
        <f aca="false">I458/$W476</f>
        <v>-0.540144733626578</v>
      </c>
      <c r="AJ476" s="57" t="n">
        <f aca="false">J458/$W476</f>
        <v>-0.0274117486011155</v>
      </c>
      <c r="AK476" s="57" t="n">
        <f aca="false">K458/$W476</f>
        <v>0.0915142266298122</v>
      </c>
      <c r="AL476" s="57" t="n">
        <f aca="false">L458/$W476</f>
        <v>0</v>
      </c>
      <c r="AM476" s="57" t="n">
        <f aca="false">M458/$W476</f>
        <v>0</v>
      </c>
      <c r="AN476" s="57" t="n">
        <f aca="false">N458/$W476</f>
        <v>0</v>
      </c>
      <c r="AO476" s="57" t="n">
        <f aca="false">O458/$W476</f>
        <v>0</v>
      </c>
      <c r="AP476" s="57" t="n">
        <f aca="false">P458/$W476</f>
        <v>-0.333333333333333</v>
      </c>
      <c r="AQ476" s="57" t="n">
        <f aca="false">Q458/$W476</f>
        <v>-0.677966101694915</v>
      </c>
      <c r="AR476" s="57" t="n">
        <f aca="false">R458/$W476</f>
        <v>-0.701754385964912</v>
      </c>
    </row>
    <row r="477" customFormat="false" ht="11.25" hidden="false" customHeight="false" outlineLevel="0" collapsed="false">
      <c r="T477" s="13"/>
      <c r="U477" s="15" t="str">
        <f aca="false">AA477</f>
        <v> Pegada não energética (0 - 1300 Mgha)</v>
      </c>
      <c r="V477" s="25" t="n">
        <f aca="false">V475</f>
        <v>1300</v>
      </c>
      <c r="W477" s="70" t="n">
        <f aca="false">W484</f>
        <v>1300</v>
      </c>
      <c r="AA477" s="152" t="str">
        <f aca="false">CONCATENATE(A459," (0 - ",W477," Mgha)")</f>
        <v> Pegada não energética (0 - 1300 Mgha)</v>
      </c>
      <c r="AB477" s="57" t="n">
        <f aca="false">B459/$W477</f>
        <v>0.594584655923077</v>
      </c>
      <c r="AC477" s="57" t="n">
        <f aca="false">C459/$W477</f>
        <v>0.576886583384615</v>
      </c>
      <c r="AD477" s="57" t="n">
        <f aca="false">D459/$W477</f>
        <v>0.531163576153846</v>
      </c>
      <c r="AE477" s="57" t="n">
        <f aca="false">E459/$W477</f>
        <v>0.63596331</v>
      </c>
      <c r="AF477" s="57" t="n">
        <f aca="false">F459/$W477</f>
        <v>0.580856746923077</v>
      </c>
      <c r="AG477" s="57" t="n">
        <f aca="false">G459/$W477</f>
        <v>0.533564601538462</v>
      </c>
      <c r="AH477" s="57" t="n">
        <f aca="false">H459/$W477</f>
        <v>0.604741208461538</v>
      </c>
      <c r="AI477" s="57" t="n">
        <f aca="false">I459/$W477</f>
        <v>0.629887986153846</v>
      </c>
      <c r="AJ477" s="57" t="n">
        <f aca="false">J459/$W477</f>
        <v>0.576438353846154</v>
      </c>
      <c r="AK477" s="57" t="n">
        <f aca="false">K459/$W477</f>
        <v>0.59169579072509</v>
      </c>
      <c r="AL477" s="57" t="n">
        <f aca="false">L459/$W477</f>
        <v>0.589552448252677</v>
      </c>
      <c r="AM477" s="57" t="n">
        <f aca="false">M459/$W477</f>
        <v>0.600324632021466</v>
      </c>
      <c r="AN477" s="57" t="n">
        <f aca="false">N459/$W477</f>
        <v>0.593348838624795</v>
      </c>
      <c r="AO477" s="57" t="n">
        <f aca="false">O459/$W477</f>
        <v>0.598304891492066</v>
      </c>
      <c r="AP477" s="57" t="n">
        <f aca="false">P459/$W477</f>
        <v>0.599899455588498</v>
      </c>
      <c r="AQ477" s="57" t="n">
        <f aca="false">Q459/$W477</f>
        <v>0.598389518655425</v>
      </c>
      <c r="AR477" s="57" t="n">
        <f aca="false">R459/$W477</f>
        <v>0.594318679737119</v>
      </c>
    </row>
    <row r="478" customFormat="false" ht="11.25" hidden="false" customHeight="false" outlineLevel="0" collapsed="false">
      <c r="S478" s="131"/>
      <c r="T478" s="13"/>
      <c r="U478" s="15" t="str">
        <f aca="false">AA478</f>
        <v> Pegada de carbono não energética por pessoa (NEFPP) (0 - 4 gha/pessoa)</v>
      </c>
      <c r="V478" s="25" t="n">
        <v>4</v>
      </c>
      <c r="W478" s="70" t="n">
        <f aca="false">W485</f>
        <v>4</v>
      </c>
      <c r="AA478" s="152" t="str">
        <f aca="false">CONCATENATE(A460," (0 - ",W478," gha / person)")</f>
        <v> Pegada de carbono não energética por pessoa (NEFPP) (0 - 4 gha/pessoa)</v>
      </c>
      <c r="AB478" s="57" t="n">
        <f aca="false">B460/$W478</f>
        <v>0.91046385842957</v>
      </c>
      <c r="AC478" s="57" t="n">
        <f aca="false">C460/$W478</f>
        <v>0.844035284275268</v>
      </c>
      <c r="AD478" s="57" t="n">
        <f aca="false">D460/$W478</f>
        <v>0.74051380584574</v>
      </c>
      <c r="AE478" s="57" t="n">
        <f aca="false">E460/$W478</f>
        <v>0.844991198032021</v>
      </c>
      <c r="AF478" s="57" t="n">
        <f aca="false">F460/$W478</f>
        <v>0.734628894062881</v>
      </c>
      <c r="AG478" s="57" t="n">
        <f aca="false">G460/$W478</f>
        <v>0.64193901091144</v>
      </c>
      <c r="AH478" s="57" t="n">
        <f aca="false">H460/$W478</f>
        <v>0.686200193950703</v>
      </c>
      <c r="AI478" s="57" t="n">
        <f aca="false">I460/$W478</f>
        <v>0.68076377787099</v>
      </c>
      <c r="AJ478" s="57" t="n">
        <f aca="false">J460/$W478</f>
        <v>0.596172558886962</v>
      </c>
      <c r="AK478" s="57" t="n">
        <f aca="false">K460/$W478</f>
        <v>0.596172558886962</v>
      </c>
      <c r="AL478" s="57" t="n">
        <f aca="false">L460/$W478</f>
        <v>0.581268244914788</v>
      </c>
      <c r="AM478" s="57" t="n">
        <f aca="false">M460/$W478</f>
        <v>0.581268244914788</v>
      </c>
      <c r="AN478" s="57" t="n">
        <f aca="false">N460/$W478</f>
        <v>0.566736538791918</v>
      </c>
      <c r="AO478" s="57" t="n">
        <f aca="false">O460/$W478</f>
        <v>0.566736538791918</v>
      </c>
      <c r="AP478" s="57" t="n">
        <f aca="false">P460/$W478</f>
        <v>0.566736538791918</v>
      </c>
      <c r="AQ478" s="57" t="n">
        <f aca="false">Q460/$W478</f>
        <v>0.566736538791918</v>
      </c>
      <c r="AR478" s="57" t="n">
        <f aca="false">R460/$W478</f>
        <v>0.566736538791918</v>
      </c>
    </row>
    <row r="479" customFormat="false" ht="11.25" hidden="false" customHeight="false" outlineLevel="0" collapsed="false">
      <c r="T479" s="13"/>
      <c r="U479" s="15" t="str">
        <f aca="false">AA479</f>
        <v> Taxa de variação do NEFPP (0 - 3 % / ano)</v>
      </c>
      <c r="V479" s="25" t="n">
        <v>3</v>
      </c>
      <c r="W479" s="70" t="n">
        <f aca="false">W486</f>
        <v>3</v>
      </c>
      <c r="AA479" s="152" t="str">
        <f aca="false">CONCATENATE(A461," (0 - ",W479," % / yr)")</f>
        <v> Taxa de variação do NEFPP (0 - 3 % / ano)</v>
      </c>
      <c r="AB479" s="57" t="n">
        <f aca="false">B461/$W479</f>
        <v>0</v>
      </c>
      <c r="AC479" s="57" t="n">
        <f aca="false">C461/$W479</f>
        <v>-0.486408281809833</v>
      </c>
      <c r="AD479" s="57" t="n">
        <f aca="false">D461/$W479</f>
        <v>-0.817671017299687</v>
      </c>
      <c r="AE479" s="57" t="n">
        <f aca="false">E461/$W479</f>
        <v>0.940584689184897</v>
      </c>
      <c r="AF479" s="57" t="n">
        <f aca="false">F461/$W479</f>
        <v>-0.870717582432996</v>
      </c>
      <c r="AG479" s="57" t="n">
        <f aca="false">G461/$W479</f>
        <v>-0.841149265073754</v>
      </c>
      <c r="AH479" s="57" t="n">
        <f aca="false">H461/$W479</f>
        <v>0.459661351903398</v>
      </c>
      <c r="AI479" s="57" t="n">
        <f aca="false">I461/$W479</f>
        <v>-0.0528166185090793</v>
      </c>
      <c r="AJ479" s="57" t="n">
        <f aca="false">J461/$W479</f>
        <v>-0.828395220523015</v>
      </c>
      <c r="AK479" s="57" t="n">
        <f aca="false">K461/$W479</f>
        <v>0</v>
      </c>
      <c r="AL479" s="57" t="n">
        <f aca="false">L461/$W479</f>
        <v>-0.166666666666667</v>
      </c>
      <c r="AM479" s="57" t="n">
        <f aca="false">M461/$W479</f>
        <v>0</v>
      </c>
      <c r="AN479" s="57" t="n">
        <f aca="false">N461/$W479</f>
        <v>-0.166666666666667</v>
      </c>
      <c r="AO479" s="57" t="n">
        <f aca="false">O461/$W479</f>
        <v>0</v>
      </c>
      <c r="AP479" s="57" t="n">
        <f aca="false">P461/$W479</f>
        <v>0</v>
      </c>
      <c r="AQ479" s="57" t="n">
        <f aca="false">Q461/$W479</f>
        <v>0</v>
      </c>
      <c r="AR479" s="57" t="n">
        <f aca="false">R461/$W479</f>
        <v>0</v>
      </c>
    </row>
    <row r="480" s="3" customFormat="true" ht="11.25" hidden="false" customHeight="false" outlineLevel="0" collapsed="false">
      <c r="T480" s="13"/>
      <c r="U480" s="15" t="str">
        <f aca="false">AA480</f>
        <v> Biocapacidade não utilizada (0 - 1300 Mgha)</v>
      </c>
      <c r="V480" s="25" t="n">
        <f aca="false">V475</f>
        <v>1300</v>
      </c>
      <c r="W480" s="70" t="n">
        <f aca="false">W487</f>
        <v>1300</v>
      </c>
      <c r="AA480" s="152" t="str">
        <f aca="false">CONCATENATE(A462," (0 - ",W480," Mgha)")</f>
        <v>Biocapacidade não utilizada (0 - 1300 Mgha)</v>
      </c>
      <c r="AB480" s="57" t="n">
        <f aca="false">B462/$W480</f>
        <v>0.353213723607792</v>
      </c>
      <c r="AC480" s="57" t="n">
        <f aca="false">C462/$W480</f>
        <v>0.407437937860931</v>
      </c>
      <c r="AD480" s="57" t="n">
        <f aca="false">D462/$W480</f>
        <v>0.430053572654139</v>
      </c>
      <c r="AE480" s="57" t="n">
        <f aca="false">E462/$W480</f>
        <v>0.347996635768023</v>
      </c>
      <c r="AF480" s="57" t="n">
        <f aca="false">F462/$W480</f>
        <v>0.360743724987854</v>
      </c>
      <c r="AG480" s="57" t="n">
        <f aca="false">G462/$W480</f>
        <v>0.382150687984992</v>
      </c>
      <c r="AH480" s="57" t="n">
        <f aca="false">H462/$W480</f>
        <v>0.340932373361284</v>
      </c>
      <c r="AI480" s="57" t="n">
        <f aca="false">I462/$W480</f>
        <v>0.290245565421408</v>
      </c>
      <c r="AJ480" s="57" t="n">
        <f aca="false">J462/$W480</f>
        <v>0.342434074249338</v>
      </c>
      <c r="AK480" s="57" t="n">
        <f aca="false">K462/$W480</f>
        <v>0.331381132351833</v>
      </c>
      <c r="AL480" s="57" t="n">
        <f aca="false">L462/$W480</f>
        <v>0.333524474824246</v>
      </c>
      <c r="AM480" s="57" t="n">
        <f aca="false">M462/$W480</f>
        <v>0.322752291055457</v>
      </c>
      <c r="AN480" s="57" t="n">
        <f aca="false">N462/$W480</f>
        <v>0.329728084452128</v>
      </c>
      <c r="AO480" s="57" t="n">
        <f aca="false">O462/$W480</f>
        <v>0.324772031584857</v>
      </c>
      <c r="AP480" s="57" t="n">
        <f aca="false">P462/$W480</f>
        <v>0.30779285210381</v>
      </c>
      <c r="AQ480" s="57" t="n">
        <f aca="false">Q462/$W480</f>
        <v>0.278533558267652</v>
      </c>
      <c r="AR480" s="57" t="n">
        <f aca="false">R462/$W480</f>
        <v>0.251835166416728</v>
      </c>
    </row>
    <row r="481" s="3" customFormat="true" ht="11.25" hidden="false" customHeight="false" outlineLevel="0" collapsed="false">
      <c r="S481" s="29"/>
      <c r="T481" s="13"/>
      <c r="U481" s="148" t="str">
        <f aca="false">AA481</f>
        <v> Biocapacidade não utilizada por pessoa (0 - 2,5 gha / pessoa)</v>
      </c>
      <c r="V481" s="25" t="n">
        <v>2.5</v>
      </c>
      <c r="W481" s="70" t="n">
        <f aca="false">W488</f>
        <v>2.5</v>
      </c>
      <c r="AA481" s="152" t="str">
        <f aca="false">CONCATENATE(A463," (0 - ",W481," gha / person)")</f>
        <v> Biocapacidade não utilizada por pessoa (0 - 2,5 gha / pessoa)</v>
      </c>
      <c r="AB481" s="57" t="n">
        <f aca="false">B463/$W481</f>
        <v>0.865379424625667</v>
      </c>
      <c r="AC481" s="57" t="n">
        <f aca="false">C463/$W481</f>
        <v>0.953787467032019</v>
      </c>
      <c r="AD481" s="57" t="n">
        <f aca="false">D463/$W481</f>
        <v>0.959284475369026</v>
      </c>
      <c r="AE481" s="57" t="n">
        <f aca="false">E463/$W481</f>
        <v>0.73980140563451</v>
      </c>
      <c r="AF481" s="57" t="n">
        <f aca="false">F463/$W481</f>
        <v>0.729991386363073</v>
      </c>
      <c r="AG481" s="57" t="n">
        <f aca="false">G463/$W481</f>
        <v>0.735633312875322</v>
      </c>
      <c r="AH481" s="57" t="n">
        <f aca="false">H463/$W481</f>
        <v>0.618969853421433</v>
      </c>
      <c r="AI481" s="57" t="n">
        <f aca="false">I463/$W481</f>
        <v>0.501901727214894</v>
      </c>
      <c r="AJ481" s="57" t="n">
        <f aca="false">J463/$W481</f>
        <v>0.566651533668911</v>
      </c>
      <c r="AK481" s="57" t="n">
        <f aca="false">K463/$W481</f>
        <v>0.53422137723563</v>
      </c>
      <c r="AL481" s="57" t="n">
        <f aca="false">L463/$W481</f>
        <v>0.526140632113196</v>
      </c>
      <c r="AM481" s="57" t="n">
        <f aca="false">M463/$W481</f>
        <v>0.500011221281553</v>
      </c>
      <c r="AN481" s="57" t="n">
        <f aca="false">N463/$W481</f>
        <v>0.503903110373977</v>
      </c>
      <c r="AO481" s="57" t="n">
        <f aca="false">O463/$W481</f>
        <v>0.492217743011415</v>
      </c>
      <c r="AP481" s="57" t="n">
        <f aca="false">P463/$W481</f>
        <v>0.465244511335877</v>
      </c>
      <c r="AQ481" s="57" t="n">
        <f aca="false">Q463/$W481</f>
        <v>0.422079972536163</v>
      </c>
      <c r="AR481" s="57" t="n">
        <f aca="false">R463/$W481</f>
        <v>0.38423612227496</v>
      </c>
    </row>
    <row r="482" s="3" customFormat="true" ht="11.25" hidden="false" customHeight="false" outlineLevel="0" collapsed="false">
      <c r="S482" s="29"/>
      <c r="T482" s="13"/>
      <c r="U482" s="37" t="str">
        <f aca="false">AA483</f>
        <v> Biocapacidade total, EUA (0 - 1300 Mgha), Sua previsão</v>
      </c>
      <c r="W482" s="4" t="n">
        <v>1300</v>
      </c>
      <c r="AA482" s="153"/>
      <c r="AB482" s="24" t="n">
        <v>1970</v>
      </c>
      <c r="AC482" s="24" t="n">
        <v>1975</v>
      </c>
      <c r="AD482" s="24" t="n">
        <v>1980</v>
      </c>
      <c r="AE482" s="24" t="n">
        <v>1985</v>
      </c>
      <c r="AF482" s="24" t="n">
        <v>1990</v>
      </c>
      <c r="AG482" s="24" t="n">
        <v>1995</v>
      </c>
      <c r="AH482" s="24" t="n">
        <v>2000</v>
      </c>
      <c r="AI482" s="24" t="n">
        <v>2005</v>
      </c>
      <c r="AJ482" s="24" t="n">
        <v>2010</v>
      </c>
      <c r="AK482" s="24" t="n">
        <v>2015</v>
      </c>
      <c r="AL482" s="24" t="n">
        <v>2020</v>
      </c>
      <c r="AM482" s="24" t="n">
        <v>2025</v>
      </c>
      <c r="AN482" s="24" t="n">
        <v>2030</v>
      </c>
      <c r="AO482" s="24" t="n">
        <v>2035</v>
      </c>
      <c r="AP482" s="24" t="n">
        <v>2040</v>
      </c>
      <c r="AQ482" s="24" t="n">
        <v>2045</v>
      </c>
      <c r="AR482" s="24" t="n">
        <v>2050</v>
      </c>
    </row>
    <row r="483" s="3" customFormat="true" ht="11.25" hidden="false" customHeight="false" outlineLevel="0" collapsed="false">
      <c r="S483" s="29"/>
      <c r="T483" s="13"/>
      <c r="U483" s="37" t="str">
        <f aca="false">AA484</f>
        <v> Crescimento da biocapacidade total (0 - 1% ao ano), sua previsão</v>
      </c>
      <c r="W483" s="4" t="n">
        <v>1</v>
      </c>
      <c r="AA483" s="152" t="str">
        <f aca="false">CONCATENATE(A457," (0 - ",W482," Mgha), Your forecast")</f>
        <v> Biocapacidade total, EUA (0 - 1300 Mgha), Sua previsão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57" t="n">
        <f aca="false">K466/$W482</f>
        <v>0.923076923076923</v>
      </c>
      <c r="AL483" s="57" t="n">
        <f aca="false">L466/$W482</f>
        <v>0.904615384615385</v>
      </c>
      <c r="AM483" s="57" t="n">
        <f aca="false">M466/$W482</f>
        <v>0.904615384615385</v>
      </c>
      <c r="AN483" s="57" t="n">
        <f aca="false">N466/$W482</f>
        <v>0.904615384615385</v>
      </c>
      <c r="AO483" s="57" t="n">
        <f aca="false">O466/$W482</f>
        <v>0.904615384615385</v>
      </c>
      <c r="AP483" s="57" t="n">
        <f aca="false">P466/$W482</f>
        <v>0.889538461538462</v>
      </c>
      <c r="AQ483" s="57" t="n">
        <f aca="false">Q466/$W482</f>
        <v>0.859384615384615</v>
      </c>
      <c r="AR483" s="57" t="n">
        <f aca="false">R466/$W482</f>
        <v>0.829230769230769</v>
      </c>
    </row>
    <row r="484" s="3" customFormat="true" ht="11.25" hidden="false" customHeight="false" outlineLevel="0" collapsed="false">
      <c r="S484" s="29"/>
      <c r="T484" s="13"/>
      <c r="U484" s="37" t="str">
        <f aca="false">AA485</f>
        <v> Pegada não energética (0 - 1300 Mgha), Sua previsão</v>
      </c>
      <c r="W484" s="93" t="n">
        <f aca="false">W482</f>
        <v>1300</v>
      </c>
      <c r="AA484" s="152" t="str">
        <f aca="false">CONCATENATE(A458," (0 - ",W483," % / yr), Your forecast")</f>
        <v> Crescimento da biocapacidade total (0 - 1% ao ano), sua previsão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57" t="n">
        <f aca="false">K467/$W483</f>
        <v>0.0915142266298122</v>
      </c>
      <c r="AL484" s="57" t="n">
        <f aca="false">L467/$W483</f>
        <v>-0.4</v>
      </c>
      <c r="AM484" s="57" t="n">
        <f aca="false">M467/$W483</f>
        <v>0</v>
      </c>
      <c r="AN484" s="57" t="n">
        <f aca="false">N467/$W483</f>
        <v>0</v>
      </c>
      <c r="AO484" s="57" t="n">
        <f aca="false">O467/$W483</f>
        <v>0</v>
      </c>
      <c r="AP484" s="57" t="n">
        <f aca="false">P467/$W483</f>
        <v>-0.333333333333332</v>
      </c>
      <c r="AQ484" s="57" t="n">
        <f aca="false">Q467/$W483</f>
        <v>-0.677966101694916</v>
      </c>
      <c r="AR484" s="57" t="n">
        <f aca="false">R467/$W483</f>
        <v>-0.701754385964913</v>
      </c>
    </row>
    <row r="485" s="3" customFormat="true" ht="11.25" hidden="false" customHeight="false" outlineLevel="0" collapsed="false">
      <c r="S485" s="29"/>
      <c r="T485" s="13"/>
      <c r="U485" s="37" t="str">
        <f aca="false">AA486</f>
        <v> Pegada de carbono não energética por pessoa (NEFPP) (0 - 4 gha/pessoa), sua previsão</v>
      </c>
      <c r="W485" s="4" t="n">
        <v>4</v>
      </c>
      <c r="AA485" s="152" t="str">
        <f aca="false">CONCATENATE(A459," (0 - ",W484," Mgha), Your forecast")</f>
        <v> Pegada não energética (0 - 1300 Mgha), Sua previsão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57" t="n">
        <f aca="false">K468/$W484</f>
        <v>0.591713970223077</v>
      </c>
      <c r="AL485" s="57" t="n">
        <f aca="false">L468/$W484</f>
        <v>0.589619787219189</v>
      </c>
      <c r="AM485" s="57" t="n">
        <f aca="false">M468/$W484</f>
        <v>0.600177733108575</v>
      </c>
      <c r="AN485" s="57" t="n">
        <f aca="false">N468/$W484</f>
        <v>0.593347164180085</v>
      </c>
      <c r="AO485" s="57" t="n">
        <f aca="false">O468/$W484</f>
        <v>0.598204082283631</v>
      </c>
      <c r="AP485" s="57" t="n">
        <f aca="false">P468/$W484</f>
        <v>0.599766491801257</v>
      </c>
      <c r="AQ485" s="57" t="n">
        <f aca="false">Q468/$W484</f>
        <v>0.59828708158113</v>
      </c>
      <c r="AR485" s="57" t="n">
        <f aca="false">R468/$W484</f>
        <v>0.594298342382183</v>
      </c>
    </row>
    <row r="486" s="3" customFormat="true" ht="11.25" hidden="false" customHeight="false" outlineLevel="0" collapsed="false">
      <c r="S486" s="29"/>
      <c r="T486" s="13"/>
      <c r="U486" s="37" t="str">
        <f aca="false">AA487</f>
        <v> Taxa de variação do NEFPP (0 - 3 % / ano), Sua previsão</v>
      </c>
      <c r="W486" s="4" t="n">
        <v>3</v>
      </c>
      <c r="AA486" s="152" t="str">
        <f aca="false">CONCATENATE(A460," (0 - ",W485," gha / person), Your forecast")</f>
        <v> Pegada de carbono não energética por pessoa (NEFPP) (0 - 4 gha/pessoa), sua previsão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57" t="n">
        <f aca="false">K469/$W485</f>
        <v>0.596172558886962</v>
      </c>
      <c r="AL486" s="57" t="n">
        <f aca="false">L469/$W485</f>
        <v>0.581566331194232</v>
      </c>
      <c r="AM486" s="57" t="n">
        <f aca="false">M469/$W485</f>
        <v>0.581566331194232</v>
      </c>
      <c r="AN486" s="57" t="n">
        <f aca="false">N469/$W485</f>
        <v>0.567317956079973</v>
      </c>
      <c r="AO486" s="57" t="n">
        <f aca="false">O469/$W485</f>
        <v>0.567317956079973</v>
      </c>
      <c r="AP486" s="57" t="n">
        <f aca="false">P469/$W485</f>
        <v>0.567317956079973</v>
      </c>
      <c r="AQ486" s="57" t="n">
        <f aca="false">Q469/$W485</f>
        <v>0.567317956079973</v>
      </c>
      <c r="AR486" s="57" t="n">
        <f aca="false">R469/$W485</f>
        <v>0.567317956079973</v>
      </c>
    </row>
    <row r="487" s="3" customFormat="true" ht="11.25" hidden="false" customHeight="false" outlineLevel="0" collapsed="false">
      <c r="S487" s="29"/>
      <c r="T487" s="13"/>
      <c r="U487" s="37" t="str">
        <f aca="false">AA488</f>
        <v> Biocapacidade não utilizada (0 - 1300 Mgha), Sua previsão</v>
      </c>
      <c r="W487" s="93" t="n">
        <f aca="false">W482</f>
        <v>1300</v>
      </c>
      <c r="AA487" s="152" t="str">
        <f aca="false">CONCATENATE(A461," (0 - ",W486," % / yr), Your forecast")</f>
        <v> Taxa de variação do NEFPP (0 - 3 % / ano), Sua previsão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57" t="n">
        <f aca="false">K470/$W486</f>
        <v>0</v>
      </c>
      <c r="AL487" s="57" t="n">
        <f aca="false">L470/$W486</f>
        <v>-0.163333333333333</v>
      </c>
      <c r="AM487" s="57" t="n">
        <f aca="false">M470/$W486</f>
        <v>0</v>
      </c>
      <c r="AN487" s="57" t="n">
        <f aca="false">N470/$W486</f>
        <v>-0.163333333333333</v>
      </c>
      <c r="AO487" s="57" t="n">
        <f aca="false">O470/$W486</f>
        <v>0</v>
      </c>
      <c r="AP487" s="57" t="n">
        <f aca="false">P470/$W486</f>
        <v>0</v>
      </c>
      <c r="AQ487" s="57" t="n">
        <f aca="false">Q470/$W486</f>
        <v>0</v>
      </c>
      <c r="AR487" s="57" t="n">
        <f aca="false">R470/$W486</f>
        <v>0</v>
      </c>
    </row>
    <row r="488" s="3" customFormat="true" ht="11.25" hidden="false" customHeight="false" outlineLevel="0" collapsed="false">
      <c r="S488" s="29"/>
      <c r="T488" s="13"/>
      <c r="U488" s="37" t="str">
        <f aca="false">AA489</f>
        <v> Biocapacidade não utilizada por pessoa (0 - 2,5 gha/pessoa), Sua previsão</v>
      </c>
      <c r="W488" s="4" t="n">
        <v>2.5</v>
      </c>
      <c r="AA488" s="152" t="str">
        <f aca="false">CONCATENATE(A462," (0 - ",W487," Mgha), Your forecast")</f>
        <v> Biocapacidade não utilizada (0 - 1300 Mgha), Sua previsão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57" t="n">
        <f aca="false">K471/$W487</f>
        <v>0.331362952853846</v>
      </c>
      <c r="AL488" s="57" t="n">
        <f aca="false">L471/$W487</f>
        <v>0.314995597396196</v>
      </c>
      <c r="AM488" s="57" t="n">
        <f aca="false">M471/$W487</f>
        <v>0.30443765150681</v>
      </c>
      <c r="AN488" s="57" t="n">
        <f aca="false">N471/$W487</f>
        <v>0.3112682204353</v>
      </c>
      <c r="AO488" s="57" t="n">
        <f aca="false">O471/$W487</f>
        <v>0.306411302331753</v>
      </c>
      <c r="AP488" s="57" t="n">
        <f aca="false">P471/$W487</f>
        <v>0.289771969737204</v>
      </c>
      <c r="AQ488" s="57" t="n">
        <f aca="false">Q471/$W487</f>
        <v>0.261097533803486</v>
      </c>
      <c r="AR488" s="57" t="n">
        <f aca="false">R471/$W487</f>
        <v>0.234932426848586</v>
      </c>
    </row>
    <row r="489" s="3" customFormat="true" ht="11.25" hidden="false" customHeight="false" outlineLevel="0" collapsed="false">
      <c r="S489" s="29"/>
      <c r="T489" s="13"/>
      <c r="AA489" s="152" t="str">
        <f aca="false">CONCATENATE(A463," (0 - ",W488," gha / person), Your forecast")</f>
        <v>Biocapacidade não utilizada por pessoa (0 - 2,5 gha/pessoa), Sua previsão</v>
      </c>
      <c r="AB489" s="29"/>
      <c r="AC489" s="29"/>
      <c r="AD489" s="29"/>
      <c r="AE489" s="29"/>
      <c r="AF489" s="29"/>
      <c r="AG489" s="29"/>
      <c r="AH489" s="29"/>
      <c r="AI489" s="29"/>
      <c r="AJ489" s="29"/>
      <c r="AK489" s="57" t="n">
        <f aca="false">K472/$W488</f>
        <v>0.534175657738798</v>
      </c>
      <c r="AL489" s="57" t="n">
        <f aca="false">L472/$W488</f>
        <v>0.497109053368836</v>
      </c>
      <c r="AM489" s="57" t="n">
        <f aca="false">M472/$W488</f>
        <v>0.471995352835723</v>
      </c>
      <c r="AN489" s="57" t="n">
        <f aca="false">N472/$W488</f>
        <v>0.476181396040607</v>
      </c>
      <c r="AO489" s="57" t="n">
        <f aca="false">O472/$W488</f>
        <v>0.464945362713141</v>
      </c>
      <c r="AP489" s="57" t="n">
        <f aca="false">P472/$W488</f>
        <v>0.438551586586608</v>
      </c>
      <c r="AQ489" s="57" t="n">
        <f aca="false">Q472/$W488</f>
        <v>0.396131753534655</v>
      </c>
      <c r="AR489" s="57" t="n">
        <f aca="false">R472/$W488</f>
        <v>0.358826871183664</v>
      </c>
    </row>
    <row r="490" customFormat="false" ht="11.25" hidden="false" customHeight="false" outlineLevel="0" collapsed="false">
      <c r="S490" s="29"/>
      <c r="T490" s="13"/>
    </row>
    <row r="491" customFormat="false" ht="11.25" hidden="false" customHeight="false" outlineLevel="0" collapsed="false">
      <c r="T491" s="13"/>
    </row>
    <row r="492" customFormat="false" ht="11.25" hidden="false" customHeight="false" outlineLevel="0" collapsed="false">
      <c r="T492" s="13"/>
    </row>
    <row r="493" customFormat="false" ht="11.25" hidden="false" customHeight="false" outlineLevel="0" collapsed="false">
      <c r="T493" s="13"/>
    </row>
    <row r="494" customFormat="false" ht="11.25" hidden="false" customHeight="false" outlineLevel="0" collapsed="false">
      <c r="T494" s="13"/>
    </row>
    <row r="495" customFormat="false" ht="11.25" hidden="false" customHeight="false" outlineLevel="0" collapsed="false">
      <c r="T495" s="13"/>
    </row>
    <row r="496" customFormat="false" ht="11.25" hidden="false" customHeight="false" outlineLevel="0" collapsed="false">
      <c r="T496" s="13"/>
    </row>
    <row r="497" customFormat="false" ht="11.25" hidden="false" customHeight="false" outlineLevel="0" collapsed="false">
      <c r="T497" s="13"/>
    </row>
    <row r="498" customFormat="false" ht="11.25" hidden="false" customHeight="false" outlineLevel="0" collapsed="false">
      <c r="T498" s="13"/>
    </row>
    <row r="499" customFormat="false" ht="11.25" hidden="false" customHeight="false" outlineLevel="0" collapsed="false">
      <c r="T499" s="13"/>
    </row>
    <row r="500" customFormat="false" ht="11.25" hidden="false" customHeight="false" outlineLevel="0" collapsed="false">
      <c r="T500" s="13"/>
    </row>
    <row r="501" customFormat="false" ht="11.25" hidden="false" customHeight="false" outlineLevel="0" collapsed="false">
      <c r="T501" s="13"/>
    </row>
    <row r="502" s="35" customFormat="true" ht="13.8" hidden="false" customHeight="false" outlineLevel="0" collapsed="false">
      <c r="A502" s="61" t="s">
        <v>155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3"/>
      <c r="U502" s="3"/>
      <c r="V502" s="3"/>
      <c r="W502" s="3"/>
      <c r="X502" s="15" t="s">
        <v>33</v>
      </c>
      <c r="Y502" s="3"/>
    </row>
    <row r="503" customFormat="false" ht="12.65" hidden="false" customHeight="false" outlineLevel="0" collapsed="false">
      <c r="A503" s="23" t="str">
        <f aca="false">CONCATENATE(A502,". State of Affairs - ",A5," 1970 to 2050")</f>
        <v> Gráfico 13. Situação Atual - EUA, 1970 a 2050</v>
      </c>
      <c r="T503" s="13"/>
      <c r="V503" s="3" t="s">
        <v>35</v>
      </c>
      <c r="AA503" s="52" t="s">
        <v>36</v>
      </c>
    </row>
    <row r="504" customFormat="false" ht="28.3" hidden="false" customHeight="false" outlineLevel="0" collapsed="false">
      <c r="T504" s="13"/>
      <c r="U504" s="55" t="str">
        <f aca="false">U27</f>
        <v> Para o gráfico à esquerda, nomes das variáveis (unidade)</v>
      </c>
      <c r="V504" s="54" t="s">
        <v>38</v>
      </c>
      <c r="W504" s="54" t="s">
        <v>39</v>
      </c>
      <c r="X504" s="55"/>
      <c r="Y504" s="55"/>
      <c r="AB504" s="24" t="n">
        <v>1970</v>
      </c>
      <c r="AC504" s="24" t="n">
        <v>1975</v>
      </c>
      <c r="AD504" s="24" t="n">
        <v>1980</v>
      </c>
      <c r="AE504" s="24" t="n">
        <v>1985</v>
      </c>
      <c r="AF504" s="24" t="n">
        <v>1990</v>
      </c>
      <c r="AG504" s="24" t="n">
        <v>1995</v>
      </c>
      <c r="AH504" s="24" t="n">
        <v>2000</v>
      </c>
      <c r="AI504" s="24" t="n">
        <v>2005</v>
      </c>
      <c r="AJ504" s="24" t="n">
        <v>2010</v>
      </c>
      <c r="AK504" s="24" t="n">
        <v>2015</v>
      </c>
      <c r="AL504" s="24" t="n">
        <v>2020</v>
      </c>
      <c r="AM504" s="24" t="n">
        <v>2025</v>
      </c>
      <c r="AN504" s="24" t="n">
        <v>2030</v>
      </c>
      <c r="AO504" s="24" t="n">
        <v>2035</v>
      </c>
      <c r="AP504" s="24" t="n">
        <v>2040</v>
      </c>
      <c r="AQ504" s="24" t="n">
        <v>2045</v>
      </c>
      <c r="AR504" s="24" t="n">
        <v>2050</v>
      </c>
    </row>
    <row r="505" customFormat="false" ht="11.25" hidden="false" customHeight="false" outlineLevel="0" collapsed="false">
      <c r="T505" s="13"/>
      <c r="U505" s="15" t="str">
        <f aca="false">AA505</f>
        <v> População (0 - 0,35G pessoas)</v>
      </c>
      <c r="V505" s="25" t="n">
        <v>350</v>
      </c>
      <c r="W505" s="70" t="n">
        <f aca="false">W510</f>
        <v>350</v>
      </c>
      <c r="AA505" s="29" t="str">
        <f aca="false">CONCATENATE("Population (0 - ",W505/1000,"G persons)")</f>
        <v> População (0 - 0,35G pessoas)</v>
      </c>
      <c r="AB505" s="57" t="n">
        <f aca="false">B9/$W$505</f>
        <v>0.606409928571429</v>
      </c>
      <c r="AC505" s="57" t="n">
        <f aca="false">C9/$W$505</f>
        <v>0.634665882857143</v>
      </c>
      <c r="AD505" s="57" t="n">
        <f aca="false">D9/$W$505</f>
        <v>0.666055537142857</v>
      </c>
      <c r="AE505" s="57" t="n">
        <f aca="false">E9/$W$505</f>
        <v>0.69886806</v>
      </c>
      <c r="AF505" s="57" t="n">
        <f aca="false">F9/$W$505</f>
        <v>0.734203328571429</v>
      </c>
      <c r="AG505" s="57" t="n">
        <f aca="false">G9/$W$505</f>
        <v>0.771806722857143</v>
      </c>
      <c r="AH505" s="57" t="n">
        <f aca="false">H9/$W$505</f>
        <v>0.818340497142857</v>
      </c>
      <c r="AI505" s="57" t="n">
        <f aca="false">I9/$W$505</f>
        <v>0.859176128571429</v>
      </c>
      <c r="AJ505" s="57" t="n">
        <f aca="false">J9/$W$505</f>
        <v>0.897834322857143</v>
      </c>
      <c r="AK505" s="57" t="n">
        <f aca="false">K9/$W$505</f>
        <v>0.921598616848571</v>
      </c>
      <c r="AL505" s="57" t="n">
        <f aca="false">L9/$W$505</f>
        <v>0.941805377949082</v>
      </c>
      <c r="AM505" s="57" t="n">
        <f aca="false">M9/$W$505</f>
        <v>0.959013856407224</v>
      </c>
      <c r="AN505" s="57" t="n">
        <f aca="false">N9/$W$505</f>
        <v>0.972174442638709</v>
      </c>
      <c r="AO505" s="57" t="n">
        <f aca="false">O9/$W$505</f>
        <v>0.980294704481799</v>
      </c>
      <c r="AP505" s="57" t="n">
        <f aca="false">P9/$W$505</f>
        <v>0.982907323502498</v>
      </c>
      <c r="AQ505" s="57" t="n">
        <f aca="false">Q9/$W$505</f>
        <v>0.980433362148276</v>
      </c>
      <c r="AR505" s="57" t="n">
        <f aca="false">R9/$W$505</f>
        <v>0.973763482140339</v>
      </c>
    </row>
    <row r="506" customFormat="false" ht="11.25" hidden="false" customHeight="false" outlineLevel="0" collapsed="false">
      <c r="T506" s="13"/>
      <c r="U506" s="15" t="str">
        <f aca="false">AA506</f>
        <v> PIB (0 - 18 trilhões de dólares por ano)</v>
      </c>
      <c r="V506" s="25" t="n">
        <v>18</v>
      </c>
      <c r="W506" s="70" t="n">
        <f aca="false">W511</f>
        <v>18</v>
      </c>
      <c r="AA506" s="29" t="str">
        <f aca="false">CONCATENATE("GDP (0 - ",W506," T$ per yr)")</f>
        <v> PIB (0 - 18 trilhões de dólares por ano)</v>
      </c>
      <c r="AB506" s="57" t="n">
        <f aca="false">B96/$W506</f>
        <v>0.235199809967019</v>
      </c>
      <c r="AC506" s="57" t="n">
        <f aca="false">C96/$W506</f>
        <v>0.268849626044538</v>
      </c>
      <c r="AD506" s="57" t="n">
        <f aca="false">D96/$W506</f>
        <v>0.320006164883235</v>
      </c>
      <c r="AE506" s="57" t="n">
        <f aca="false">E96/$W506</f>
        <v>0.379246867026703</v>
      </c>
      <c r="AF506" s="57" t="n">
        <f aca="false">F96/$W506</f>
        <v>0.443805603576457</v>
      </c>
      <c r="AG506" s="57" t="n">
        <f aca="false">G96/$W506</f>
        <v>0.50256614611632</v>
      </c>
      <c r="AH506" s="57" t="n">
        <f aca="false">H96/$W506</f>
        <v>0.619294741071094</v>
      </c>
      <c r="AI506" s="57" t="n">
        <f aca="false">I96/$W506</f>
        <v>0.704559678180508</v>
      </c>
      <c r="AJ506" s="57" t="n">
        <f aca="false">J96/$W506</f>
        <v>0.707005916154479</v>
      </c>
      <c r="AK506" s="57" t="n">
        <f aca="false">K96/$W506</f>
        <v>0.757648570893565</v>
      </c>
      <c r="AL506" s="57" t="n">
        <f aca="false">L96/$W506</f>
        <v>0.803631647525078</v>
      </c>
      <c r="AM506" s="57" t="n">
        <f aca="false">M96/$W506</f>
        <v>0.841388264975967</v>
      </c>
      <c r="AN506" s="57" t="n">
        <f aca="false">N96/$W506</f>
        <v>0.863320149368586</v>
      </c>
      <c r="AO506" s="57" t="n">
        <f aca="false">O96/$W506</f>
        <v>0.883809902720798</v>
      </c>
      <c r="AP506" s="57" t="n">
        <f aca="false">P96/$W506</f>
        <v>0.895135611006704</v>
      </c>
      <c r="AQ506" s="57" t="n">
        <f aca="false">Q96/$W506</f>
        <v>0.902673144168471</v>
      </c>
      <c r="AR506" s="57" t="n">
        <f aca="false">R96/$W506</f>
        <v>0.893832636422616</v>
      </c>
    </row>
    <row r="507" customFormat="false" ht="11.25" hidden="false" customHeight="false" outlineLevel="0" collapsed="false">
      <c r="S507" s="36"/>
      <c r="T507" s="13"/>
      <c r="U507" s="15" t="str">
        <f aca="false">AA507</f>
        <v> Temperatura (0 - 3 graus Celsius acima do nível pré-industrial)</v>
      </c>
      <c r="V507" s="25" t="n">
        <v>3</v>
      </c>
      <c r="W507" s="70" t="n">
        <v>3</v>
      </c>
      <c r="AA507" s="29" t="str">
        <f aca="false">CONCATENATE("Temperature (0 - ",W507," deg C above preindustrial level)")</f>
        <v> Temperatura (0 - 3 graus Celsius acima do nível pré-industrial)</v>
      </c>
      <c r="AB507" s="57" t="n">
        <f aca="false"> SumWorld!B396/$V507</f>
        <v>0.153451363139682</v>
      </c>
      <c r="AC507" s="57" t="n">
        <f aca="false"> SumWorld!C396/$V507</f>
        <v>0.121451363139682</v>
      </c>
      <c r="AD507" s="57" t="n">
        <f aca="false"> SumWorld!D396/$V507</f>
        <v>0.198118029806349</v>
      </c>
      <c r="AE507" s="57" t="n">
        <f aca="false"> SumWorld!E396/$V507</f>
        <v>0.176784696473016</v>
      </c>
      <c r="AF507" s="57" t="n">
        <f aca="false"> SumWorld!F396/$V507</f>
        <v>0.231784696473016</v>
      </c>
      <c r="AG507" s="57" t="n">
        <f aca="false"> SumWorld!G396/$V507</f>
        <v>0.235784696473016</v>
      </c>
      <c r="AH507" s="57" t="n">
        <f aca="false"> SumWorld!H396/$V507</f>
        <v>0.237157742182414</v>
      </c>
      <c r="AI507" s="57" t="n">
        <f aca="false"> SumWorld!I396/$V507</f>
        <v>0.291885077953339</v>
      </c>
      <c r="AJ507" s="57" t="n">
        <f aca="false"> SumWorld!J396/$V507</f>
        <v>0.323311269283295</v>
      </c>
      <c r="AK507" s="57" t="n">
        <f aca="false"> SumWorld!K396/$V507</f>
        <v>0.363716165224711</v>
      </c>
      <c r="AL507" s="57" t="n">
        <f aca="false"> SumWorld!L396/$V507</f>
        <v>0.407845457394918</v>
      </c>
      <c r="AM507" s="57" t="n">
        <f aca="false"> SumWorld!M396/$V507</f>
        <v>0.451553185780843</v>
      </c>
      <c r="AN507" s="57" t="n">
        <f aca="false"> SumWorld!N396/$V507</f>
        <v>0.494161645571391</v>
      </c>
      <c r="AO507" s="57" t="n">
        <f aca="false"> SumWorld!O396/$V507</f>
        <v>0.537767728169759</v>
      </c>
      <c r="AP507" s="57" t="n">
        <f aca="false"> SumWorld!P396/$V507</f>
        <v>0.581482330958049</v>
      </c>
      <c r="AQ507" s="57" t="n">
        <f aca="false"> SumWorld!Q396/$V507</f>
        <v>0.62560510635376</v>
      </c>
      <c r="AR507" s="57" t="n">
        <f aca="false"> SumWorld!R396/$V507</f>
        <v>0.669907410939535</v>
      </c>
    </row>
    <row r="508" customFormat="false" ht="11.25" hidden="false" customHeight="false" outlineLevel="0" collapsed="false">
      <c r="T508" s="13"/>
      <c r="U508" s="15" t="str">
        <f aca="false">AA508</f>
        <v> Emissões de CO2 (0 - 11 GtCO2 por ano)</v>
      </c>
      <c r="V508" s="25" t="n">
        <v>11000</v>
      </c>
      <c r="W508" s="70" t="n">
        <f aca="false">W512</f>
        <v>11000</v>
      </c>
      <c r="AA508" s="29" t="str">
        <f aca="false">CONCATENATE("CO2 Emissions (0 - ",W508/1000," GtCO2 per yr)")</f>
        <v> Emissões de CO2 (0 - 11 GtCO2 por ano)</v>
      </c>
      <c r="AB508" s="57" t="n">
        <f aca="false">B357/$W508</f>
        <v>0.393501</v>
      </c>
      <c r="AC508" s="57" t="n">
        <f aca="false">C357/$W508</f>
        <v>0.400539</v>
      </c>
      <c r="AD508" s="57" t="n">
        <f aca="false">D357/$W508</f>
        <v>0.429158333333333</v>
      </c>
      <c r="AE508" s="57" t="n">
        <f aca="false">E357/$W508</f>
        <v>0.407823</v>
      </c>
      <c r="AF508" s="57" t="n">
        <f aca="false">F357/$W508</f>
        <v>0.443539333333333</v>
      </c>
      <c r="AG508" s="57" t="n">
        <f aca="false">G357/$W508</f>
        <v>0.476135666666667</v>
      </c>
      <c r="AH508" s="57" t="n">
        <f aca="false">H357/$W508</f>
        <v>0.519357333333333</v>
      </c>
      <c r="AI508" s="57" t="n">
        <f aca="false">I357/$W508</f>
        <v>0.529624</v>
      </c>
      <c r="AJ508" s="57" t="n">
        <f aca="false">J357/$W508</f>
        <v>0.515634333333333</v>
      </c>
      <c r="AK508" s="57" t="n">
        <f aca="false">K357/$W508</f>
        <v>0.529242058906552</v>
      </c>
      <c r="AL508" s="57" t="n">
        <f aca="false">L357/$W508</f>
        <v>0.515028196856578</v>
      </c>
      <c r="AM508" s="57" t="n">
        <f aca="false">M357/$W508</f>
        <v>0.493201532964243</v>
      </c>
      <c r="AN508" s="57" t="n">
        <f aca="false">N357/$W508</f>
        <v>0.460263799777022</v>
      </c>
      <c r="AO508" s="57" t="n">
        <f aca="false">O357/$W508</f>
        <v>0.427529014832373</v>
      </c>
      <c r="AP508" s="57" t="n">
        <f aca="false">P357/$W508</f>
        <v>0.391691653275157</v>
      </c>
      <c r="AQ508" s="57" t="n">
        <f aca="false">Q357/$W508</f>
        <v>0.348615726950948</v>
      </c>
      <c r="AR508" s="57" t="n">
        <f aca="false">R357/$W508</f>
        <v>0.292057859319315</v>
      </c>
    </row>
    <row r="509" customFormat="false" ht="11.25" hidden="false" customHeight="false" outlineLevel="0" collapsed="false">
      <c r="T509" s="13"/>
      <c r="U509" s="15" t="str">
        <f aca="false">AA509</f>
        <v> Consumo (0 - 18 trilhões de dólares por ano)</v>
      </c>
      <c r="V509" s="25" t="n">
        <f aca="false">V506</f>
        <v>18</v>
      </c>
      <c r="W509" s="70" t="n">
        <f aca="false">W513</f>
        <v>18</v>
      </c>
      <c r="AA509" s="29" t="str">
        <f aca="false">CONCATENATE("Consumption (0 - ",W509," T$ per yr)")</f>
        <v> Consumo (0 - 18 trilhões de dólares por ano)</v>
      </c>
      <c r="AB509" s="57" t="n">
        <f aca="false">B136/$W509</f>
        <v>0.19694586336895</v>
      </c>
      <c r="AC509" s="57" t="n">
        <f aca="false">C136/$W509</f>
        <v>0.228069982544105</v>
      </c>
      <c r="AD509" s="57" t="n">
        <f aca="false">D136/$W509</f>
        <v>0.264469768512024</v>
      </c>
      <c r="AE509" s="57" t="n">
        <f aca="false">E136/$W509</f>
        <v>0.307575968736043</v>
      </c>
      <c r="AF509" s="57" t="n">
        <f aca="false">F136/$W509</f>
        <v>0.366323649685123</v>
      </c>
      <c r="AG509" s="57" t="n">
        <f aca="false">G136/$W509</f>
        <v>0.406096426807332</v>
      </c>
      <c r="AH509" s="57" t="n">
        <f aca="false">H136/$W509</f>
        <v>0.474784189848289</v>
      </c>
      <c r="AI509" s="57" t="n">
        <f aca="false">I136/$W509</f>
        <v>0.543121689826196</v>
      </c>
      <c r="AJ509" s="57" t="n">
        <f aca="false">J136/$W509</f>
        <v>0.59010680780555</v>
      </c>
      <c r="AK509" s="57" t="n">
        <f aca="false">K136/$W509</f>
        <v>0.61634111380451</v>
      </c>
      <c r="AL509" s="57" t="n">
        <f aca="false">L136/$W509</f>
        <v>0.62763154470374</v>
      </c>
      <c r="AM509" s="57" t="n">
        <f aca="false">M136/$W509</f>
        <v>0.636506475293501</v>
      </c>
      <c r="AN509" s="57" t="n">
        <f aca="false">N136/$W509</f>
        <v>0.634213681103303</v>
      </c>
      <c r="AO509" s="57" t="n">
        <f aca="false">O136/$W509</f>
        <v>0.631673294861007</v>
      </c>
      <c r="AP509" s="57" t="n">
        <f aca="false">P136/$W509</f>
        <v>0.623271453582118</v>
      </c>
      <c r="AQ509" s="57" t="n">
        <f aca="false">Q136/$W509</f>
        <v>0.607467782472702</v>
      </c>
      <c r="AR509" s="57" t="n">
        <f aca="false">R136/$W509</f>
        <v>0.578733428911563</v>
      </c>
    </row>
    <row r="510" customFormat="false" ht="11.25" hidden="false" customHeight="false" outlineLevel="0" collapsed="false">
      <c r="T510" s="13"/>
      <c r="U510" s="37" t="str">
        <f aca="false">AA511</f>
        <v> População (0 - 0,35 mil pessoas), Sua previsão</v>
      </c>
      <c r="W510" s="4" t="n">
        <v>350</v>
      </c>
      <c r="AB510" s="24" t="n">
        <v>1970</v>
      </c>
      <c r="AC510" s="24" t="n">
        <v>1975</v>
      </c>
      <c r="AD510" s="24" t="n">
        <v>1980</v>
      </c>
      <c r="AE510" s="24" t="n">
        <v>1985</v>
      </c>
      <c r="AF510" s="24" t="n">
        <v>1990</v>
      </c>
      <c r="AG510" s="24" t="n">
        <v>1995</v>
      </c>
      <c r="AH510" s="24" t="n">
        <v>2000</v>
      </c>
      <c r="AI510" s="24" t="n">
        <v>2005</v>
      </c>
      <c r="AJ510" s="24" t="n">
        <v>2010</v>
      </c>
      <c r="AK510" s="24" t="n">
        <v>2015</v>
      </c>
      <c r="AL510" s="24" t="n">
        <v>2020</v>
      </c>
      <c r="AM510" s="24" t="n">
        <v>2025</v>
      </c>
      <c r="AN510" s="24" t="n">
        <v>2030</v>
      </c>
      <c r="AO510" s="24" t="n">
        <v>2035</v>
      </c>
      <c r="AP510" s="24" t="n">
        <v>2040</v>
      </c>
      <c r="AQ510" s="24" t="n">
        <v>2045</v>
      </c>
      <c r="AR510" s="24" t="n">
        <v>2050</v>
      </c>
    </row>
    <row r="511" customFormat="false" ht="11.25" hidden="false" customHeight="false" outlineLevel="0" collapsed="false">
      <c r="T511" s="13"/>
      <c r="U511" s="37" t="str">
        <f aca="false">AA512</f>
        <v> PIB (0 - 18 trilhões de dólares por ano), sua previsão</v>
      </c>
      <c r="W511" s="4" t="n">
        <v>18</v>
      </c>
      <c r="AA511" s="29" t="str">
        <f aca="false">CONCATENATE("Population (0 - ",W510/1000,"G persons), Your forecast")</f>
        <v> População (0 - 0,35 mil pessoas), Sua previsão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57" t="n">
        <f aca="false">K17/$W$505</f>
        <v>0.921626932412857</v>
      </c>
      <c r="AL511" s="57" t="n">
        <f aca="false">L17/$W$505</f>
        <v>0.941430166715151</v>
      </c>
      <c r="AM511" s="57" t="n">
        <f aca="false">M17/$W$505</f>
        <v>0.958287756935607</v>
      </c>
      <c r="AN511" s="57" t="n">
        <f aca="false">N17/$W$505</f>
        <v>0.971175366435677</v>
      </c>
      <c r="AO511" s="57" t="n">
        <f aca="false">O17/$W$505</f>
        <v>0.979125044977544</v>
      </c>
      <c r="AP511" s="57" t="n">
        <f aca="false">P17/$W$505</f>
        <v>0.981682356661843</v>
      </c>
      <c r="AQ511" s="57" t="n">
        <f aca="false">Q17/$W$505</f>
        <v>0.979260896091409</v>
      </c>
      <c r="AR511" s="57" t="n">
        <f aca="false">R17/$W$505</f>
        <v>0.972732230434926</v>
      </c>
    </row>
    <row r="512" customFormat="false" ht="11.25" hidden="false" customHeight="false" outlineLevel="0" collapsed="false">
      <c r="T512" s="13"/>
      <c r="U512" s="37" t="str">
        <f aca="false">AA513</f>
        <v> Emissões de CO2 (0 - 11.000 toneladas por ano), sua previsão</v>
      </c>
      <c r="W512" s="4" t="n">
        <v>11000</v>
      </c>
      <c r="AA512" s="29" t="str">
        <f aca="false">CONCATENATE("GDP (0 - ",W511," T$ per yr), Your forecast")</f>
        <v> PIB (0 - 18 trilhões de dólares por ano), sua previsão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57" t="n">
        <f aca="false">K104/$W511</f>
        <v>0.757604976804951</v>
      </c>
      <c r="AL512" s="57" t="n">
        <f aca="false">L104/$W511</f>
        <v>0.78595367845374</v>
      </c>
      <c r="AM512" s="57" t="n">
        <f aca="false">M104/$W511</f>
        <v>0.821488398307141</v>
      </c>
      <c r="AN512" s="57" t="n">
        <f aca="false">N104/$W511</f>
        <v>0.84177359620969</v>
      </c>
      <c r="AO512" s="57" t="n">
        <f aca="false">O104/$W511</f>
        <v>0.860907115960563</v>
      </c>
      <c r="AP512" s="57" t="n">
        <f aca="false">P104/$W511</f>
        <v>0.87140109905665</v>
      </c>
      <c r="AQ512" s="57" t="n">
        <f aca="false">Q104/$W511</f>
        <v>0.878520182865555</v>
      </c>
      <c r="AR512" s="57" t="n">
        <f aca="false">R104/$W511</f>
        <v>0.870025233975129</v>
      </c>
    </row>
    <row r="513" customFormat="false" ht="11.25" hidden="false" customHeight="false" outlineLevel="0" collapsed="false">
      <c r="T513" s="13"/>
      <c r="U513" s="37" t="str">
        <f aca="false">AA514</f>
        <v> Consumo (0 - 18 trilhões de dólares por ano), Sua previsão</v>
      </c>
      <c r="W513" s="93" t="n">
        <f aca="false">W511</f>
        <v>18</v>
      </c>
      <c r="AA513" s="29" t="str">
        <f aca="false">CONCATENATE("CO2 Emissions (0 - ",W512," T$ per yr), Your forecast")</f>
        <v> Emissões de CO2 (0 - 11.000 toneladas por ano), sua previsão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57" t="n">
        <f aca="false">K368/$W512</f>
        <v>0.529211607024109</v>
      </c>
      <c r="AL513" s="57" t="n">
        <f aca="false">L368/$W512</f>
        <v>0.510977940080351</v>
      </c>
      <c r="AM513" s="57" t="n">
        <f aca="false">M368/$W512</f>
        <v>0.489632430726524</v>
      </c>
      <c r="AN513" s="57" t="n">
        <f aca="false">N368/$W512</f>
        <v>0.457496900846218</v>
      </c>
      <c r="AO513" s="57" t="n">
        <f aca="false">O368/$W512</f>
        <v>0.425701254288122</v>
      </c>
      <c r="AP513" s="57" t="n">
        <f aca="false">P368/$W512</f>
        <v>0.390916446690855</v>
      </c>
      <c r="AQ513" s="57" t="n">
        <f aca="false">Q368/$W512</f>
        <v>0.349243871396584</v>
      </c>
      <c r="AR513" s="57" t="n">
        <f aca="false">R368/$W512</f>
        <v>0.294437096441477</v>
      </c>
    </row>
    <row r="514" customFormat="false" ht="11.25" hidden="false" customHeight="false" outlineLevel="0" collapsed="false">
      <c r="T514" s="13"/>
      <c r="AA514" s="29" t="str">
        <f aca="false">CONCATENATE("Consumption (0 - ",W513," T$ per yr), Your forecast")</f>
        <v> Consumo (0 - 18 trilhões de dólares por ano), Sua previsão</v>
      </c>
      <c r="AB514" s="29"/>
      <c r="AC514" s="29"/>
      <c r="AD514" s="29"/>
      <c r="AE514" s="29"/>
      <c r="AF514" s="29"/>
      <c r="AG514" s="29"/>
      <c r="AH514" s="29"/>
      <c r="AI514" s="29"/>
      <c r="AJ514" s="29"/>
      <c r="AK514" s="57" t="n">
        <f aca="false">K147/$W513</f>
        <v>0.616305650358575</v>
      </c>
      <c r="AL514" s="57" t="n">
        <f aca="false">L147/$W513</f>
        <v>0.614155256376826</v>
      </c>
      <c r="AM514" s="57" t="n">
        <f aca="false">M147/$W513</f>
        <v>0.622027356662308</v>
      </c>
      <c r="AN514" s="57" t="n">
        <f aca="false">N147/$W513</f>
        <v>0.619210054582148</v>
      </c>
      <c r="AO514" s="57" t="n">
        <f aca="false">O147/$W513</f>
        <v>0.616389044076539</v>
      </c>
      <c r="AP514" s="57" t="n">
        <f aca="false">P147/$W513</f>
        <v>0.608087374793405</v>
      </c>
      <c r="AQ514" s="57" t="n">
        <f aca="false">Q147/$W513</f>
        <v>0.592918004659044</v>
      </c>
      <c r="AR514" s="57" t="n">
        <f aca="false">R147/$W513</f>
        <v>0.565406814409262</v>
      </c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customFormat="false" ht="11.25" hidden="false" customHeight="false" outlineLevel="0" collapsed="false">
      <c r="T523" s="13"/>
    </row>
    <row r="524" customFormat="false" ht="11.25" hidden="false" customHeight="false" outlineLevel="0" collapsed="false">
      <c r="T524" s="13"/>
    </row>
    <row r="525" customFormat="false" ht="11.25" hidden="false" customHeight="false" outlineLevel="0" collapsed="false">
      <c r="T525" s="13"/>
    </row>
    <row r="526" customFormat="false" ht="11.25" hidden="false" customHeight="false" outlineLevel="0" collapsed="false">
      <c r="T526" s="13"/>
    </row>
    <row r="527" customFormat="false" ht="11.25" hidden="false" customHeight="false" outlineLevel="0" collapsed="false">
      <c r="T527" s="13"/>
    </row>
    <row r="528" customFormat="false" ht="11.25" hidden="false" customHeight="false" outlineLevel="0" collapsed="false">
      <c r="T528" s="13"/>
    </row>
    <row r="529" customFormat="false" ht="11.25" hidden="false" customHeight="false" outlineLevel="0" collapsed="false">
      <c r="T529" s="13"/>
      <c r="X529" s="15" t="s">
        <v>33</v>
      </c>
    </row>
    <row r="530" customFormat="false" ht="12.65" hidden="false" customHeight="false" outlineLevel="0" collapsed="false">
      <c r="A530" s="61" t="s">
        <v>156</v>
      </c>
      <c r="T530" s="13"/>
      <c r="V530" s="3" t="s">
        <v>35</v>
      </c>
    </row>
    <row r="531" customFormat="false" ht="28.3" hidden="false" customHeight="false" outlineLevel="0" collapsed="false">
      <c r="A531" s="23" t="str">
        <f aca="false">CONCATENATE(A530,". Production - ",A5," 1970 to 2050")</f>
        <v>Gráfico 14. Produção - EUA, 1970 a 2050</v>
      </c>
      <c r="T531" s="13"/>
      <c r="U531" s="55" t="str">
        <f aca="false">U27</f>
        <v> Para o gráfico à esquerda, nomes das variáveis (unidade)</v>
      </c>
      <c r="V531" s="54" t="s">
        <v>38</v>
      </c>
      <c r="W531" s="54" t="s">
        <v>39</v>
      </c>
      <c r="X531" s="55"/>
      <c r="Y531" s="55"/>
      <c r="AA531" s="52" t="s">
        <v>36</v>
      </c>
    </row>
    <row r="532" customFormat="false" ht="11.25" hidden="false" customHeight="false" outlineLevel="0" collapsed="false">
      <c r="T532" s="13"/>
      <c r="U532" s="15" t="str">
        <f aca="false">AA533</f>
        <v> Biocapacidade não utilizada (0 - 50%)</v>
      </c>
      <c r="V532" s="25" t="n">
        <v>50</v>
      </c>
      <c r="W532" s="70" t="n">
        <f aca="false">W537</f>
        <v>50</v>
      </c>
      <c r="AB532" s="24" t="n">
        <v>1970</v>
      </c>
      <c r="AC532" s="24" t="n">
        <v>1975</v>
      </c>
      <c r="AD532" s="24" t="n">
        <v>1980</v>
      </c>
      <c r="AE532" s="24" t="n">
        <v>1985</v>
      </c>
      <c r="AF532" s="24" t="n">
        <v>1990</v>
      </c>
      <c r="AG532" s="24" t="n">
        <v>1995</v>
      </c>
      <c r="AH532" s="24" t="n">
        <v>2000</v>
      </c>
      <c r="AI532" s="24" t="n">
        <v>2005</v>
      </c>
      <c r="AJ532" s="24" t="n">
        <v>2010</v>
      </c>
      <c r="AK532" s="24" t="n">
        <v>2015</v>
      </c>
      <c r="AL532" s="24" t="n">
        <v>2020</v>
      </c>
      <c r="AM532" s="24" t="n">
        <v>2025</v>
      </c>
      <c r="AN532" s="24" t="n">
        <v>2030</v>
      </c>
      <c r="AO532" s="24" t="n">
        <v>2035</v>
      </c>
      <c r="AP532" s="24" t="n">
        <v>2040</v>
      </c>
      <c r="AQ532" s="24" t="n">
        <v>2045</v>
      </c>
      <c r="AR532" s="24" t="n">
        <v>2050</v>
      </c>
    </row>
    <row r="533" customFormat="false" ht="11.25" hidden="false" customHeight="false" outlineLevel="0" collapsed="false">
      <c r="T533" s="13"/>
      <c r="U533" s="15" t="str">
        <f aca="false">AA534</f>
        <v> Percentagem do investimento no PIB (0 - 40%)</v>
      </c>
      <c r="V533" s="25" t="n">
        <v>40</v>
      </c>
      <c r="W533" s="70" t="n">
        <f aca="false">W538</f>
        <v>40</v>
      </c>
      <c r="AA533" s="29" t="str">
        <f aca="false">CONCATENATE("Unused bio-capacity (0 - ",W532," %)")</f>
        <v> Biocapacidade não utilizada (0 - 50%)</v>
      </c>
      <c r="AB533" s="57" t="n">
        <f aca="false">(100*B462/B457)/$W532</f>
        <v>0.745335149829275</v>
      </c>
      <c r="AC533" s="57" t="n">
        <f aca="false">(100*C462/C457)/$W532</f>
        <v>0.827852865730433</v>
      </c>
      <c r="AD533" s="57" t="n">
        <f aca="false">(100*D462/D457)/$W532</f>
        <v>0.894810445667667</v>
      </c>
      <c r="AE533" s="57" t="n">
        <f aca="false">(100*E462/E457)/$W532</f>
        <v>0.707339027904021</v>
      </c>
      <c r="AF533" s="57" t="n">
        <f aca="false">(100*F462/F457)/$W532</f>
        <v>0.766235225553238</v>
      </c>
      <c r="AG533" s="57" t="n">
        <f aca="false">(100*G462/G457)/$W532</f>
        <v>0.834649573633016</v>
      </c>
      <c r="AH533" s="57" t="n">
        <f aca="false">(100*H462/H457)/$W532</f>
        <v>0.721036052850549</v>
      </c>
      <c r="AI533" s="57" t="n">
        <f aca="false">(100*I462/I457)/$W532</f>
        <v>0.630877039370017</v>
      </c>
      <c r="AJ533" s="57" t="n">
        <f aca="false">(100*J462/J457)/$W532</f>
        <v>0.745335399733534</v>
      </c>
      <c r="AK533" s="57" t="n">
        <f aca="false">(100*K462/K457)/$W532</f>
        <v>0.717992453428972</v>
      </c>
      <c r="AL533" s="57" t="n">
        <f aca="false">(100*L462/L457)/$W532</f>
        <v>0.7226363621192</v>
      </c>
      <c r="AM533" s="57" t="n">
        <f aca="false">(100*M462/M457)/$W532</f>
        <v>0.699296630620157</v>
      </c>
      <c r="AN533" s="57" t="n">
        <f aca="false">(100*N462/N457)/$W532</f>
        <v>0.714410849646277</v>
      </c>
      <c r="AO533" s="57" t="n">
        <f aca="false">(100*O462/O457)/$W532</f>
        <v>0.703672735100524</v>
      </c>
      <c r="AP533" s="57" t="n">
        <f aca="false">(100*P462/P457)/$W532</f>
        <v>0.678187640228733</v>
      </c>
      <c r="AQ533" s="57" t="n">
        <f aca="false">(100*Q462/Q457)/$W532</f>
        <v>0.635251974996399</v>
      </c>
      <c r="AR533" s="57" t="n">
        <f aca="false">(100*R462/R457)/$W532</f>
        <v>0.595246756984992</v>
      </c>
    </row>
    <row r="534" s="3" customFormat="true" ht="11.25" hidden="false" customHeight="false" outlineLevel="0" collapsed="false">
      <c r="T534" s="13"/>
      <c r="U534" s="15" t="str">
        <f aca="false">AA535</f>
        <v> Consumo de energia (0 - 3 Mtoe por ano)</v>
      </c>
      <c r="V534" s="25" t="n">
        <v>3000</v>
      </c>
      <c r="W534" s="70" t="n">
        <f aca="false">W539</f>
        <v>3000</v>
      </c>
      <c r="AA534" s="29" t="str">
        <f aca="false">CONCATENATE("Investment share of GDP (0 - ",W533," %)")</f>
        <v> Percentagem do investimento no PIB (0 - 40%)</v>
      </c>
      <c r="AB534" s="57" t="n">
        <f aca="false">B137/$W533</f>
        <v>0.406611155462172</v>
      </c>
      <c r="AC534" s="57" t="n">
        <f aca="false">C137/$W533</f>
        <v>0.379204949067682</v>
      </c>
      <c r="AD534" s="57" t="n">
        <f aca="false">D137/$W533</f>
        <v>0.433869738036727</v>
      </c>
      <c r="AE534" s="57" t="n">
        <f aca="false">E137/$W533</f>
        <v>0.47245544078294</v>
      </c>
      <c r="AF534" s="57" t="n">
        <f aca="false">F137/$W533</f>
        <v>0.436463359559552</v>
      </c>
      <c r="AG534" s="57" t="n">
        <f aca="false">G137/$W533</f>
        <v>0.479885682981617</v>
      </c>
      <c r="AH534" s="57" t="n">
        <f aca="false">H137/$W533</f>
        <v>0.58336742442245</v>
      </c>
      <c r="AI534" s="57" t="n">
        <f aca="false">I137/$W533</f>
        <v>0.572832910234156</v>
      </c>
      <c r="AJ534" s="57" t="n">
        <f aca="false">J137/$W533</f>
        <v>0.413359724713348</v>
      </c>
      <c r="AK534" s="57" t="n">
        <f aca="false">K137/$W533</f>
        <v>0.466269793535011</v>
      </c>
      <c r="AL534" s="57" t="n">
        <f aca="false">L137/$W533</f>
        <v>0.547514845151258</v>
      </c>
      <c r="AM534" s="57" t="n">
        <f aca="false">M137/$W533</f>
        <v>0.608761133863444</v>
      </c>
      <c r="AN534" s="57" t="n">
        <f aca="false">N137/$W533</f>
        <v>0.663445850397583</v>
      </c>
      <c r="AO534" s="57" t="n">
        <f aca="false">O137/$W533</f>
        <v>0.713209387798187</v>
      </c>
      <c r="AP534" s="57" t="n">
        <f aca="false">P137/$W533</f>
        <v>0.75928204084864</v>
      </c>
      <c r="AQ534" s="57" t="n">
        <f aca="false">Q137/$W533</f>
        <v>0.81758653063648</v>
      </c>
      <c r="AR534" s="57" t="n">
        <f aca="false">R137/$W533</f>
        <v>0.88131489797736</v>
      </c>
    </row>
    <row r="535" s="3" customFormat="true" ht="11.25" hidden="false" customHeight="false" outlineLevel="0" collapsed="false">
      <c r="T535" s="13"/>
      <c r="U535" s="15" t="str">
        <f aca="false">AA536</f>
        <v> Produção de alimentos (0 - 1,3 Gt por ano)</v>
      </c>
      <c r="V535" s="25" t="n">
        <v>1300</v>
      </c>
      <c r="W535" s="70" t="n">
        <f aca="false">W540</f>
        <v>1300</v>
      </c>
      <c r="AA535" s="29" t="str">
        <f aca="false">CONCATENATE("Energy use (0 - ",W534/1000," Mtoe per yr)")</f>
        <v> Consumo de energia (0 - 3 Mtoe por ano)</v>
      </c>
      <c r="AB535" s="57" t="n">
        <f aca="false">B250/$W534</f>
        <v>0.542495558960418</v>
      </c>
      <c r="AC535" s="57" t="n">
        <f aca="false">C250/$W534</f>
        <v>0.572231499888092</v>
      </c>
      <c r="AD535" s="57" t="n">
        <f aca="false">D250/$W534</f>
        <v>0.603779648623125</v>
      </c>
      <c r="AE535" s="57" t="n">
        <f aca="false">E250/$W534</f>
        <v>0.584634878816934</v>
      </c>
      <c r="AF535" s="57" t="n">
        <f aca="false">F250/$W534</f>
        <v>0.656131251159394</v>
      </c>
      <c r="AG535" s="57" t="n">
        <f aca="false">G250/$W534</f>
        <v>0.707299952416366</v>
      </c>
      <c r="AH535" s="57" t="n">
        <f aca="false">H250/$W534</f>
        <v>0.772233515720284</v>
      </c>
      <c r="AI535" s="57" t="n">
        <f aca="false">I250/$W534</f>
        <v>0.78621900838431</v>
      </c>
      <c r="AJ535" s="57" t="n">
        <f aca="false">J250/$W534</f>
        <v>0.770334798770095</v>
      </c>
      <c r="AK535" s="57" t="n">
        <f aca="false">K250/$W534</f>
        <v>0.804875843200814</v>
      </c>
      <c r="AL535" s="57" t="n">
        <f aca="false">L250/$W534</f>
        <v>0.811038967847138</v>
      </c>
      <c r="AM535" s="57" t="n">
        <f aca="false">M250/$W534</f>
        <v>0.80668641968251</v>
      </c>
      <c r="AN535" s="57" t="n">
        <f aca="false">N250/$W534</f>
        <v>0.786328067382919</v>
      </c>
      <c r="AO535" s="57" t="n">
        <f aca="false">O250/$W534</f>
        <v>0.764740990449698</v>
      </c>
      <c r="AP535" s="57" t="n">
        <f aca="false">P250/$W534</f>
        <v>0.735813829488285</v>
      </c>
      <c r="AQ535" s="57" t="n">
        <f aca="false">Q250/$W534</f>
        <v>0.704909296511907</v>
      </c>
      <c r="AR535" s="57" t="n">
        <f aca="false">R250/$W534</f>
        <v>0.663105346669462</v>
      </c>
    </row>
    <row r="536" s="3" customFormat="true" ht="11.25" hidden="false" customHeight="false" outlineLevel="0" collapsed="false">
      <c r="T536" s="13"/>
      <c r="U536" s="15" t="str">
        <f aca="false">AA537</f>
        <v> Fração renovável (0 - 40%)</v>
      </c>
      <c r="V536" s="25" t="n">
        <v>40</v>
      </c>
      <c r="W536" s="70" t="n">
        <f aca="false">W541</f>
        <v>40</v>
      </c>
      <c r="AA536" s="29" t="str">
        <f aca="false">CONCATENATE("Food production (0 - ",W535/1000," Gt per year)")</f>
        <v> Produção de alimentos (0 - 1,3 Gt por ano)</v>
      </c>
      <c r="AB536" s="57" t="n">
        <f aca="false">B412/$W535</f>
        <v>0.337049521538462</v>
      </c>
      <c r="AC536" s="57" t="n">
        <f aca="false">C412/$W535</f>
        <v>0.432178496923077</v>
      </c>
      <c r="AD536" s="57" t="n">
        <f aca="false">D412/$W535</f>
        <v>0.468471444615385</v>
      </c>
      <c r="AE536" s="57" t="n">
        <f aca="false">E412/$W535</f>
        <v>0.590303210769231</v>
      </c>
      <c r="AF536" s="57" t="n">
        <f aca="false">F412/$W535</f>
        <v>0.531309745384615</v>
      </c>
      <c r="AG536" s="57" t="n">
        <f aca="false">G412/$W535</f>
        <v>0.506654595384615</v>
      </c>
      <c r="AH536" s="57" t="n">
        <f aca="false">H412/$W535</f>
        <v>0.626796557692308</v>
      </c>
      <c r="AI536" s="57" t="n">
        <f aca="false">I412/$W535</f>
        <v>0.660929890769231</v>
      </c>
      <c r="AJ536" s="57" t="n">
        <f aca="false">J412/$W535</f>
        <v>0.744013314615385</v>
      </c>
      <c r="AK536" s="57" t="n">
        <f aca="false">K412/$W535</f>
        <v>0.778846153846154</v>
      </c>
      <c r="AL536" s="57" t="n">
        <f aca="false">L412/$W535</f>
        <v>0.830769230769231</v>
      </c>
      <c r="AM536" s="57" t="n">
        <f aca="false">M412/$W535</f>
        <v>0.876153846153846</v>
      </c>
      <c r="AN536" s="57" t="n">
        <f aca="false">N412/$W535</f>
        <v>0.913846153846154</v>
      </c>
      <c r="AO536" s="57" t="n">
        <f aca="false">O412/$W535</f>
        <v>0.94</v>
      </c>
      <c r="AP536" s="57" t="n">
        <f aca="false">P412/$W535</f>
        <v>0.947615384615385</v>
      </c>
      <c r="AQ536" s="57" t="n">
        <f aca="false">Q412/$W535</f>
        <v>0.915692307692308</v>
      </c>
      <c r="AR536" s="57" t="n">
        <f aca="false">R412/$W535</f>
        <v>0.876923076923077</v>
      </c>
    </row>
    <row r="537" s="3" customFormat="true" ht="11.25" hidden="false" customHeight="false" outlineLevel="0" collapsed="false">
      <c r="T537" s="13"/>
      <c r="U537" s="37" t="str">
        <f aca="false">AA540</f>
        <v> Biocapacidade não utilizada (0 - 50%), Sua previsão</v>
      </c>
      <c r="W537" s="4" t="n">
        <v>50</v>
      </c>
      <c r="AA537" s="29" t="str">
        <f aca="false">CONCATENATE("Fraction renewable (0 - ",W536," %)")</f>
        <v> Fração renovável (0 - 40%)</v>
      </c>
      <c r="AB537" s="120" t="n">
        <f aca="false">B255/$W536</f>
        <v>0.0881096294520453</v>
      </c>
      <c r="AC537" s="120" t="n">
        <f aca="false">C255/$W536</f>
        <v>0.10090445880759</v>
      </c>
      <c r="AD537" s="120" t="n">
        <f aca="false">D255/$W536</f>
        <v>0.0880702424253366</v>
      </c>
      <c r="AE537" s="120" t="n">
        <f aca="false">E255/$W536</f>
        <v>0.0926252065527161</v>
      </c>
      <c r="AF537" s="120" t="n">
        <f aca="false">F255/$W536</f>
        <v>0.103337530378301</v>
      </c>
      <c r="AG537" s="120" t="n">
        <f aca="false">G255/$W536</f>
        <v>0.102830184459654</v>
      </c>
      <c r="AH537" s="120" t="n">
        <f aca="false">H255/$W536</f>
        <v>0.0902794257016216</v>
      </c>
      <c r="AI537" s="120" t="n">
        <f aca="false">I255/$W536</f>
        <v>0.0952733267782849</v>
      </c>
      <c r="AJ537" s="120" t="n">
        <f aca="false">J255/$W536</f>
        <v>0.133306188710747</v>
      </c>
      <c r="AK537" s="120" t="n">
        <f aca="false">K255/$W536</f>
        <v>0.175</v>
      </c>
      <c r="AL537" s="120" t="n">
        <f aca="false">L255/$W536</f>
        <v>0.225</v>
      </c>
      <c r="AM537" s="120" t="n">
        <f aca="false">M255/$W536</f>
        <v>0.3</v>
      </c>
      <c r="AN537" s="120" t="n">
        <f aca="false">N255/$W536</f>
        <v>0.375</v>
      </c>
      <c r="AO537" s="120" t="n">
        <f aca="false">O255/$W536</f>
        <v>0.475</v>
      </c>
      <c r="AP537" s="120" t="n">
        <f aca="false">P255/$W536</f>
        <v>0.575</v>
      </c>
      <c r="AQ537" s="120" t="n">
        <f aca="false">Q255/$W536</f>
        <v>0.725</v>
      </c>
      <c r="AR537" s="120" t="n">
        <f aca="false">R255/$W536</f>
        <v>0.925</v>
      </c>
    </row>
    <row r="538" s="3" customFormat="true" ht="11.25" hidden="false" customHeight="false" outlineLevel="0" collapsed="false">
      <c r="T538" s="13"/>
      <c r="U538" s="37" t="str">
        <f aca="false">AA541</f>
        <v> Participação do investimento no PIB (0 - 40%), Sua previsão</v>
      </c>
      <c r="W538" s="4" t="n">
        <v>40</v>
      </c>
      <c r="AA538" s="29" t="str">
        <f aca="false">CONCATENATE("Sea level rise (0 - ",W565/1000," m)")</f>
        <v> Aumento do nível do mar (0 - 0,8 m)</v>
      </c>
      <c r="AB538" s="29"/>
      <c r="AC538" s="29"/>
      <c r="AD538" s="29"/>
      <c r="AE538" s="29"/>
      <c r="AF538" s="29"/>
      <c r="AG538" s="29"/>
      <c r="AH538" s="29"/>
      <c r="AI538" s="57" t="n">
        <f aca="false"> SumWorld!I403/$V$565</f>
        <v>0.0234931063652039</v>
      </c>
      <c r="AJ538" s="57" t="n">
        <f aca="false"> SumWorld!J403/$V$565</f>
        <v>0.0558284044265747</v>
      </c>
      <c r="AK538" s="57" t="n">
        <f aca="false"> SumWorld!K403/$V$565</f>
        <v>0.0902567386627197</v>
      </c>
      <c r="AL538" s="57" t="n">
        <f aca="false"> SumWorld!L403/$V$565</f>
        <v>0.128428058624268</v>
      </c>
      <c r="AM538" s="57" t="n">
        <f aca="false"> SumWorld!M403/$V$565</f>
        <v>0.171287422180176</v>
      </c>
      <c r="AN538" s="57" t="n">
        <f aca="false"> SumWorld!N403/$V$565</f>
        <v>0.218884449005127</v>
      </c>
      <c r="AO538" s="57" t="n">
        <f aca="false"> SumWorld!O403/$V$565</f>
        <v>0.270819759368896</v>
      </c>
      <c r="AP538" s="57" t="n">
        <f aca="false"> SumWorld!P403/$V$565</f>
        <v>0.327321701049805</v>
      </c>
      <c r="AQ538" s="57" t="n">
        <f aca="false"> SumWorld!Q403/$V$565</f>
        <v>0.388355827331543</v>
      </c>
      <c r="AR538" s="57" t="n">
        <f aca="false"> SumWorld!R403/$V$565</f>
        <v>0.454001922607422</v>
      </c>
    </row>
    <row r="539" s="3" customFormat="true" ht="11.25" hidden="false" customHeight="false" outlineLevel="0" collapsed="false">
      <c r="T539" s="13"/>
      <c r="U539" s="37" t="str">
        <f aca="false">AA542</f>
        <v> Consumo de energia (0 a 3 Mtoe por ano), sua previsão</v>
      </c>
      <c r="W539" s="4" t="n">
        <v>3000</v>
      </c>
      <c r="AB539" s="24" t="n">
        <v>1970</v>
      </c>
      <c r="AC539" s="24" t="n">
        <v>1975</v>
      </c>
      <c r="AD539" s="24" t="n">
        <v>1980</v>
      </c>
      <c r="AE539" s="24" t="n">
        <v>1985</v>
      </c>
      <c r="AF539" s="24" t="n">
        <v>1990</v>
      </c>
      <c r="AG539" s="24" t="n">
        <v>1995</v>
      </c>
      <c r="AH539" s="24" t="n">
        <v>2000</v>
      </c>
      <c r="AI539" s="24" t="n">
        <v>2005</v>
      </c>
      <c r="AJ539" s="24" t="n">
        <v>2010</v>
      </c>
      <c r="AK539" s="24" t="n">
        <v>2015</v>
      </c>
      <c r="AL539" s="24" t="n">
        <v>2020</v>
      </c>
      <c r="AM539" s="24" t="n">
        <v>2025</v>
      </c>
      <c r="AN539" s="24" t="n">
        <v>2030</v>
      </c>
      <c r="AO539" s="24" t="n">
        <v>2035</v>
      </c>
      <c r="AP539" s="24" t="n">
        <v>2040</v>
      </c>
      <c r="AQ539" s="24" t="n">
        <v>2045</v>
      </c>
      <c r="AR539" s="24" t="n">
        <v>2050</v>
      </c>
    </row>
    <row r="540" s="3" customFormat="true" ht="11.25" hidden="false" customHeight="false" outlineLevel="0" collapsed="false">
      <c r="T540" s="13"/>
      <c r="U540" s="37" t="str">
        <f aca="false">AA543</f>
        <v> Produção de alimentos (0 - 1,3 Gt por ano), Sua previsão</v>
      </c>
      <c r="W540" s="4" t="n">
        <v>1300</v>
      </c>
      <c r="AA540" s="29" t="str">
        <f aca="false">CONCATENATE("Unused bio-capacity (0 - ",W537," %), Your forecast")</f>
        <v> Biocapacidade não utilizada (0 - 50%), Sua previsão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57" t="n">
        <f aca="false">(100*K471/K466)/$W537</f>
        <v>0.717953064516667</v>
      </c>
      <c r="AL540" s="57" t="n">
        <f aca="false">(100*L471/L466)/$W537</f>
        <v>0.696418837780705</v>
      </c>
      <c r="AM540" s="57" t="n">
        <f aca="false">(100*M471/M466)/$W537</f>
        <v>0.673076440406213</v>
      </c>
      <c r="AN540" s="57" t="n">
        <f aca="false">(100*N471/N466)/$W537</f>
        <v>0.688178038377364</v>
      </c>
      <c r="AO540" s="57" t="n">
        <f aca="false">(100*O471/O466)/$W537</f>
        <v>0.677439954134829</v>
      </c>
      <c r="AP540" s="57" t="n">
        <f aca="false">(100*P471/P466)/$W537</f>
        <v>0.651510827842209</v>
      </c>
      <c r="AQ540" s="57" t="n">
        <f aca="false">(100*Q471/Q466)/$W537</f>
        <v>0.607638370828019</v>
      </c>
      <c r="AR540" s="57" t="n">
        <f aca="false">(100*R471/R466)/$W537</f>
        <v>0.566627374588427</v>
      </c>
    </row>
    <row r="541" s="3" customFormat="true" ht="11.25" hidden="false" customHeight="false" outlineLevel="0" collapsed="false">
      <c r="T541" s="13"/>
      <c r="U541" s="37" t="str">
        <f aca="false">AA544</f>
        <v> Fração renovável (0 - 40%), Sua previsão</v>
      </c>
      <c r="W541" s="4" t="n">
        <v>40</v>
      </c>
      <c r="AA541" s="29" t="str">
        <f aca="false">CONCATENATE("Investment share of GDP (0 - ",W538," %), Your forecast")</f>
        <v> Participação do investimento no PIB (0 - 40%), Sua previsão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57" t="n">
        <f aca="false">K148/$W538</f>
        <v>0.466269793535011</v>
      </c>
      <c r="AL541" s="57" t="n">
        <f aca="false">L148/$W538</f>
        <v>0.546464845151258</v>
      </c>
      <c r="AM541" s="57" t="n">
        <f aca="false">M148/$W538</f>
        <v>0.607011133863444</v>
      </c>
      <c r="AN541" s="57" t="n">
        <f aca="false">N148/$W538</f>
        <v>0.660995850397583</v>
      </c>
      <c r="AO541" s="57" t="n">
        <f aca="false">O148/$W538</f>
        <v>0.710059387798187</v>
      </c>
      <c r="AP541" s="57" t="n">
        <f aca="false">P148/$W538</f>
        <v>0.75543204084864</v>
      </c>
      <c r="AQ541" s="57" t="n">
        <f aca="false">Q148/$W538</f>
        <v>0.81273653063648</v>
      </c>
      <c r="AR541" s="57" t="n">
        <f aca="false">R148/$W538</f>
        <v>0.87531489797736</v>
      </c>
    </row>
    <row r="542" s="3" customFormat="true" ht="11.25" hidden="false" customHeight="false" outlineLevel="0" collapsed="false">
      <c r="T542" s="13"/>
      <c r="AA542" s="29" t="str">
        <f aca="false">CONCATENATE("Energy use (0 - ",W539/1000," Mtoe per yr), Your forecast")</f>
        <v> Consumo de energia (0 a 3 Mtoe por ano), sua previsão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57" t="n">
        <f aca="false">K266/$W539</f>
        <v>0.804829531717919</v>
      </c>
      <c r="AL542" s="57" t="n">
        <f aca="false">L266/$W539</f>
        <v>0.794033000813644</v>
      </c>
      <c r="AM542" s="57" t="n">
        <f aca="false">M266/$W539</f>
        <v>0.789266287623711</v>
      </c>
      <c r="AN542" s="57" t="n">
        <f aca="false">N266/$W539</f>
        <v>0.769126782628217</v>
      </c>
      <c r="AO542" s="57" t="n">
        <f aca="false">O266/$W539</f>
        <v>0.748065196846398</v>
      </c>
      <c r="AP542" s="57" t="n">
        <f aca="false">P266/$W539</f>
        <v>0.720081697903142</v>
      </c>
      <c r="AQ542" s="57" t="n">
        <f aca="false">Q266/$W539</f>
        <v>0.690392285057028</v>
      </c>
      <c r="AR542" s="57" t="n">
        <f aca="false">R266/$W539</f>
        <v>0.650214353323578</v>
      </c>
    </row>
    <row r="543" s="3" customFormat="true" ht="11.25" hidden="false" customHeight="false" outlineLevel="0" collapsed="false">
      <c r="T543" s="13"/>
      <c r="AA543" s="29" t="str">
        <f aca="false">CONCATENATE("Food production (0 - ",W540/1000," Gt per year), Your forecast")</f>
        <v> Produção de alimentos (0 - 1,3 Gt por ano), Sua previsão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57" t="n">
        <f aca="false">K420/$W540</f>
        <v>0.778846153846154</v>
      </c>
      <c r="AL543" s="57" t="n">
        <f aca="false">L420/$W540</f>
        <v>0.797870769230769</v>
      </c>
      <c r="AM543" s="57" t="n">
        <f aca="false">M420/$W540</f>
        <v>0.841458153846154</v>
      </c>
      <c r="AN543" s="57" t="n">
        <f aca="false">N420/$W540</f>
        <v>0.877657846153846</v>
      </c>
      <c r="AO543" s="57" t="n">
        <f aca="false">O420/$W540</f>
        <v>0.902776</v>
      </c>
      <c r="AP543" s="57" t="n">
        <f aca="false">P420/$W540</f>
        <v>0.910089815384615</v>
      </c>
      <c r="AQ543" s="57" t="n">
        <f aca="false">Q420/$W540</f>
        <v>0.879430892307692</v>
      </c>
      <c r="AR543" s="57" t="n">
        <f aca="false">R420/$W540</f>
        <v>0.842196923076923</v>
      </c>
    </row>
    <row r="544" s="3" customFormat="true" ht="11.25" hidden="false" customHeight="false" outlineLevel="0" collapsed="false">
      <c r="T544" s="13"/>
      <c r="AA544" s="29" t="str">
        <f aca="false">CONCATENATE("Fraction renewable (0 - ",W541," %), Your forecast")</f>
        <v>Fração renovável (0 - 40%), Sua previsão</v>
      </c>
      <c r="AB544" s="29"/>
      <c r="AC544" s="29"/>
      <c r="AD544" s="29"/>
      <c r="AE544" s="29"/>
      <c r="AF544" s="29"/>
      <c r="AG544" s="29"/>
      <c r="AH544" s="29"/>
      <c r="AI544" s="29"/>
      <c r="AJ544" s="29"/>
      <c r="AK544" s="120" t="n">
        <f aca="false">K271/$W541</f>
        <v>0.175</v>
      </c>
      <c r="AL544" s="120" t="n">
        <f aca="false">L271/$W541</f>
        <v>0.2205</v>
      </c>
      <c r="AM544" s="120" t="n">
        <f aca="false">M271/$W541</f>
        <v>0.294</v>
      </c>
      <c r="AN544" s="120" t="n">
        <f aca="false">N271/$W541</f>
        <v>0.3675</v>
      </c>
      <c r="AO544" s="120" t="n">
        <f aca="false">O271/$W541</f>
        <v>0.4655</v>
      </c>
      <c r="AP544" s="120" t="n">
        <f aca="false">P271/$W541</f>
        <v>0.5635</v>
      </c>
      <c r="AQ544" s="120" t="n">
        <f aca="false">Q271/$W541</f>
        <v>0.7105</v>
      </c>
      <c r="AR544" s="120" t="n">
        <f aca="false">R271/$W541</f>
        <v>0.9065</v>
      </c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</row>
    <row r="551" customFormat="false" ht="11.25" hidden="false" customHeight="false" outlineLevel="0" collapsed="false">
      <c r="T551" s="13"/>
    </row>
    <row r="552" customFormat="false" ht="11.25" hidden="false" customHeight="false" outlineLevel="0" collapsed="false">
      <c r="T552" s="13"/>
    </row>
    <row r="553" customFormat="false" ht="11.25" hidden="false" customHeight="false" outlineLevel="0" collapsed="false">
      <c r="T553" s="13"/>
    </row>
    <row r="554" customFormat="false" ht="11.25" hidden="false" customHeight="false" outlineLevel="0" collapsed="false">
      <c r="T554" s="13"/>
    </row>
    <row r="555" customFormat="false" ht="11.25" hidden="false" customHeight="false" outlineLevel="0" collapsed="false">
      <c r="T555" s="13"/>
    </row>
    <row r="556" customFormat="false" ht="11.25" hidden="false" customHeight="false" outlineLevel="0" collapsed="false">
      <c r="T556" s="13"/>
    </row>
    <row r="557" customFormat="false" ht="11.25" hidden="false" customHeight="false" outlineLevel="0" collapsed="false">
      <c r="T557" s="13"/>
    </row>
    <row r="558" customFormat="false" ht="11.25" hidden="false" customHeight="false" outlineLevel="0" collapsed="false">
      <c r="T558" s="13"/>
      <c r="X558" s="15" t="s">
        <v>33</v>
      </c>
    </row>
    <row r="559" customFormat="false" ht="12.65" hidden="false" customHeight="false" outlineLevel="0" collapsed="false">
      <c r="A559" s="61" t="s">
        <v>157</v>
      </c>
      <c r="T559" s="13"/>
      <c r="V559" s="3" t="s">
        <v>35</v>
      </c>
    </row>
    <row r="560" customFormat="false" ht="28.3" hidden="false" customHeight="false" outlineLevel="0" collapsed="false">
      <c r="A560" s="23" t="str">
        <f aca="false">CONCATENATE(A559,". Standard of Living - ",A5," 1970 to 2050")</f>
        <v> Gráfico 15. Padrão de Vida - EUA, 1970 a 2050</v>
      </c>
      <c r="T560" s="13"/>
      <c r="U560" s="55" t="str">
        <f aca="false">U27</f>
        <v> Para o gráfico à esquerda, nomes das variáveis (unidade)</v>
      </c>
      <c r="V560" s="54" t="s">
        <v>38</v>
      </c>
      <c r="W560" s="54" t="s">
        <v>39</v>
      </c>
      <c r="X560" s="55"/>
      <c r="Y560" s="55"/>
      <c r="AA560" s="52" t="s">
        <v>36</v>
      </c>
    </row>
    <row r="561" customFormat="false" ht="11.25" hidden="false" customHeight="false" outlineLevel="0" collapsed="false">
      <c r="S561" s="154"/>
      <c r="T561" s="13"/>
      <c r="U561" s="15" t="str">
        <f aca="false">AA562</f>
        <v> PIB per capita (0 - 50 000 $ por pessoa-ano)</v>
      </c>
      <c r="V561" s="25" t="n">
        <v>50</v>
      </c>
      <c r="W561" s="56" t="n">
        <f aca="false">W566</f>
        <v>50</v>
      </c>
      <c r="AB561" s="24" t="n">
        <v>1970</v>
      </c>
      <c r="AC561" s="24" t="n">
        <v>1975</v>
      </c>
      <c r="AD561" s="24" t="n">
        <v>1980</v>
      </c>
      <c r="AE561" s="24" t="n">
        <v>1985</v>
      </c>
      <c r="AF561" s="24" t="n">
        <v>1990</v>
      </c>
      <c r="AG561" s="24" t="n">
        <v>1995</v>
      </c>
      <c r="AH561" s="24" t="n">
        <v>2000</v>
      </c>
      <c r="AI561" s="24" t="n">
        <v>2005</v>
      </c>
      <c r="AJ561" s="24" t="n">
        <v>2010</v>
      </c>
      <c r="AK561" s="24" t="n">
        <v>2015</v>
      </c>
      <c r="AL561" s="24" t="n">
        <v>2020</v>
      </c>
      <c r="AM561" s="24" t="n">
        <v>2025</v>
      </c>
      <c r="AN561" s="24" t="n">
        <v>2030</v>
      </c>
      <c r="AO561" s="24" t="n">
        <v>2035</v>
      </c>
      <c r="AP561" s="24" t="n">
        <v>2040</v>
      </c>
      <c r="AQ561" s="24" t="n">
        <v>2045</v>
      </c>
      <c r="AR561" s="24" t="n">
        <v>2050</v>
      </c>
    </row>
    <row r="562" customFormat="false" ht="11.25" hidden="false" customHeight="false" outlineLevel="0" collapsed="false">
      <c r="S562" s="154"/>
      <c r="T562" s="13"/>
      <c r="U562" s="15" t="str">
        <f aca="false">AA563</f>
        <v> Consumo por pessoa (0 - 50 000 $ por pessoa-ano)</v>
      </c>
      <c r="V562" s="25" t="n">
        <f aca="false">V561</f>
        <v>50</v>
      </c>
      <c r="W562" s="56" t="n">
        <f aca="false">W567</f>
        <v>50</v>
      </c>
      <c r="AA562" s="29" t="str">
        <f aca="false">CONCATENATE("GDP per person (0 - ",W561," 000 $ per person-yr)")</f>
        <v> PIB per capita (0 - 50 000 $ por pessoa-ano)</v>
      </c>
      <c r="AB562" s="120" t="n">
        <f aca="false">B96/B9*1000/$W$561</f>
        <v>0.398937736899224</v>
      </c>
      <c r="AC562" s="120" t="n">
        <f aca="false">C96/C9*1000/$W$561</f>
        <v>0.435711216564275</v>
      </c>
      <c r="AD562" s="120" t="n">
        <f aca="false">D96/D9*1000/$W$561</f>
        <v>0.49417680630289</v>
      </c>
      <c r="AE562" s="120" t="n">
        <f aca="false">E96/E9*1000/$W$561</f>
        <v>0.558163284495924</v>
      </c>
      <c r="AF562" s="120" t="n">
        <f aca="false">F96/F9*1000/$W$561</f>
        <v>0.621742977612</v>
      </c>
      <c r="AG562" s="120" t="n">
        <f aca="false">G96/G9*1000/$W$561</f>
        <v>0.669759881008682</v>
      </c>
      <c r="AH562" s="120" t="n">
        <f aca="false">H96/H9*1000/$W$561</f>
        <v>0.778390998312123</v>
      </c>
      <c r="AI562" s="120" t="n">
        <f aca="false">I96/I9*1000/$W$561</f>
        <v>0.843470774618598</v>
      </c>
      <c r="AJ562" s="120" t="n">
        <f aca="false">J96/J9*1000/$W$561</f>
        <v>0.809955764303268</v>
      </c>
      <c r="AK562" s="120" t="n">
        <f aca="false">K96/K9*1000/$W$561</f>
        <v>0.845591191948525</v>
      </c>
      <c r="AL562" s="120" t="n">
        <f aca="false">L96/L9*1000/$W$561</f>
        <v>0.877668116039117</v>
      </c>
      <c r="AM562" s="120" t="n">
        <f aca="false">M96/M9*1000/$W$561</f>
        <v>0.902414416546324</v>
      </c>
      <c r="AN562" s="120" t="n">
        <f aca="false">N96/N9*1000/$W$561</f>
        <v>0.913402369373487</v>
      </c>
      <c r="AO562" s="120" t="n">
        <f aca="false">O96/O9*1000/$W$561</f>
        <v>0.927335024937885</v>
      </c>
      <c r="AP562" s="120" t="n">
        <f aca="false">P96/P9*1000/$W$561</f>
        <v>0.936722000297503</v>
      </c>
      <c r="AQ562" s="120" t="n">
        <f aca="false">Q96/Q9*1000/$W$561</f>
        <v>0.946993279987968</v>
      </c>
      <c r="AR562" s="120" t="n">
        <f aca="false">R96/R9*1000/$W$561</f>
        <v>0.944141702385669</v>
      </c>
    </row>
    <row r="563" customFormat="false" ht="11.25" hidden="false" customHeight="false" outlineLevel="0" collapsed="false">
      <c r="S563" s="154"/>
      <c r="T563" s="13"/>
      <c r="U563" s="15" t="str">
        <f aca="false">AA564</f>
        <v> Alimentos por pessoa (0 - 4 t por pessoa-ano)</v>
      </c>
      <c r="V563" s="25" t="n">
        <v>4</v>
      </c>
      <c r="W563" s="56" t="n">
        <f aca="false">W568</f>
        <v>4</v>
      </c>
      <c r="AA563" s="29" t="str">
        <f aca="false">CONCATENATE("Consumption per person (0 - ",W562," 000 $ per person-yr)")</f>
        <v> Consumo por pessoa (0 - 50 000 $ por pessoa-ano)</v>
      </c>
      <c r="AB563" s="120" t="n">
        <f aca="false">B136/B9*1000/$W$562</f>
        <v>0.334052723236001</v>
      </c>
      <c r="AC563" s="120" t="n">
        <f aca="false">C136/C9*1000/$W$562</f>
        <v>0.369621676690085</v>
      </c>
      <c r="AD563" s="120" t="n">
        <f aca="false">D136/D9*1000/$W$562</f>
        <v>0.408413461705105</v>
      </c>
      <c r="AE563" s="120" t="n">
        <f aca="false">E136/E9*1000/$W$562</f>
        <v>0.452680372253774</v>
      </c>
      <c r="AF563" s="120" t="n">
        <f aca="false">F136/F9*1000/$W$562</f>
        <v>0.513195766095563</v>
      </c>
      <c r="AG563" s="120" t="n">
        <f aca="false">G136/G9*1000/$W$562</f>
        <v>0.541196609836067</v>
      </c>
      <c r="AH563" s="120" t="n">
        <f aca="false">H136/H9*1000/$W$562</f>
        <v>0.596755817560538</v>
      </c>
      <c r="AI563" s="120" t="n">
        <f aca="false">I136/I9*1000/$W$562</f>
        <v>0.650203647209707</v>
      </c>
      <c r="AJ563" s="120" t="n">
        <f aca="false">J136/J9*1000/$W$562</f>
        <v>0.676034527598313</v>
      </c>
      <c r="AK563" s="120" t="n">
        <f aca="false">K136/K9*1000/$W$562</f>
        <v>0.68788173975458</v>
      </c>
      <c r="AL563" s="120" t="n">
        <f aca="false">L136/L9*1000/$W$562</f>
        <v>0.685453586980176</v>
      </c>
      <c r="AM563" s="120" t="n">
        <f aca="false">M136/M9*1000/$W$562</f>
        <v>0.682672487173741</v>
      </c>
      <c r="AN563" s="120" t="n">
        <f aca="false">N136/N9*1000/$W$562</f>
        <v>0.671005164691823</v>
      </c>
      <c r="AO563" s="120" t="n">
        <f aca="false">O136/O9*1000/$W$562</f>
        <v>0.662781406769979</v>
      </c>
      <c r="AP563" s="120" t="n">
        <f aca="false">P136/P9*1000/$W$562</f>
        <v>0.652227523460019</v>
      </c>
      <c r="AQ563" s="120" t="n">
        <f aca="false">Q136/Q9*1000/$W$562</f>
        <v>0.637293699859399</v>
      </c>
      <c r="AR563" s="120" t="n">
        <f aca="false">R136/R9*1000/$W$562</f>
        <v>0.61130724313999</v>
      </c>
    </row>
    <row r="564" customFormat="false" ht="11.25" hidden="false" customHeight="false" outlineLevel="0" collapsed="false">
      <c r="S564" s="154"/>
      <c r="T564" s="13"/>
      <c r="U564" s="15" t="str">
        <f aca="false">AA565</f>
        <v> Consumo de energia por pessoa (0 - 9 toe por pessoa-ano)</v>
      </c>
      <c r="V564" s="25" t="n">
        <v>9</v>
      </c>
      <c r="W564" s="56" t="n">
        <f aca="false">W569</f>
        <v>9</v>
      </c>
      <c r="AA564" s="29" t="str">
        <f aca="false">CONCATENATE("Food per person (0 - ",W563," t per person-yr)")</f>
        <v> Alimentos por pessoa (0 - 4 t por pessoa-ano)</v>
      </c>
      <c r="AB564" s="120" t="n">
        <f aca="false">B412/B9/$W$563</f>
        <v>0.516110540029558</v>
      </c>
      <c r="AC564" s="120" t="n">
        <f aca="false">C412/C9/$W$563</f>
        <v>0.632314758245867</v>
      </c>
      <c r="AD564" s="120" t="n">
        <f aca="false">D412/D9/$W$563</f>
        <v>0.653112502355981</v>
      </c>
      <c r="AE564" s="120" t="n">
        <f aca="false">E412/E9/$W$563</f>
        <v>0.784323575632124</v>
      </c>
      <c r="AF564" s="120" t="n">
        <f aca="false">F412/F9/$W$563</f>
        <v>0.671965149280465</v>
      </c>
      <c r="AG564" s="120" t="n">
        <f aca="false">G412/G9/$W$563</f>
        <v>0.609563207336368</v>
      </c>
      <c r="AH564" s="120" t="n">
        <f aca="false">H412/H9/$W$563</f>
        <v>0.711226411294657</v>
      </c>
      <c r="AI564" s="120" t="n">
        <f aca="false">I412/I9/$W$563</f>
        <v>0.714312924263375</v>
      </c>
      <c r="AJ564" s="120" t="n">
        <f aca="false">J412/J9/$W$563</f>
        <v>0.769484401342605</v>
      </c>
      <c r="AK564" s="120" t="n">
        <f aca="false">K412/K9/$W$563</f>
        <v>0.784738900962476</v>
      </c>
      <c r="AL564" s="120" t="n">
        <f aca="false">L412/L9/$W$563</f>
        <v>0.819095525986982</v>
      </c>
      <c r="AM564" s="120" t="n">
        <f aca="false">M412/M9/$W$563</f>
        <v>0.848341682589791</v>
      </c>
      <c r="AN564" s="120" t="n">
        <f aca="false">N412/N9/$W$563</f>
        <v>0.872859222947897</v>
      </c>
      <c r="AO564" s="120" t="n">
        <f aca="false">O412/O9/$W$563</f>
        <v>0.89040279302391</v>
      </c>
      <c r="AP564" s="120" t="n">
        <f aca="false">P412/P9/$W$563</f>
        <v>0.895230456003755</v>
      </c>
      <c r="AQ564" s="120" t="n">
        <f aca="false">Q412/Q9/$W$563</f>
        <v>0.867254978372636</v>
      </c>
      <c r="AR564" s="120" t="n">
        <f aca="false">R412/R9/$W$563</f>
        <v>0.836225355766997</v>
      </c>
    </row>
    <row r="565" customFormat="false" ht="11.25" hidden="false" customHeight="false" outlineLevel="0" collapsed="false">
      <c r="T565" s="13"/>
      <c r="U565" s="15" t="str">
        <f aca="false">AA538</f>
        <v> Aumento do nível do mar (0 - 0,8 m)</v>
      </c>
      <c r="V565" s="25" t="n">
        <v>800</v>
      </c>
      <c r="W565" s="70" t="n">
        <v>800</v>
      </c>
      <c r="AA565" s="29" t="str">
        <f aca="false">CONCATENATE("Energy use per person (0 - ",W564," toe per person-yr)")</f>
        <v> Consumo de energia por pessoa (0 - 9 toe por pessoa-ano)</v>
      </c>
      <c r="AB565" s="120" t="n">
        <f aca="false">B250/B9/$W564</f>
        <v>0.852001942518166</v>
      </c>
      <c r="AC565" s="120" t="n">
        <f aca="false">C250/C9/$W564</f>
        <v>0.858691786601789</v>
      </c>
      <c r="AD565" s="120" t="n">
        <f aca="false">D250/D9/$W564</f>
        <v>0.863333768307964</v>
      </c>
      <c r="AE565" s="120" t="n">
        <f aca="false">E250/E9/$W564</f>
        <v>0.796709929314547</v>
      </c>
      <c r="AF565" s="120" t="n">
        <f aca="false">F250/F9/$W564</f>
        <v>0.851108789008024</v>
      </c>
      <c r="AG565" s="120" t="n">
        <f aca="false">G250/G9/$W564</f>
        <v>0.872781983302294</v>
      </c>
      <c r="AH565" s="120" t="n">
        <f aca="false">H250/H9/$W564</f>
        <v>0.89872185689203</v>
      </c>
      <c r="AI565" s="120" t="n">
        <f aca="false">I250/I9/$W564</f>
        <v>0.871509325136943</v>
      </c>
      <c r="AJ565" s="120" t="n">
        <f aca="false">J250/J9/$W564</f>
        <v>0.817135378574278</v>
      </c>
      <c r="AK565" s="120" t="n">
        <f aca="false">K250/K9/$W564</f>
        <v>0.831759518820942</v>
      </c>
      <c r="AL565" s="120" t="n">
        <f aca="false">L250/L9/$W564</f>
        <v>0.820146160450234</v>
      </c>
      <c r="AM565" s="120" t="n">
        <f aca="false">M250/M9/$W564</f>
        <v>0.801107070056535</v>
      </c>
      <c r="AN565" s="120" t="n">
        <f aca="false">N250/N9/$W564</f>
        <v>0.770318412882128</v>
      </c>
      <c r="AO565" s="120" t="n">
        <f aca="false">O250/O9/$W564</f>
        <v>0.7429650996577</v>
      </c>
      <c r="AP565" s="120" t="n">
        <f aca="false">P250/P9/$W564</f>
        <v>0.712961495907857</v>
      </c>
      <c r="AQ565" s="120" t="n">
        <f aca="false">Q250/Q9/$W564</f>
        <v>0.684740251681344</v>
      </c>
      <c r="AR565" s="120" t="n">
        <f aca="false">R250/R9/$W564</f>
        <v>0.648544449625343</v>
      </c>
    </row>
    <row r="566" customFormat="false" ht="11.25" hidden="false" customHeight="false" outlineLevel="0" collapsed="false">
      <c r="T566" s="13"/>
      <c r="U566" s="37" t="str">
        <f aca="false">AA567</f>
        <v> PIB per capita (0 - 50.000 dólares por pessoa-ano), sua previsão</v>
      </c>
      <c r="W566" s="4" t="n">
        <v>50</v>
      </c>
      <c r="AA566" s="29"/>
      <c r="AB566" s="24" t="n">
        <v>1970</v>
      </c>
      <c r="AC566" s="24" t="n">
        <v>1975</v>
      </c>
      <c r="AD566" s="24" t="n">
        <v>1980</v>
      </c>
      <c r="AE566" s="24" t="n">
        <v>1985</v>
      </c>
      <c r="AF566" s="24" t="n">
        <v>1990</v>
      </c>
      <c r="AG566" s="24" t="n">
        <v>1995</v>
      </c>
      <c r="AH566" s="24" t="n">
        <v>2000</v>
      </c>
      <c r="AI566" s="24" t="n">
        <v>2005</v>
      </c>
      <c r="AJ566" s="24" t="n">
        <v>2010</v>
      </c>
      <c r="AK566" s="24" t="n">
        <v>2015</v>
      </c>
      <c r="AL566" s="24" t="n">
        <v>2020</v>
      </c>
      <c r="AM566" s="24" t="n">
        <v>2025</v>
      </c>
      <c r="AN566" s="24" t="n">
        <v>2030</v>
      </c>
      <c r="AO566" s="24" t="n">
        <v>2035</v>
      </c>
      <c r="AP566" s="24" t="n">
        <v>2040</v>
      </c>
      <c r="AQ566" s="24" t="n">
        <v>2045</v>
      </c>
      <c r="AR566" s="24" t="n">
        <v>2050</v>
      </c>
    </row>
    <row r="567" customFormat="false" ht="11.25" hidden="false" customHeight="false" outlineLevel="0" collapsed="false">
      <c r="T567" s="13"/>
      <c r="U567" s="37" t="str">
        <f aca="false">AA568</f>
        <v> Consumo por pessoa (0 - 50.000 dólares por pessoa-ano), Sua previsão</v>
      </c>
      <c r="W567" s="155" t="n">
        <f aca="false">W566</f>
        <v>50</v>
      </c>
      <c r="AA567" s="29" t="str">
        <f aca="false">CONCATENATE("GDP per person (0 - ",W566," 000$ per person-yr), Your forecast")</f>
        <v> PIB per capita (0 - 50.000 dólares por pessoa-ano), sua previsão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120" t="n">
        <f aca="false">K104/K17*1000/$W566</f>
        <v>0.845516559769995</v>
      </c>
      <c r="AL567" s="120" t="n">
        <f aca="false">L104/L17*1000/$W566</f>
        <v>0.858703626057411</v>
      </c>
      <c r="AM567" s="120" t="n">
        <f aca="false">M104/M17*1000/$W566</f>
        <v>0.881738798483271</v>
      </c>
      <c r="AN567" s="120" t="n">
        <f aca="false">N104/N17*1000/$W566</f>
        <v>0.891522067291289</v>
      </c>
      <c r="AO567" s="120" t="n">
        <f aca="false">O104/O17*1000/$W566</f>
        <v>0.904383425460405</v>
      </c>
      <c r="AP567" s="120" t="n">
        <f aca="false">P104/P17*1000/$W566</f>
        <v>0.913022697446886</v>
      </c>
      <c r="AQ567" s="120" t="n">
        <f aca="false">Q104/Q17*1000/$W566</f>
        <v>0.922757932156323</v>
      </c>
      <c r="AR567" s="120" t="n">
        <f aca="false">R104/R17*1000/$W566</f>
        <v>0.919968589303216</v>
      </c>
    </row>
    <row r="568" customFormat="false" ht="11.25" hidden="false" customHeight="false" outlineLevel="0" collapsed="false">
      <c r="T568" s="13"/>
      <c r="U568" s="37" t="str">
        <f aca="false">AA569</f>
        <v> Alimentos por pessoa (0 a 4 toneladas por pessoa-ano), Sua previsão</v>
      </c>
      <c r="W568" s="4" t="n">
        <v>4</v>
      </c>
      <c r="AA568" s="29" t="str">
        <f aca="false">CONCATENATE("Consumption per person (0 - ",W567," 000$ per person-yr), Your forecast")</f>
        <v> Consumo por pessoa (0 - 50.000 dólares por pessoa-ano), Sua previsão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120" t="n">
        <f aca="false">K147/K17*1000/$W567</f>
        <v>0.68782102706824</v>
      </c>
      <c r="AL568" s="120" t="n">
        <f aca="false">L147/L17*1000/$W567</f>
        <v>0.671003088439697</v>
      </c>
      <c r="AM568" s="120" t="n">
        <f aca="false">M147/M17*1000/$W567</f>
        <v>0.667648691347782</v>
      </c>
      <c r="AN568" s="120" t="n">
        <f aca="false">N147/N17*1000/$W567</f>
        <v>0.655805112484322</v>
      </c>
      <c r="AO568" s="120" t="n">
        <f aca="false">O147/O17*1000/$W567</f>
        <v>0.647517048893508</v>
      </c>
      <c r="AP568" s="120" t="n">
        <f aca="false">P147/P17*1000/$W567</f>
        <v>0.637132057577513</v>
      </c>
      <c r="AQ568" s="120" t="n">
        <f aca="false">Q147/Q17*1000/$W567</f>
        <v>0.622774299997114</v>
      </c>
      <c r="AR568" s="120" t="n">
        <f aca="false">R147/R17*1000/$W567</f>
        <v>0.597863704547888</v>
      </c>
    </row>
    <row r="569" customFormat="false" ht="11.25" hidden="false" customHeight="false" outlineLevel="0" collapsed="false">
      <c r="T569" s="13"/>
      <c r="U569" s="37" t="str">
        <f aca="false">AA570</f>
        <v> Consumo de energia por pessoa (0 a 9 toneladas equivalentes de petróleo por pessoa-ano), sua previsão</v>
      </c>
      <c r="W569" s="4" t="n">
        <v>9</v>
      </c>
      <c r="AA569" s="29" t="str">
        <f aca="false">CONCATENATE("Food per person (0 - ",W568," t per person-yr), Your forecast")</f>
        <v>Alimentos por pessoa (0 a 4 toneladas por pessoa-ano), Sua previsão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120" t="n">
        <f aca="false">K420/K17/$W568</f>
        <v>0.784714791071568</v>
      </c>
      <c r="AL569" s="120" t="n">
        <f aca="false">L420/L17/$W568</f>
        <v>0.786972869782883</v>
      </c>
      <c r="AM569" s="120" t="n">
        <f aca="false">M420/M17/$W568</f>
        <v>0.815364690141297</v>
      </c>
      <c r="AN569" s="120" t="n">
        <f aca="false">N420/N17/$W568</f>
        <v>0.839156375012913</v>
      </c>
      <c r="AO569" s="120" t="n">
        <f aca="false">O420/O17/$W568</f>
        <v>0.856164393199876</v>
      </c>
      <c r="AP569" s="120" t="n">
        <f aca="false">P420/P17/$W568</f>
        <v>0.860852183259827</v>
      </c>
      <c r="AQ569" s="120" t="n">
        <f aca="false">Q420/Q17/$W568</f>
        <v>0.833908923821434</v>
      </c>
      <c r="AR569" s="120" t="n">
        <f aca="false">R420/R17/$W568</f>
        <v>0.803962257578672</v>
      </c>
    </row>
    <row r="570" s="3" customFormat="true" ht="11.25" hidden="false" customHeight="false" outlineLevel="0" collapsed="false">
      <c r="T570" s="13"/>
      <c r="AA570" s="29" t="str">
        <f aca="false">CONCATENATE("Energy use per person (0 - ",W569," toe per person-yr), Your forecast")</f>
        <v> Consumo de energia por pessoa (0 a 9 toneladas equivalentes de petróleo por pessoa-ano), sua previsão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120" t="n">
        <f aca="false">K266/K17/$W569</f>
        <v>0.831686107430788</v>
      </c>
      <c r="AL570" s="120" t="n">
        <f aca="false">L266/L17/$W569</f>
        <v>0.803269251691203</v>
      </c>
      <c r="AM570" s="120" t="n">
        <f aca="false">M266/M17/$W569</f>
        <v>0.784401317087638</v>
      </c>
      <c r="AN570" s="120" t="n">
        <f aca="false">N266/N17/$W569</f>
        <v>0.754242460277306</v>
      </c>
      <c r="AO570" s="120" t="n">
        <f aca="false">O266/O17/$W569</f>
        <v>0.727632336921743</v>
      </c>
      <c r="AP570" s="120" t="n">
        <f aca="false">P266/P17/$W569</f>
        <v>0.69858858987044</v>
      </c>
      <c r="AQ570" s="120" t="n">
        <f aca="false">Q266/Q17/$W569</f>
        <v>0.671441558203197</v>
      </c>
      <c r="AR570" s="120" t="n">
        <f aca="false">R266/R17/$W569</f>
        <v>0.636610719471273</v>
      </c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1.25" hidden="false" customHeight="false" outlineLevel="0" collapsed="false">
      <c r="T580" s="13"/>
    </row>
    <row r="581" customFormat="false" ht="11.25" hidden="false" customHeight="false" outlineLevel="0" collapsed="false">
      <c r="T581" s="13"/>
    </row>
    <row r="582" customFormat="false" ht="11.25" hidden="false" customHeight="false" outlineLevel="0" collapsed="false">
      <c r="T582" s="13"/>
    </row>
    <row r="583" customFormat="false" ht="11.25" hidden="false" customHeight="false" outlineLevel="0" collapsed="false">
      <c r="T583" s="13"/>
    </row>
    <row r="584" customFormat="false" ht="11.25" hidden="false" customHeight="false" outlineLevel="0" collapsed="false">
      <c r="T584" s="13"/>
    </row>
    <row r="585" customFormat="false" ht="11.25" hidden="false" customHeight="false" outlineLevel="0" collapsed="false">
      <c r="T585" s="13"/>
    </row>
    <row r="586" customFormat="false" ht="11.25" hidden="false" customHeight="false" outlineLevel="0" collapsed="false">
      <c r="T586" s="13"/>
    </row>
    <row r="587" customFormat="false" ht="11.25" hidden="false" customHeight="false" outlineLevel="0" collapsed="false">
      <c r="T587" s="13"/>
    </row>
    <row r="588" customFormat="false" ht="11.25" hidden="false" customHeight="false" outlineLevel="0" collapsed="false">
      <c r="T588" s="13"/>
    </row>
  </sheetData>
  <sheetProtection sheet="true" password="dbc0" objects="true" scenarios="true"/>
  <mergeCells count="2">
    <mergeCell ref="D6:E6"/>
    <mergeCell ref="V271:Y272"/>
  </mergeCells>
  <conditionalFormatting sqref="K273:R273">
    <cfRule type="cellIs" priority="2" operator="lessThan" aboveAverage="0" equalAverage="0" bottom="0" percent="0" rank="0" text="" dxfId="0">
      <formula>0</formula>
    </cfRule>
  </conditionalFormatting>
  <conditionalFormatting sqref="K257:R257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1.86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tr">
        <f aca="false"> SumWorld!A1</f>
        <v> Prezado(a) usuário(a): Esta é a versão de 7 de novembro de 2014, às 11h, da planilha de 2052 de Ulrich Goluke (2052@blue-way.net)</v>
      </c>
      <c r="T1" s="13"/>
    </row>
    <row r="2" customFormat="false" ht="15" hidden="false" customHeight="false" outlineLevel="0" collapsed="false">
      <c r="A2" s="1" t="str">
        <f aca="false"> SumWorld!A2</f>
        <v> Prezado(a) usuário(a): O lado esquerdo desta planilha contém os dados numéricos e os gráficos que você também encontra no livro de 2052.</v>
      </c>
      <c r="T2" s="13"/>
      <c r="U2" s="1" t="str">
        <f aca="false"> SumWorld!U2</f>
        <v> Prezado(a) usuário(a): Os cálculos nesta parte à direita da planilha garantem o dimensionamento correto dos gráficos.</v>
      </c>
    </row>
    <row r="3" customFormat="false" ht="15" hidden="false" customHeight="false" outlineLevel="0" collapsed="false">
      <c r="A3" s="14"/>
      <c r="T3" s="13"/>
      <c r="U3" s="1" t="str">
        <f aca="false"> SumWorld!U3</f>
        <v> Contém também a fonte dos dados históricos.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U4" s="16"/>
    </row>
    <row r="5" customFormat="false" ht="17.35" hidden="false" customHeight="false" outlineLevel="0" collapsed="false">
      <c r="A5" s="17" t="s">
        <v>158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U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M6" s="10" t="s">
        <v>11</v>
      </c>
      <c r="N6" s="10"/>
      <c r="O6" s="10"/>
      <c r="P6" s="10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 Gráfico 1. População - China de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159</v>
      </c>
      <c r="B9" s="62" t="n">
        <v>818.831928</v>
      </c>
      <c r="C9" s="62" t="n">
        <v>919.644373</v>
      </c>
      <c r="D9" s="62" t="n">
        <v>988.470422</v>
      </c>
      <c r="E9" s="62" t="n">
        <v>1062.290059</v>
      </c>
      <c r="F9" s="62" t="n">
        <v>1151.348795</v>
      </c>
      <c r="G9" s="62" t="n">
        <v>1220.529352</v>
      </c>
      <c r="H9" s="62" t="n">
        <v>1276.331921</v>
      </c>
      <c r="I9" s="62" t="n">
        <v>1314.884738</v>
      </c>
      <c r="J9" s="62" t="n">
        <v>1348.931997</v>
      </c>
      <c r="K9" s="27" t="n">
        <f aca="false">J9+(J10-J11)*5</f>
        <v>1365.71400185</v>
      </c>
      <c r="L9" s="27" t="n">
        <f aca="false">K9+(K10-K11)*5</f>
        <v>1369.45302486766</v>
      </c>
      <c r="M9" s="27" t="n">
        <f aca="false">L9+(L10-L11)*5</f>
        <v>1361.30423516904</v>
      </c>
      <c r="N9" s="27" t="n">
        <f aca="false">M9+(M10-M11)*5</f>
        <v>1342.97322666905</v>
      </c>
      <c r="O9" s="27" t="n">
        <f aca="false">N9+(N10-N11)*5</f>
        <v>1313.2992836155</v>
      </c>
      <c r="P9" s="27" t="n">
        <f aca="false">O9+(O10-O11)*5</f>
        <v>1273.09273203208</v>
      </c>
      <c r="Q9" s="27" t="n">
        <f aca="false">P9+(P10-P11)*5</f>
        <v>1223.49445392644</v>
      </c>
      <c r="R9" s="27" t="n">
        <f aca="false">Q9+(Q10-Q11)*5</f>
        <v>1165.59534153576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160</v>
      </c>
      <c r="B10" s="30" t="n">
        <v>27.2700168</v>
      </c>
      <c r="C10" s="30" t="n">
        <v>20.5548832</v>
      </c>
      <c r="D10" s="30" t="n">
        <v>21.9777092</v>
      </c>
      <c r="E10" s="30" t="n">
        <v>25.6186986</v>
      </c>
      <c r="F10" s="30" t="n">
        <v>22.1817688</v>
      </c>
      <c r="G10" s="30" t="n">
        <v>19.8687398</v>
      </c>
      <c r="H10" s="30" t="n">
        <v>17.411251</v>
      </c>
      <c r="I10" s="30" t="n">
        <v>16.775341</v>
      </c>
      <c r="J10" s="31" t="n">
        <f aca="false">J9*J12/100</f>
        <v>13.48931997</v>
      </c>
      <c r="K10" s="31" t="n">
        <f aca="false">K9*K12/100</f>
        <v>11.608569015725</v>
      </c>
      <c r="L10" s="31" t="n">
        <f aca="false">L9*L12/100</f>
        <v>10.2708976865074</v>
      </c>
      <c r="M10" s="31" t="n">
        <f aca="false">M9*M12/100</f>
        <v>9.52912964618326</v>
      </c>
      <c r="N10" s="31" t="n">
        <f aca="false">N9*N12/100</f>
        <v>8.72932597334883</v>
      </c>
      <c r="O10" s="31" t="n">
        <f aca="false">O9*O12/100</f>
        <v>8.14245555841611</v>
      </c>
      <c r="P10" s="31" t="n">
        <f aca="false">P9*P12/100</f>
        <v>7.63855639219247</v>
      </c>
      <c r="Q10" s="31" t="n">
        <f aca="false">Q9*Q12/100</f>
        <v>7.09626783277334</v>
      </c>
      <c r="R10" s="31" t="n">
        <f aca="false">R9*R12/100</f>
        <v>6.52733391260027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161</v>
      </c>
      <c r="B11" s="30" t="n">
        <v>6.8967402</v>
      </c>
      <c r="C11" s="30" t="n">
        <v>6.7831322</v>
      </c>
      <c r="D11" s="30" t="n">
        <v>7.1851182</v>
      </c>
      <c r="E11" s="30" t="n">
        <v>7.799106</v>
      </c>
      <c r="F11" s="30" t="n">
        <v>8.2157398</v>
      </c>
      <c r="G11" s="30" t="n">
        <v>8.686851</v>
      </c>
      <c r="H11" s="30" t="n">
        <v>9.2473254</v>
      </c>
      <c r="I11" s="30" t="n">
        <v>9.6344188</v>
      </c>
      <c r="J11" s="31" t="n">
        <f aca="false">J9*J13/100</f>
        <v>10.132919</v>
      </c>
      <c r="K11" s="31" t="n">
        <f aca="false">K9*K13/100</f>
        <v>10.8607644121936</v>
      </c>
      <c r="L11" s="31" t="n">
        <f aca="false">L9*L13/100</f>
        <v>11.9006556262314</v>
      </c>
      <c r="M11" s="31" t="n">
        <f aca="false">M9*M13/100</f>
        <v>13.1953313461805</v>
      </c>
      <c r="N11" s="31" t="n">
        <f aca="false">N9*N13/100</f>
        <v>14.6641145840587</v>
      </c>
      <c r="O11" s="31" t="n">
        <f aca="false">O9*O13/100</f>
        <v>16.1837658751005</v>
      </c>
      <c r="P11" s="31" t="n">
        <f aca="false">P9*P13/100</f>
        <v>17.5582120133208</v>
      </c>
      <c r="Q11" s="31" t="n">
        <f aca="false">Q9*Q13/100</f>
        <v>18.6760903109084</v>
      </c>
      <c r="R11" s="31" t="n">
        <f aca="false">R9*R13/100</f>
        <v>19.3979689645251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3.33035582364346</v>
      </c>
      <c r="C12" s="32" t="n">
        <f aca="false">C10/C9*100</f>
        <v>2.23509041141059</v>
      </c>
      <c r="D12" s="32" t="n">
        <f aca="false">D10/D9*100</f>
        <v>2.22340585118692</v>
      </c>
      <c r="E12" s="32" t="n">
        <f aca="false">E10/E9*100</f>
        <v>2.41164815418837</v>
      </c>
      <c r="F12" s="32" t="n">
        <f aca="false">F10/F9*100</f>
        <v>1.92658983066899</v>
      </c>
      <c r="G12" s="32" t="n">
        <f aca="false">G10/G9*100</f>
        <v>1.62787890085908</v>
      </c>
      <c r="H12" s="32" t="n">
        <f aca="false">H10/H9*100</f>
        <v>1.36416324887952</v>
      </c>
      <c r="I12" s="32" t="n">
        <f aca="false">I10/I9*100</f>
        <v>1.27580315712813</v>
      </c>
      <c r="J12" s="33" t="n">
        <v>1</v>
      </c>
      <c r="K12" s="33" t="n">
        <v>0.85</v>
      </c>
      <c r="L12" s="33" t="n">
        <v>0.75</v>
      </c>
      <c r="M12" s="33" t="n">
        <v>0.7</v>
      </c>
      <c r="N12" s="33" t="n">
        <v>0.65</v>
      </c>
      <c r="O12" s="33" t="n">
        <v>0.62</v>
      </c>
      <c r="P12" s="33" t="n">
        <v>0.6</v>
      </c>
      <c r="Q12" s="33" t="n">
        <v>0.58</v>
      </c>
      <c r="R12" s="33" t="n">
        <v>0.56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0.842265667002667</v>
      </c>
      <c r="C13" s="32" t="n">
        <f aca="false">C11/C9*100</f>
        <v>0.737582091420028</v>
      </c>
      <c r="D13" s="32" t="n">
        <f aca="false">D11/D9*100</f>
        <v>0.726892584753538</v>
      </c>
      <c r="E13" s="32" t="n">
        <f aca="false">E11/E9*100</f>
        <v>0.734178573349522</v>
      </c>
      <c r="F13" s="32" t="n">
        <f aca="false">F11/F9*100</f>
        <v>0.713575228955705</v>
      </c>
      <c r="G13" s="32" t="n">
        <f aca="false">G11/G9*100</f>
        <v>0.711728151868322</v>
      </c>
      <c r="H13" s="32" t="n">
        <f aca="false">H11/H9*100</f>
        <v>0.724523554402272</v>
      </c>
      <c r="I13" s="32" t="n">
        <f aca="false">I11/I9*100</f>
        <v>0.732719646183923</v>
      </c>
      <c r="J13" s="33" t="n">
        <v>0.751180861788098</v>
      </c>
      <c r="K13" s="33" t="n">
        <v>0.795244421414851</v>
      </c>
      <c r="L13" s="33" t="n">
        <v>0.869007947708284</v>
      </c>
      <c r="M13" s="33" t="n">
        <v>0.969315381916958</v>
      </c>
      <c r="N13" s="33" t="n">
        <v>1.09191414190958</v>
      </c>
      <c r="O13" s="33" t="n">
        <v>1.23229838598151</v>
      </c>
      <c r="P13" s="33" t="n">
        <v>1.37917777484244</v>
      </c>
      <c r="Q13" s="33" t="n">
        <v>1.52645484014849</v>
      </c>
      <c r="R13" s="33" t="n">
        <v>1.66421126383079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5"/>
      <c r="I15" s="38" t="s">
        <v>7</v>
      </c>
      <c r="J15" s="39" t="n">
        <f aca="false">J12</f>
        <v>1</v>
      </c>
      <c r="K15" s="39" t="n">
        <f aca="false">K12*0.98</f>
        <v>0.833</v>
      </c>
      <c r="L15" s="39" t="n">
        <f aca="false">L12*0.98</f>
        <v>0.735</v>
      </c>
      <c r="M15" s="39" t="n">
        <f aca="false">M12*0.98</f>
        <v>0.686</v>
      </c>
      <c r="N15" s="39" t="n">
        <f aca="false">N12*0.98</f>
        <v>0.637</v>
      </c>
      <c r="O15" s="39" t="n">
        <f aca="false">O12*0.98</f>
        <v>0.6076</v>
      </c>
      <c r="P15" s="39" t="n">
        <f aca="false">P12*0.98</f>
        <v>0.588</v>
      </c>
      <c r="Q15" s="39" t="n">
        <f aca="false">Q12*0.98</f>
        <v>0.5684</v>
      </c>
      <c r="R15" s="39" t="n">
        <f aca="false">R12*0.98</f>
        <v>0.5488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5"/>
      <c r="I16" s="38" t="s">
        <v>7</v>
      </c>
      <c r="J16" s="39" t="n">
        <f aca="false">J13</f>
        <v>0.751180861788098</v>
      </c>
      <c r="K16" s="39" t="n">
        <f aca="false">K13*0.98</f>
        <v>0.779339532986554</v>
      </c>
      <c r="L16" s="39" t="n">
        <f aca="false">L13*0.98</f>
        <v>0.851627788754119</v>
      </c>
      <c r="M16" s="39" t="n">
        <f aca="false">M13*0.98</f>
        <v>0.949929074278619</v>
      </c>
      <c r="N16" s="39" t="n">
        <f aca="false">N13*0.98</f>
        <v>1.07007585907138</v>
      </c>
      <c r="O16" s="39" t="n">
        <f aca="false">O13*0.98</f>
        <v>1.20765241826188</v>
      </c>
      <c r="P16" s="39" t="n">
        <f aca="false">P13*0.98</f>
        <v>1.35159421934559</v>
      </c>
      <c r="Q16" s="39" t="n">
        <f aca="false">Q13*0.98</f>
        <v>1.49592574334552</v>
      </c>
      <c r="R16" s="39" t="n">
        <f aca="false">R13*0.98</f>
        <v>1.63092703855417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159</v>
      </c>
      <c r="J17" s="43"/>
      <c r="K17" s="44" t="n">
        <f aca="false">J9+(J18-J19)*5</f>
        <v>1365.71400185</v>
      </c>
      <c r="L17" s="44" t="n">
        <f aca="false">K17+(K18-K19)*5</f>
        <v>1369.3782444073</v>
      </c>
      <c r="M17" s="44" t="n">
        <f aca="false">L17+(L18-L19)*5</f>
        <v>1361.39286657664</v>
      </c>
      <c r="N17" s="44" t="n">
        <f aca="false">M17+(M18-M19)*5</f>
        <v>1343.42730862639</v>
      </c>
      <c r="O17" s="44" t="n">
        <f aca="false">N17+(N18-N19)*5</f>
        <v>1314.33701183722</v>
      </c>
      <c r="P17" s="44" t="n">
        <f aca="false">O17+(O18-O19)*5</f>
        <v>1274.90345671902</v>
      </c>
      <c r="Q17" s="44" t="n">
        <f aca="false">P17+(P18-P19)*5</f>
        <v>1226.2280112303</v>
      </c>
      <c r="R17" s="44" t="n">
        <f aca="false">Q17+(Q18-Q19)*5</f>
        <v>1169.36010884893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160</v>
      </c>
      <c r="J18" s="45" t="n">
        <f aca="false">J9*J15/100</f>
        <v>13.48931997</v>
      </c>
      <c r="K18" s="45" t="n">
        <f aca="false">K17*K15/100</f>
        <v>11.3763976354105</v>
      </c>
      <c r="L18" s="45" t="n">
        <f aca="false">L17*L15/100</f>
        <v>10.0649300963937</v>
      </c>
      <c r="M18" s="45" t="n">
        <f aca="false">M17*M15/100</f>
        <v>9.33915506471577</v>
      </c>
      <c r="N18" s="45" t="n">
        <f aca="false">N17*N15/100</f>
        <v>8.55763195595009</v>
      </c>
      <c r="O18" s="45" t="n">
        <f aca="false">O17*O15/100</f>
        <v>7.98591168392296</v>
      </c>
      <c r="P18" s="45" t="n">
        <f aca="false">P17*P15/100</f>
        <v>7.49643232550784</v>
      </c>
      <c r="Q18" s="45" t="n">
        <f aca="false">Q17*Q15/100</f>
        <v>6.96988001583304</v>
      </c>
      <c r="R18" s="45" t="n">
        <f aca="false">R17*R15/100</f>
        <v>6.41744827736292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161</v>
      </c>
      <c r="J19" s="45" t="n">
        <f aca="false">J9*J16/100</f>
        <v>10.132919</v>
      </c>
      <c r="K19" s="45" t="n">
        <f aca="false">K17*K16/100</f>
        <v>10.6435491239498</v>
      </c>
      <c r="L19" s="45" t="n">
        <f aca="false">L17*L16/100</f>
        <v>11.6620056625259</v>
      </c>
      <c r="M19" s="45" t="n">
        <f aca="false">M17*M16/100</f>
        <v>12.9322666547667</v>
      </c>
      <c r="N19" s="45" t="n">
        <f aca="false">N17*N16/100</f>
        <v>14.3756913137834</v>
      </c>
      <c r="O19" s="45" t="n">
        <f aca="false">O17*O16/100</f>
        <v>15.8726227075631</v>
      </c>
      <c r="P19" s="45" t="n">
        <f aca="false">P17*P16/100</f>
        <v>17.2315214232514</v>
      </c>
      <c r="Q19" s="45" t="n">
        <f aca="false">Q17*Q16/100</f>
        <v>18.3434604921079</v>
      </c>
      <c r="R19" s="45" t="n">
        <f aca="false">R17*R16/100</f>
        <v>19.0714101932837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47" t="n">
        <v>1364.997315</v>
      </c>
      <c r="L21" s="47" t="n">
        <v>1364.083911</v>
      </c>
      <c r="M21" s="47" t="n">
        <v>1349.800864</v>
      </c>
      <c r="N21" s="47" t="n">
        <v>1327.57623</v>
      </c>
      <c r="O21" s="47" t="n">
        <v>1296.085768</v>
      </c>
      <c r="P21" s="47" t="n">
        <v>1253.703454</v>
      </c>
      <c r="Q21" s="47" t="n">
        <v>1200.786012</v>
      </c>
      <c r="R21" s="47" t="n">
        <v>1139.276738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49" t="n">
        <v>13.6307714</v>
      </c>
      <c r="K22" s="49" t="n">
        <v>10.9876874</v>
      </c>
      <c r="L22" s="49" t="n">
        <v>9.3017772</v>
      </c>
      <c r="M22" s="49" t="n">
        <v>8.9286392</v>
      </c>
      <c r="N22" s="49" t="n">
        <v>8.487085</v>
      </c>
      <c r="O22" s="49" t="n">
        <v>7.78629</v>
      </c>
      <c r="P22" s="49" t="n">
        <v>6.9977326</v>
      </c>
      <c r="Q22" s="49" t="n">
        <v>6.3185652</v>
      </c>
      <c r="R22" s="49" t="n">
        <v>5.815751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49" t="n">
        <v>10.132919</v>
      </c>
      <c r="K23" s="49" t="n">
        <v>10.855065</v>
      </c>
      <c r="L23" s="49" t="n">
        <v>11.8539976</v>
      </c>
      <c r="M23" s="49" t="n">
        <v>13.0838274</v>
      </c>
      <c r="N23" s="49" t="n">
        <v>14.4959926</v>
      </c>
      <c r="O23" s="49" t="n">
        <v>15.971644</v>
      </c>
      <c r="P23" s="49" t="n">
        <v>17.2907994</v>
      </c>
      <c r="Q23" s="49" t="n">
        <v>18.3294562</v>
      </c>
      <c r="R23" s="49" t="n">
        <v>18.9599718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1.01048617946009</v>
      </c>
      <c r="K24" s="32" t="n">
        <f aca="false">K22/K21*100</f>
        <v>0.804960367266363</v>
      </c>
      <c r="L24" s="32" t="n">
        <f aca="false">L22/L21*100</f>
        <v>0.68190652532372</v>
      </c>
      <c r="M24" s="32" t="n">
        <f aca="false">M22/M21*100</f>
        <v>0.661478254913904</v>
      </c>
      <c r="N24" s="32" t="n">
        <f aca="false">N22/N21*100</f>
        <v>0.639291726396759</v>
      </c>
      <c r="O24" s="32" t="n">
        <f aca="false">O22/O21*100</f>
        <v>0.600754224160264</v>
      </c>
      <c r="P24" s="32" t="n">
        <f aca="false">P22/P21*100</f>
        <v>0.558164897581913</v>
      </c>
      <c r="Q24" s="32" t="n">
        <f aca="false">Q22/Q21*100</f>
        <v>0.526202432144921</v>
      </c>
      <c r="R24" s="32" t="n">
        <f aca="false">R22/R21*100</f>
        <v>0.510477463992599</v>
      </c>
      <c r="S24" s="28" t="s">
        <v>25</v>
      </c>
      <c r="T24" s="13"/>
      <c r="V24" s="50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0.751180861788098</v>
      </c>
      <c r="K25" s="32" t="n">
        <f aca="false">K23/K21*100</f>
        <v>0.795244421414851</v>
      </c>
      <c r="L25" s="32" t="n">
        <f aca="false">L23/L21*100</f>
        <v>0.869007947708284</v>
      </c>
      <c r="M25" s="32" t="n">
        <f aca="false">M23/M21*100</f>
        <v>0.969315381916958</v>
      </c>
      <c r="N25" s="32" t="n">
        <f aca="false">N23/N21*100</f>
        <v>1.09191414190958</v>
      </c>
      <c r="O25" s="32" t="n">
        <f aca="false">O23/O21*100</f>
        <v>1.23229838598151</v>
      </c>
      <c r="P25" s="32" t="n">
        <f aca="false">P23/P21*100</f>
        <v>1.37917777484244</v>
      </c>
      <c r="Q25" s="32" t="n">
        <f aca="false">Q23/Q21*100</f>
        <v>1.52645484014849</v>
      </c>
      <c r="R25" s="32" t="n">
        <f aca="false">R23/R21*100</f>
        <v>1.66421126383079</v>
      </c>
      <c r="S25" s="28" t="s">
        <v>25</v>
      </c>
      <c r="T25" s="13"/>
      <c r="V25" s="50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28.3" hidden="false" customHeight="false" outlineLevel="0" collapsed="false">
      <c r="T27" s="13"/>
      <c r="U27" s="55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 da China (0 - 1,4 Gp)</v>
      </c>
      <c r="V28" s="25" t="n">
        <v>1400</v>
      </c>
      <c r="W28" s="56" t="n">
        <f aca="false">W38</f>
        <v>1400</v>
      </c>
      <c r="AA28" s="29" t="str">
        <f aca="false">CONCATENATE(A9," (0 - ",W28/1000," Gp)")</f>
        <v> População da China (0 - 1,4 Gp)</v>
      </c>
      <c r="AB28" s="57" t="n">
        <f aca="false">B9/$W28</f>
        <v>0.584879948571429</v>
      </c>
      <c r="AC28" s="57" t="n">
        <f aca="false">C9/$W28</f>
        <v>0.656888837857143</v>
      </c>
      <c r="AD28" s="57" t="n">
        <f aca="false">D9/$W28</f>
        <v>0.706050301428572</v>
      </c>
      <c r="AE28" s="57" t="n">
        <f aca="false">E9/$W28</f>
        <v>0.758778613571429</v>
      </c>
      <c r="AF28" s="57" t="n">
        <f aca="false">F9/$W28</f>
        <v>0.822391996428572</v>
      </c>
      <c r="AG28" s="57" t="n">
        <f aca="false">G9/$W28</f>
        <v>0.87180668</v>
      </c>
      <c r="AH28" s="57" t="n">
        <f aca="false">H9/$W28</f>
        <v>0.911665657857143</v>
      </c>
      <c r="AI28" s="57" t="n">
        <f aca="false">I9/$W28</f>
        <v>0.939203384285715</v>
      </c>
      <c r="AJ28" s="57" t="n">
        <f aca="false">J9/$W28</f>
        <v>0.963522855</v>
      </c>
      <c r="AK28" s="57" t="n">
        <f aca="false">K9/$W28</f>
        <v>0.975510001321429</v>
      </c>
      <c r="AL28" s="57" t="n">
        <f aca="false">L9/$W28</f>
        <v>0.978180732048326</v>
      </c>
      <c r="AM28" s="57" t="n">
        <f aca="false">M9/$W28</f>
        <v>0.972360167977883</v>
      </c>
      <c r="AN28" s="57" t="n">
        <f aca="false">N9/$W28</f>
        <v>0.959266590477893</v>
      </c>
      <c r="AO28" s="57" t="n">
        <f aca="false">O9/$W28</f>
        <v>0.938070916868215</v>
      </c>
      <c r="AP28" s="57" t="n">
        <f aca="false">P9/$W28</f>
        <v>0.909351951451485</v>
      </c>
      <c r="AQ28" s="57" t="n">
        <f aca="false">Q9/$W28</f>
        <v>0.873924609947455</v>
      </c>
      <c r="AR28" s="57" t="n">
        <f aca="false">R9/$W28</f>
        <v>0.832568101096973</v>
      </c>
    </row>
    <row r="29" customFormat="false" ht="11.25" hidden="false" customHeight="false" outlineLevel="0" collapsed="false">
      <c r="T29" s="13"/>
      <c r="U29" s="15" t="str">
        <f aca="false">AA29</f>
        <v> Nascimentos, China (0 - 30 milhões/ano)</v>
      </c>
      <c r="V29" s="25" t="n">
        <v>30</v>
      </c>
      <c r="W29" s="56" t="n">
        <f aca="false">W39</f>
        <v>30</v>
      </c>
      <c r="AA29" s="29" t="str">
        <f aca="false">CONCATENATE(A10," (0 - ",W29," Mp / yr)")</f>
        <v> Nascimentos, China (0 - 30 milhões/ano)</v>
      </c>
      <c r="AB29" s="57" t="n">
        <f aca="false">B10/$W29</f>
        <v>0.90900056</v>
      </c>
      <c r="AC29" s="57" t="n">
        <f aca="false">C10/$W29</f>
        <v>0.685162773333333</v>
      </c>
      <c r="AD29" s="57" t="n">
        <f aca="false">D10/$W29</f>
        <v>0.732590306666667</v>
      </c>
      <c r="AE29" s="57" t="n">
        <f aca="false">E10/$W29</f>
        <v>0.85395662</v>
      </c>
      <c r="AF29" s="57" t="n">
        <f aca="false">F10/$W29</f>
        <v>0.739392293333333</v>
      </c>
      <c r="AG29" s="57" t="n">
        <f aca="false">G10/$W29</f>
        <v>0.662291326666667</v>
      </c>
      <c r="AH29" s="57" t="n">
        <f aca="false">H10/$W29</f>
        <v>0.580375033333333</v>
      </c>
      <c r="AI29" s="57" t="n">
        <f aca="false">I10/$W29</f>
        <v>0.559178033333333</v>
      </c>
      <c r="AJ29" s="57" t="n">
        <f aca="false">J10/$W29</f>
        <v>0.449643999</v>
      </c>
      <c r="AK29" s="57" t="n">
        <f aca="false">K10/$W29</f>
        <v>0.386952300524167</v>
      </c>
      <c r="AL29" s="57" t="n">
        <f aca="false">L10/$W29</f>
        <v>0.342363256216914</v>
      </c>
      <c r="AM29" s="57" t="n">
        <f aca="false">M10/$W29</f>
        <v>0.317637654872775</v>
      </c>
      <c r="AN29" s="57" t="n">
        <f aca="false">N10/$W29</f>
        <v>0.290977532444961</v>
      </c>
      <c r="AO29" s="57" t="n">
        <f aca="false">O10/$W29</f>
        <v>0.271415185280537</v>
      </c>
      <c r="AP29" s="57" t="n">
        <f aca="false">P10/$W29</f>
        <v>0.254618546406416</v>
      </c>
      <c r="AQ29" s="57" t="n">
        <f aca="false">Q10/$W29</f>
        <v>0.236542261092445</v>
      </c>
      <c r="AR29" s="57" t="n">
        <f aca="false">R10/$W29</f>
        <v>0.217577797086676</v>
      </c>
    </row>
    <row r="30" customFormat="false" ht="11.25" hidden="false" customHeight="false" outlineLevel="0" collapsed="false">
      <c r="T30" s="13"/>
      <c r="U30" s="15" t="str">
        <f aca="false">AA30</f>
        <v> Mortes, China (0 - 20 milhões/ano)</v>
      </c>
      <c r="V30" s="25" t="n">
        <v>20</v>
      </c>
      <c r="W30" s="56" t="n">
        <f aca="false">W40</f>
        <v>20</v>
      </c>
      <c r="AA30" s="29" t="str">
        <f aca="false">CONCATENATE(A11," (0 - ",W30," Mp / yr)")</f>
        <v> Mortes, China (0 - 20 milhões/ano)</v>
      </c>
      <c r="AB30" s="57" t="n">
        <f aca="false">B11/$W30</f>
        <v>0.34483701</v>
      </c>
      <c r="AC30" s="57" t="n">
        <f aca="false">C11/$W30</f>
        <v>0.33915661</v>
      </c>
      <c r="AD30" s="57" t="n">
        <f aca="false">D11/$W30</f>
        <v>0.35925591</v>
      </c>
      <c r="AE30" s="57" t="n">
        <f aca="false">E11/$W30</f>
        <v>0.3899553</v>
      </c>
      <c r="AF30" s="57" t="n">
        <f aca="false">F11/$W30</f>
        <v>0.41078699</v>
      </c>
      <c r="AG30" s="57" t="n">
        <f aca="false">G11/$W30</f>
        <v>0.43434255</v>
      </c>
      <c r="AH30" s="57" t="n">
        <f aca="false">H11/$W30</f>
        <v>0.46236627</v>
      </c>
      <c r="AI30" s="57" t="n">
        <f aca="false">I11/$W30</f>
        <v>0.48172094</v>
      </c>
      <c r="AJ30" s="57" t="n">
        <f aca="false">J11/$W30</f>
        <v>0.50664595</v>
      </c>
      <c r="AK30" s="57" t="n">
        <f aca="false">K11/$W30</f>
        <v>0.543038220609682</v>
      </c>
      <c r="AL30" s="57" t="n">
        <f aca="false">L11/$W30</f>
        <v>0.595032781311572</v>
      </c>
      <c r="AM30" s="57" t="n">
        <f aca="false">M11/$W30</f>
        <v>0.659766567309024</v>
      </c>
      <c r="AN30" s="57" t="n">
        <f aca="false">N11/$W30</f>
        <v>0.733205729202936</v>
      </c>
      <c r="AO30" s="57" t="n">
        <f aca="false">O11/$W30</f>
        <v>0.809188293755025</v>
      </c>
      <c r="AP30" s="57" t="n">
        <f aca="false">P11/$W30</f>
        <v>0.877910600666042</v>
      </c>
      <c r="AQ30" s="57" t="n">
        <f aca="false">Q11/$W30</f>
        <v>0.933804515545421</v>
      </c>
      <c r="AR30" s="57" t="n">
        <f aca="false">R11/$W30</f>
        <v>0.969898448226256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(0 - 4 % / ano)</v>
      </c>
      <c r="V31" s="25" t="n">
        <v>4</v>
      </c>
      <c r="W31" s="56" t="n">
        <f aca="false">W41</f>
        <v>4</v>
      </c>
      <c r="AA31" s="29" t="str">
        <f aca="false">CONCATENATE(A12," (0 - ",W31," % / yr)")</f>
        <v> Taxa bruta de natalidade (0 - 4 % / ano)</v>
      </c>
      <c r="AB31" s="57" t="n">
        <f aca="false">B12/$W31</f>
        <v>0.832588955910865</v>
      </c>
      <c r="AC31" s="57" t="n">
        <f aca="false">C12/$W31</f>
        <v>0.558772602852646</v>
      </c>
      <c r="AD31" s="57" t="n">
        <f aca="false">D12/$W31</f>
        <v>0.555851462796729</v>
      </c>
      <c r="AE31" s="57" t="n">
        <f aca="false">E12/$W31</f>
        <v>0.602912038547091</v>
      </c>
      <c r="AF31" s="57" t="n">
        <f aca="false">F12/$W31</f>
        <v>0.481647457667248</v>
      </c>
      <c r="AG31" s="57" t="n">
        <f aca="false">G12/$W31</f>
        <v>0.406969725214769</v>
      </c>
      <c r="AH31" s="57" t="n">
        <f aca="false">H12/$W31</f>
        <v>0.34104081221988</v>
      </c>
      <c r="AI31" s="57" t="n">
        <f aca="false">I12/$W31</f>
        <v>0.318950789282034</v>
      </c>
      <c r="AJ31" s="57" t="n">
        <f aca="false">J12/$W31</f>
        <v>0.25</v>
      </c>
      <c r="AK31" s="57" t="n">
        <f aca="false">K12/$W31</f>
        <v>0.2125</v>
      </c>
      <c r="AL31" s="57" t="n">
        <f aca="false">L12/$W31</f>
        <v>0.1875</v>
      </c>
      <c r="AM31" s="57" t="n">
        <f aca="false">M12/$W31</f>
        <v>0.175</v>
      </c>
      <c r="AN31" s="57" t="n">
        <f aca="false">N12/$W31</f>
        <v>0.1625</v>
      </c>
      <c r="AO31" s="57" t="n">
        <f aca="false">O12/$W31</f>
        <v>0.155</v>
      </c>
      <c r="AP31" s="57" t="n">
        <f aca="false">P12/$W31</f>
        <v>0.15</v>
      </c>
      <c r="AQ31" s="57" t="n">
        <f aca="false">Q12/$W31</f>
        <v>0.145</v>
      </c>
      <c r="AR31" s="57" t="n">
        <f aca="false">R12/$W31</f>
        <v>0.14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0.421132833501334</v>
      </c>
      <c r="AC32" s="57" t="n">
        <f aca="false">C13/$W32</f>
        <v>0.368791045710014</v>
      </c>
      <c r="AD32" s="57" t="n">
        <f aca="false">D13/$W32</f>
        <v>0.363446292376769</v>
      </c>
      <c r="AE32" s="57" t="n">
        <f aca="false">E13/$W32</f>
        <v>0.367089286674761</v>
      </c>
      <c r="AF32" s="57" t="n">
        <f aca="false">F13/$W32</f>
        <v>0.356787614477852</v>
      </c>
      <c r="AG32" s="57" t="n">
        <f aca="false">G13/$W32</f>
        <v>0.355864075934161</v>
      </c>
      <c r="AH32" s="57" t="n">
        <f aca="false">H13/$W32</f>
        <v>0.362261777201136</v>
      </c>
      <c r="AI32" s="57" t="n">
        <f aca="false">I13/$W32</f>
        <v>0.366359823091961</v>
      </c>
      <c r="AJ32" s="57" t="n">
        <f aca="false">J13/$W32</f>
        <v>0.375590430894049</v>
      </c>
      <c r="AK32" s="57" t="n">
        <f aca="false">K13/$W32</f>
        <v>0.397622210707425</v>
      </c>
      <c r="AL32" s="57" t="n">
        <f aca="false">L13/$W32</f>
        <v>0.434503973854142</v>
      </c>
      <c r="AM32" s="57" t="n">
        <f aca="false">M13/$W32</f>
        <v>0.484657690958479</v>
      </c>
      <c r="AN32" s="57" t="n">
        <f aca="false">N13/$W32</f>
        <v>0.545957070954788</v>
      </c>
      <c r="AO32" s="57" t="n">
        <f aca="false">O13/$W32</f>
        <v>0.616149192990753</v>
      </c>
      <c r="AP32" s="57" t="n">
        <f aca="false">P13/$W32</f>
        <v>0.68958888742122</v>
      </c>
      <c r="AQ32" s="57" t="n">
        <f aca="false">Q13/$W32</f>
        <v>0.763227420074244</v>
      </c>
      <c r="AR32" s="57" t="n">
        <f aca="false">R13/$W32</f>
        <v>0.832105631915395</v>
      </c>
    </row>
    <row r="33" customFormat="false" ht="11.25" hidden="false" customHeight="false" outlineLevel="0" collapsed="false">
      <c r="T33" s="13"/>
      <c r="U33" s="58" t="str">
        <f aca="false">AA33</f>
        <v> Previsão de baixa populacional da ONU (0 - 1,4 Gp)</v>
      </c>
      <c r="V33" s="28"/>
      <c r="W33" s="59" t="n">
        <f aca="false">W28</f>
        <v>1400</v>
      </c>
      <c r="AA33" s="29" t="str">
        <f aca="false">CONCATENATE(A21," (0 - ",W33/1000," Gp)")</f>
        <v>Previsão de baixa populacional da ONU (0 - 1,4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0.974998082142857</v>
      </c>
      <c r="AL33" s="57" t="n">
        <f aca="false">L21/$W33</f>
        <v>0.974345650714286</v>
      </c>
      <c r="AM33" s="57" t="n">
        <f aca="false">M21/$W33</f>
        <v>0.964143474285714</v>
      </c>
      <c r="AN33" s="57" t="n">
        <f aca="false">N21/$W33</f>
        <v>0.948268735714286</v>
      </c>
      <c r="AO33" s="57" t="n">
        <f aca="false">O21/$W33</f>
        <v>0.925775548571429</v>
      </c>
      <c r="AP33" s="57" t="n">
        <f aca="false">P21/$W33</f>
        <v>0.895502467142857</v>
      </c>
      <c r="AQ33" s="57" t="n">
        <f aca="false">Q21/$W33</f>
        <v>0.857704294285714</v>
      </c>
      <c r="AR33" s="57" t="n">
        <f aca="false">R21/$W33</f>
        <v>0.813769098571428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(0 - 30 milhões/ano)</v>
      </c>
      <c r="V34" s="28"/>
      <c r="W34" s="59" t="n">
        <f aca="false">W29</f>
        <v>30</v>
      </c>
      <c r="AA34" s="29" t="str">
        <f aca="false">CONCATENATE(A22," (0 - ",W34," Mp / yr)")</f>
        <v> Nascimentos: Previsão baixa da ONU (0 - 30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0.454359046666667</v>
      </c>
      <c r="AK34" s="57" t="n">
        <f aca="false">K22/$W34</f>
        <v>0.366256246666667</v>
      </c>
      <c r="AL34" s="57" t="n">
        <f aca="false">L22/$W34</f>
        <v>0.31005924</v>
      </c>
      <c r="AM34" s="57" t="n">
        <f aca="false">M22/$W34</f>
        <v>0.297621306666667</v>
      </c>
      <c r="AN34" s="57" t="n">
        <f aca="false">N22/$W34</f>
        <v>0.282902833333333</v>
      </c>
      <c r="AO34" s="57" t="n">
        <f aca="false">O22/$W34</f>
        <v>0.259543</v>
      </c>
      <c r="AP34" s="57" t="n">
        <f aca="false">P22/$W34</f>
        <v>0.233257753333333</v>
      </c>
      <c r="AQ34" s="57" t="n">
        <f aca="false">Q22/$W34</f>
        <v>0.21061884</v>
      </c>
      <c r="AR34" s="57" t="n">
        <f aca="false">R22/$W34</f>
        <v>0.193858366666667</v>
      </c>
    </row>
    <row r="35" s="3" customFormat="true" ht="11.25" hidden="false" customHeight="false" outlineLevel="0" collapsed="false">
      <c r="T35" s="13"/>
      <c r="U35" s="58" t="str">
        <f aca="false">AA35</f>
        <v> Mortes: Previsão baixa da ONU (0 - 20 milhões/ano)</v>
      </c>
      <c r="V35" s="28"/>
      <c r="W35" s="59" t="n">
        <f aca="false">W30</f>
        <v>20</v>
      </c>
      <c r="AA35" s="29" t="str">
        <f aca="false">CONCATENATE(A23," (0 - ",W35," Mp / yr)")</f>
        <v> Mortes: Previsão baixa da ONU (0 - 20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0.50664595</v>
      </c>
      <c r="AK35" s="57" t="n">
        <f aca="false">K23/$W35</f>
        <v>0.54275325</v>
      </c>
      <c r="AL35" s="57" t="n">
        <f aca="false">L23/$W35</f>
        <v>0.59269988</v>
      </c>
      <c r="AM35" s="57" t="n">
        <f aca="false">M23/$W35</f>
        <v>0.65419137</v>
      </c>
      <c r="AN35" s="57" t="n">
        <f aca="false">N23/$W35</f>
        <v>0.72479963</v>
      </c>
      <c r="AO35" s="57" t="n">
        <f aca="false">O23/$W35</f>
        <v>0.7985822</v>
      </c>
      <c r="AP35" s="57" t="n">
        <f aca="false">P23/$W35</f>
        <v>0.86453997</v>
      </c>
      <c r="AQ35" s="57" t="n">
        <f aca="false">Q23/$W35</f>
        <v>0.91647281</v>
      </c>
      <c r="AR35" s="57" t="n">
        <f aca="false">R23/$W35</f>
        <v>0.94799859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(0 - 4% / ano)</v>
      </c>
      <c r="V36" s="28"/>
      <c r="W36" s="59" t="n">
        <f aca="false">W31</f>
        <v>4</v>
      </c>
      <c r="AA36" s="29" t="str">
        <f aca="false">CONCATENATE(A24," (0 - ",W36," % / yr)")</f>
        <v> Baixa taxa de natalidade da ONU (0 - 4%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0.252621544865023</v>
      </c>
      <c r="AK36" s="57" t="n">
        <f aca="false">K24/$W36</f>
        <v>0.201240091816591</v>
      </c>
      <c r="AL36" s="57" t="n">
        <f aca="false">L24/$W36</f>
        <v>0.17047663133093</v>
      </c>
      <c r="AM36" s="57" t="n">
        <f aca="false">M24/$W36</f>
        <v>0.165369563728476</v>
      </c>
      <c r="AN36" s="57" t="n">
        <f aca="false">N24/$W36</f>
        <v>0.15982293159919</v>
      </c>
      <c r="AO36" s="57" t="n">
        <f aca="false">O24/$W36</f>
        <v>0.150188556040066</v>
      </c>
      <c r="AP36" s="57" t="n">
        <f aca="false">P24/$W36</f>
        <v>0.139541224395478</v>
      </c>
      <c r="AQ36" s="57" t="n">
        <f aca="false">Q24/$W36</f>
        <v>0.13155060803623</v>
      </c>
      <c r="AR36" s="57" t="n">
        <f aca="false">R24/$W36</f>
        <v>0.12761936599815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0.375590430894049</v>
      </c>
      <c r="AK37" s="57" t="n">
        <f aca="false">K25/$W37</f>
        <v>0.397622210707425</v>
      </c>
      <c r="AL37" s="57" t="n">
        <f aca="false">L25/$W37</f>
        <v>0.434503973854142</v>
      </c>
      <c r="AM37" s="57" t="n">
        <f aca="false">M25/$W37</f>
        <v>0.484657690958479</v>
      </c>
      <c r="AN37" s="57" t="n">
        <f aca="false">N25/$W37</f>
        <v>0.545957070954788</v>
      </c>
      <c r="AO37" s="57" t="n">
        <f aca="false">O25/$W37</f>
        <v>0.616149192990753</v>
      </c>
      <c r="AP37" s="57" t="n">
        <f aca="false">P25/$W37</f>
        <v>0.68958888742122</v>
      </c>
      <c r="AQ37" s="57" t="n">
        <f aca="false">Q25/$W37</f>
        <v>0.763227420074244</v>
      </c>
      <c r="AR37" s="57" t="n">
        <f aca="false">R25/$W37</f>
        <v>0.832105631915395</v>
      </c>
    </row>
    <row r="38" s="3" customFormat="true" ht="11.25" hidden="false" customHeight="false" outlineLevel="0" collapsed="false">
      <c r="T38" s="13"/>
      <c r="U38" s="37" t="str">
        <f aca="false">AA38</f>
        <v> População da China: Sua previsão (0 - 1,4 Gp)</v>
      </c>
      <c r="V38" s="28"/>
      <c r="W38" s="60" t="n">
        <v>1400</v>
      </c>
      <c r="AA38" s="29" t="str">
        <f aca="false">CONCATENATE(A9," Your forecast (0 - ",W38/1000," Gp)")</f>
        <v> População da China: Sua previsão (0 - 1,4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0.975510001321429</v>
      </c>
      <c r="AL38" s="57" t="n">
        <f aca="false">L17/$W38</f>
        <v>0.978127317433788</v>
      </c>
      <c r="AM38" s="57" t="n">
        <f aca="false">M17/$W38</f>
        <v>0.972423476126173</v>
      </c>
      <c r="AN38" s="57" t="n">
        <f aca="false">N17/$W38</f>
        <v>0.959590934733134</v>
      </c>
      <c r="AO38" s="57" t="n">
        <f aca="false">O17/$W38</f>
        <v>0.938812151312301</v>
      </c>
      <c r="AP38" s="57" t="n">
        <f aca="false">P17/$W38</f>
        <v>0.910645326227872</v>
      </c>
      <c r="AQ38" s="57" t="n">
        <f aca="false">Q17/$W38</f>
        <v>0.875877150878788</v>
      </c>
      <c r="AR38" s="57" t="n">
        <f aca="false">R17/$W38</f>
        <v>0.835257220606378</v>
      </c>
    </row>
    <row r="39" s="3" customFormat="true" ht="11.25" hidden="false" customHeight="false" outlineLevel="0" collapsed="false">
      <c r="T39" s="13"/>
      <c r="U39" s="37" t="str">
        <f aca="false">AA39</f>
        <v> Nascimentos, China Sua previsão (0 - 30 milhões/ano)</v>
      </c>
      <c r="V39" s="28"/>
      <c r="W39" s="60" t="n">
        <v>30</v>
      </c>
      <c r="AA39" s="29" t="str">
        <f aca="false">CONCATENATE(A10," Your forecast (0 - ",W39," Mp / yr)")</f>
        <v> Nascimentos, China Sua previsão (0 - 30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0.449643999</v>
      </c>
      <c r="AK39" s="57" t="n">
        <f aca="false">K18/$W39</f>
        <v>0.379213254513683</v>
      </c>
      <c r="AL39" s="57" t="n">
        <f aca="false">L18/$W39</f>
        <v>0.335497669879789</v>
      </c>
      <c r="AM39" s="57" t="n">
        <f aca="false">M18/$W39</f>
        <v>0.311305168823859</v>
      </c>
      <c r="AN39" s="57" t="n">
        <f aca="false">N18/$W39</f>
        <v>0.28525439853167</v>
      </c>
      <c r="AO39" s="57" t="n">
        <f aca="false">O18/$W39</f>
        <v>0.266197056130765</v>
      </c>
      <c r="AP39" s="57" t="n">
        <f aca="false">P18/$W39</f>
        <v>0.249881077516928</v>
      </c>
      <c r="AQ39" s="57" t="n">
        <f aca="false">Q18/$W39</f>
        <v>0.232329333861101</v>
      </c>
      <c r="AR39" s="57" t="n">
        <f aca="false">R18/$W39</f>
        <v>0.213914942578764</v>
      </c>
    </row>
    <row r="40" s="3" customFormat="true" ht="11.25" hidden="false" customHeight="false" outlineLevel="0" collapsed="false">
      <c r="T40" s="13"/>
      <c r="U40" s="37" t="str">
        <f aca="false">AA40</f>
        <v> Mortes, China Sua previsão (0 - 20 milhões/ano)</v>
      </c>
      <c r="V40" s="28"/>
      <c r="W40" s="60" t="n">
        <v>20</v>
      </c>
      <c r="AA40" s="29" t="str">
        <f aca="false">CONCATENATE(A11," Your forecast (0 - ",W40," Mp / yr)")</f>
        <v> Mortes, China Sua previsão (0 - 20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0.50664595</v>
      </c>
      <c r="AK40" s="57" t="n">
        <f aca="false">K19/$W40</f>
        <v>0.532177456197488</v>
      </c>
      <c r="AL40" s="57" t="n">
        <f aca="false">L19/$W40</f>
        <v>0.583100283126295</v>
      </c>
      <c r="AM40" s="57" t="n">
        <f aca="false">M19/$W40</f>
        <v>0.646613332738333</v>
      </c>
      <c r="AN40" s="57" t="n">
        <f aca="false">N19/$W40</f>
        <v>0.71878456568917</v>
      </c>
      <c r="AO40" s="57" t="n">
        <f aca="false">O19/$W40</f>
        <v>0.793631135378154</v>
      </c>
      <c r="AP40" s="57" t="n">
        <f aca="false">P19/$W40</f>
        <v>0.86157607116257</v>
      </c>
      <c r="AQ40" s="57" t="n">
        <f aca="false">Q19/$W40</f>
        <v>0.917173024605394</v>
      </c>
      <c r="AR40" s="57" t="n">
        <f aca="false">R19/$W40</f>
        <v>0.953570509664186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(0 - 4%/ano)</v>
      </c>
      <c r="V41" s="28"/>
      <c r="W41" s="60" t="n">
        <v>4</v>
      </c>
      <c r="AA41" s="29" t="str">
        <f aca="false">CONCATENATE(A12," Your forecast (0 - ",W41," % / yr)")</f>
        <v> Taxa bruta de natalidade: Sua previsão (0 - 4%/ano)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0.25</v>
      </c>
      <c r="AK41" s="57" t="n">
        <f aca="false">K15/$W41</f>
        <v>0.20825</v>
      </c>
      <c r="AL41" s="57" t="n">
        <f aca="false">L15/$W41</f>
        <v>0.18375</v>
      </c>
      <c r="AM41" s="57" t="n">
        <f aca="false">M15/$W41</f>
        <v>0.1715</v>
      </c>
      <c r="AN41" s="57" t="n">
        <f aca="false">N15/$W41</f>
        <v>0.15925</v>
      </c>
      <c r="AO41" s="57" t="n">
        <f aca="false">O15/$W41</f>
        <v>0.1519</v>
      </c>
      <c r="AP41" s="57" t="n">
        <f aca="false">P15/$W41</f>
        <v>0.147</v>
      </c>
      <c r="AQ41" s="57" t="n">
        <f aca="false">Q15/$W41</f>
        <v>0.1421</v>
      </c>
      <c r="AR41" s="57" t="n">
        <f aca="false">R15/$W41</f>
        <v>0.1372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0.375590430894049</v>
      </c>
      <c r="AK42" s="57" t="n">
        <f aca="false">K16/$W42</f>
        <v>0.389669766493277</v>
      </c>
      <c r="AL42" s="57" t="n">
        <f aca="false">L16/$W42</f>
        <v>0.425813894377059</v>
      </c>
      <c r="AM42" s="57" t="n">
        <f aca="false">M16/$W42</f>
        <v>0.47496453713931</v>
      </c>
      <c r="AN42" s="57" t="n">
        <f aca="false">N16/$W42</f>
        <v>0.535037929535692</v>
      </c>
      <c r="AO42" s="57" t="n">
        <f aca="false">O16/$W42</f>
        <v>0.603826209130938</v>
      </c>
      <c r="AP42" s="57" t="n">
        <f aca="false">P16/$W42</f>
        <v>0.675797109672795</v>
      </c>
      <c r="AQ42" s="57" t="n">
        <f aca="false">Q16/$W42</f>
        <v>0.747962871672759</v>
      </c>
      <c r="AR42" s="57" t="n">
        <f aca="false">R16/$W42</f>
        <v>0.815463519277087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China,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159</v>
      </c>
      <c r="B55" s="26" t="n">
        <f aca="false">B9</f>
        <v>818.831928</v>
      </c>
      <c r="C55" s="26" t="n">
        <f aca="false">C9</f>
        <v>919.644373</v>
      </c>
      <c r="D55" s="26" t="n">
        <f aca="false">D9</f>
        <v>988.470422</v>
      </c>
      <c r="E55" s="26" t="n">
        <f aca="false">E9</f>
        <v>1062.290059</v>
      </c>
      <c r="F55" s="26" t="n">
        <f aca="false">F9</f>
        <v>1151.348795</v>
      </c>
      <c r="G55" s="26" t="n">
        <f aca="false">G9</f>
        <v>1220.529352</v>
      </c>
      <c r="H55" s="26" t="n">
        <f aca="false">H9</f>
        <v>1276.331921</v>
      </c>
      <c r="I55" s="26" t="n">
        <f aca="false">I9</f>
        <v>1314.884738</v>
      </c>
      <c r="J55" s="26" t="n">
        <f aca="false">J9</f>
        <v>1348.931997</v>
      </c>
      <c r="K55" s="27" t="n">
        <f aca="false">K9</f>
        <v>1365.71400185</v>
      </c>
      <c r="L55" s="27" t="n">
        <f aca="false">L9</f>
        <v>1369.45302486766</v>
      </c>
      <c r="M55" s="27" t="n">
        <f aca="false">M9</f>
        <v>1361.30423516904</v>
      </c>
      <c r="N55" s="27" t="n">
        <f aca="false">N9</f>
        <v>1342.97322666905</v>
      </c>
      <c r="O55" s="27" t="n">
        <f aca="false">O9</f>
        <v>1313.2992836155</v>
      </c>
      <c r="P55" s="27" t="n">
        <f aca="false">P9</f>
        <v>1273.09273203208</v>
      </c>
      <c r="Q55" s="27" t="n">
        <f aca="false">Q9</f>
        <v>1223.49445392644</v>
      </c>
      <c r="R55" s="27" t="n">
        <f aca="false">R9</f>
        <v>1165.59534153576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162</v>
      </c>
      <c r="B56" s="62" t="n">
        <v>461.98323</v>
      </c>
      <c r="C56" s="62" t="n">
        <v>519.64773</v>
      </c>
      <c r="D56" s="62" t="n">
        <v>587.064515</v>
      </c>
      <c r="E56" s="62" t="n">
        <v>676.982858</v>
      </c>
      <c r="F56" s="62" t="n">
        <v>760.573356</v>
      </c>
      <c r="G56" s="62" t="n">
        <v>809.798548</v>
      </c>
      <c r="H56" s="62" t="n">
        <v>861.965209</v>
      </c>
      <c r="I56" s="62" t="n">
        <v>928.100443</v>
      </c>
      <c r="J56" s="62" t="n">
        <v>976.309259</v>
      </c>
      <c r="K56" s="27" t="n">
        <f aca="false">K57</f>
        <v>1001.815442</v>
      </c>
      <c r="L56" s="27" t="n">
        <f aca="false">L57</f>
        <v>994.896437</v>
      </c>
      <c r="M56" s="27" t="n">
        <f aca="false">M57</f>
        <v>987.071042</v>
      </c>
      <c r="N56" s="27" t="n">
        <f aca="false">N57</f>
        <v>953.08311</v>
      </c>
      <c r="O56" s="27" t="n">
        <f aca="false">O57</f>
        <v>883.530261</v>
      </c>
      <c r="P56" s="27" t="n">
        <f aca="false">P57</f>
        <v>810.28059</v>
      </c>
      <c r="Q56" s="27" t="n">
        <f aca="false">Q57</f>
        <v>760.457644</v>
      </c>
      <c r="R56" s="27" t="n">
        <f aca="false">R57</f>
        <v>701.358416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64" t="n">
        <v>1001.815442</v>
      </c>
      <c r="L57" s="64" t="n">
        <v>994.896437</v>
      </c>
      <c r="M57" s="64" t="n">
        <v>987.071042</v>
      </c>
      <c r="N57" s="64" t="n">
        <v>953.08311</v>
      </c>
      <c r="O57" s="64" t="n">
        <v>883.530261</v>
      </c>
      <c r="P57" s="64" t="n">
        <v>810.28059</v>
      </c>
      <c r="Q57" s="64" t="n">
        <v>760.457644</v>
      </c>
      <c r="R57" s="64" t="n">
        <v>701.358416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56.4197870408395</v>
      </c>
      <c r="C58" s="65" t="n">
        <f aca="false">C56/C55*100</f>
        <v>56.505291094735</v>
      </c>
      <c r="D58" s="65" t="n">
        <f aca="false">D56/D55*100</f>
        <v>59.3912070542461</v>
      </c>
      <c r="E58" s="65" t="n">
        <f aca="false">E56/E55*100</f>
        <v>63.7286259307826</v>
      </c>
      <c r="F58" s="65" t="n">
        <f aca="false">F56/F55*100</f>
        <v>66.0593348690654</v>
      </c>
      <c r="G58" s="65" t="n">
        <f aca="false">G56/G55*100</f>
        <v>66.3481420314093</v>
      </c>
      <c r="H58" s="65" t="n">
        <f aca="false">H56/H55*100</f>
        <v>67.5345648586971</v>
      </c>
      <c r="I58" s="65" t="n">
        <f aca="false">I56/I55*100</f>
        <v>70.5841672793072</v>
      </c>
      <c r="J58" s="65" t="n">
        <f aca="false">J56/J55*100</f>
        <v>72.3764623547587</v>
      </c>
      <c r="K58" s="65" t="n">
        <f aca="false">K56/K55*100</f>
        <v>73.3547024225378</v>
      </c>
      <c r="L58" s="65" t="n">
        <f aca="false">L56/L55*100</f>
        <v>72.6491832091974</v>
      </c>
      <c r="M58" s="65" t="n">
        <f aca="false">M56/M55*100</f>
        <v>72.5092170066916</v>
      </c>
      <c r="N58" s="65" t="n">
        <f aca="false">N56/N55*100</f>
        <v>70.9681392803275</v>
      </c>
      <c r="O58" s="65" t="n">
        <f aca="false">O56/O55*100</f>
        <v>67.2756219410742</v>
      </c>
      <c r="P58" s="65" t="n">
        <f aca="false">P56/P55*100</f>
        <v>63.646627587501</v>
      </c>
      <c r="Q58" s="65" t="n">
        <f aca="false">Q56/Q55*100</f>
        <v>62.1545640488635</v>
      </c>
      <c r="R58" s="65" t="n">
        <f aca="false">R56/R55*100</f>
        <v>60.1716900374624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1.7724278173474</v>
      </c>
      <c r="C59" s="32" t="n">
        <f aca="false">C55/C56</f>
        <v>1.76974577181353</v>
      </c>
      <c r="D59" s="32" t="n">
        <f aca="false">D55/D56</f>
        <v>1.68375092812414</v>
      </c>
      <c r="E59" s="32" t="n">
        <f aca="false">E55/E56</f>
        <v>1.56915355602697</v>
      </c>
      <c r="F59" s="32" t="n">
        <f aca="false">F55/F56</f>
        <v>1.51379059747131</v>
      </c>
      <c r="G59" s="32" t="n">
        <f aca="false">G55/G56</f>
        <v>1.50720121073865</v>
      </c>
      <c r="H59" s="32" t="n">
        <f aca="false">H55/H56</f>
        <v>1.48072324459676</v>
      </c>
      <c r="I59" s="32" t="n">
        <f aca="false">I55/I56</f>
        <v>1.41674831416927</v>
      </c>
      <c r="J59" s="32" t="n">
        <f aca="false">J55/J56</f>
        <v>1.38166465652663</v>
      </c>
      <c r="K59" s="32" t="n">
        <f aca="false">K55/K56</f>
        <v>1.36323912029497</v>
      </c>
      <c r="L59" s="32" t="n">
        <f aca="false">L55/L56</f>
        <v>1.37647796688979</v>
      </c>
      <c r="M59" s="32" t="n">
        <f aca="false">M55/M56</f>
        <v>1.37913501383929</v>
      </c>
      <c r="N59" s="32" t="n">
        <f aca="false">N55/N56</f>
        <v>1.40908301970544</v>
      </c>
      <c r="O59" s="32" t="n">
        <f aca="false">O55/O56</f>
        <v>1.48642252742886</v>
      </c>
      <c r="P59" s="32" t="n">
        <f aca="false">P55/P56</f>
        <v>1.57117515554961</v>
      </c>
      <c r="Q59" s="32" t="n">
        <f aca="false">Q55/Q56</f>
        <v>1.60889230791457</v>
      </c>
      <c r="R59" s="32" t="n">
        <f aca="false">R55/R56</f>
        <v>1.66191110699634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6"/>
      <c r="G61" s="66"/>
      <c r="H61" s="67" t="s">
        <v>42</v>
      </c>
      <c r="I61" s="39"/>
      <c r="J61" s="38" t="s">
        <v>7</v>
      </c>
      <c r="K61" s="68" t="n">
        <f aca="false">K57</f>
        <v>1001.815442</v>
      </c>
      <c r="L61" s="68" t="n">
        <f aca="false">L57*0.98</f>
        <v>974.99850826</v>
      </c>
      <c r="M61" s="68" t="n">
        <f aca="false">M57*0.98</f>
        <v>967.32962116</v>
      </c>
      <c r="N61" s="68" t="n">
        <f aca="false">N57*0.98</f>
        <v>934.0214478</v>
      </c>
      <c r="O61" s="68" t="n">
        <f aca="false">O57*0.98</f>
        <v>865.85965578</v>
      </c>
      <c r="P61" s="68" t="n">
        <f aca="false">P57*0.98</f>
        <v>794.0749782</v>
      </c>
      <c r="Q61" s="68" t="n">
        <f aca="false">Q57*0.98</f>
        <v>745.24849112</v>
      </c>
      <c r="R61" s="68" t="n">
        <f aca="false">R57*0.98</f>
        <v>687.33124768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73.3547024225378</v>
      </c>
      <c r="L62" s="45" t="n">
        <f aca="false">L61/L17*100</f>
        <v>71.2000875026316</v>
      </c>
      <c r="M62" s="45" t="n">
        <f aca="false">M61/M17*100</f>
        <v>71.0544064765409</v>
      </c>
      <c r="N62" s="45" t="n">
        <f aca="false">N61/N17*100</f>
        <v>69.525268825673</v>
      </c>
      <c r="O62" s="45" t="n">
        <f aca="false">O61/O17*100</f>
        <v>65.8780547136593</v>
      </c>
      <c r="P62" s="45" t="n">
        <f aca="false">P61/P17*100</f>
        <v>62.2851066890634</v>
      </c>
      <c r="Q62" s="45" t="n">
        <f aca="false">Q61/Q17*100</f>
        <v>60.7756864379794</v>
      </c>
      <c r="R62" s="45" t="n">
        <f aca="false">R61/R17*100</f>
        <v>58.7784073082997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1.36323912029497</v>
      </c>
      <c r="L63" s="43" t="n">
        <f aca="false">L17/L61</f>
        <v>1.40449265594377</v>
      </c>
      <c r="M63" s="43" t="n">
        <f aca="false">M17/M61</f>
        <v>1.40737225119199</v>
      </c>
      <c r="N63" s="43" t="n">
        <f aca="false">N17/N61</f>
        <v>1.43832597398133</v>
      </c>
      <c r="O63" s="43" t="n">
        <f aca="false">O17/O61</f>
        <v>1.51795617576525</v>
      </c>
      <c r="P63" s="43" t="n">
        <f aca="false">P17/P61</f>
        <v>1.60552024899331</v>
      </c>
      <c r="Q63" s="43" t="n">
        <f aca="false">Q17/Q61</f>
        <v>1.64539482580832</v>
      </c>
      <c r="R63" s="43" t="n">
        <f aca="false">R17/R61</f>
        <v>1.7013050298469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47" t="n">
        <f aca="false">K21</f>
        <v>1364.997315</v>
      </c>
      <c r="L65" s="47" t="n">
        <f aca="false">L21</f>
        <v>1364.083911</v>
      </c>
      <c r="M65" s="47" t="n">
        <f aca="false">M21</f>
        <v>1349.800864</v>
      </c>
      <c r="N65" s="47" t="n">
        <f aca="false">N21</f>
        <v>1327.57623</v>
      </c>
      <c r="O65" s="47" t="n">
        <f aca="false">O21</f>
        <v>1296.085768</v>
      </c>
      <c r="P65" s="47" t="n">
        <f aca="false">P21</f>
        <v>1253.703454</v>
      </c>
      <c r="Q65" s="47" t="n">
        <f aca="false">Q21</f>
        <v>1200.786012</v>
      </c>
      <c r="R65" s="47" t="n">
        <f aca="false">R21</f>
        <v>1139.276738</v>
      </c>
      <c r="S65" s="28" t="s">
        <v>17</v>
      </c>
      <c r="T65" s="13"/>
    </row>
    <row r="66" customFormat="false" ht="11.25" hidden="false" customHeight="false" outlineLevel="0" collapsed="false">
      <c r="A66" s="11" t="s">
        <v>163</v>
      </c>
      <c r="B66" s="41"/>
      <c r="C66" s="41"/>
      <c r="D66" s="41"/>
      <c r="E66" s="41"/>
      <c r="F66" s="41"/>
      <c r="G66" s="41"/>
      <c r="H66" s="41"/>
      <c r="I66" s="41"/>
      <c r="J66" s="48"/>
      <c r="K66" s="47" t="n">
        <v>1001.815442</v>
      </c>
      <c r="L66" s="47" t="n">
        <v>994.896437</v>
      </c>
      <c r="M66" s="47" t="n">
        <v>987.071042</v>
      </c>
      <c r="N66" s="47" t="n">
        <v>953.08311</v>
      </c>
      <c r="O66" s="47" t="n">
        <v>883.530261</v>
      </c>
      <c r="P66" s="47" t="n">
        <v>810.28059</v>
      </c>
      <c r="Q66" s="47" t="n">
        <v>760.457644</v>
      </c>
      <c r="R66" s="47" t="n">
        <v>701.358416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48" t="n">
        <f aca="false">K65/K66</f>
        <v>1.36252373219058</v>
      </c>
      <c r="L67" s="48" t="n">
        <f aca="false">L65/L66</f>
        <v>1.37108131084804</v>
      </c>
      <c r="M67" s="48" t="n">
        <f aca="false">M65/M66</f>
        <v>1.36748096800109</v>
      </c>
      <c r="N67" s="48" t="n">
        <f aca="false">N65/N66</f>
        <v>1.39292808367992</v>
      </c>
      <c r="O67" s="48" t="n">
        <f aca="false">O65/O66</f>
        <v>1.46693987202324</v>
      </c>
      <c r="P67" s="48" t="n">
        <f aca="false">P65/P66</f>
        <v>1.54724606447749</v>
      </c>
      <c r="Q67" s="48" t="n">
        <f aca="false">Q65/Q66</f>
        <v>1.57903076058763</v>
      </c>
      <c r="R67" s="48" t="n">
        <f aca="false">R65/R66</f>
        <v>1.62438592310269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5" t="s">
        <v>37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Pessoas na China, com idade entre 15 e 64 anos (Grupo 0 - 1,1)</v>
      </c>
      <c r="V70" s="25" t="n">
        <v>1100</v>
      </c>
      <c r="W70" s="70" t="n">
        <f aca="false">W74</f>
        <v>1100</v>
      </c>
      <c r="AA70" s="29" t="str">
        <f aca="false">CONCATENATE(A55," (0 - ",V28/1000," Gp)")</f>
        <v> População da China (0 - 1,4 Gp)</v>
      </c>
      <c r="AB70" s="57" t="n">
        <f aca="false">B55/$V28</f>
        <v>0.584879948571429</v>
      </c>
      <c r="AC70" s="57" t="n">
        <f aca="false">C55/$V28</f>
        <v>0.656888837857143</v>
      </c>
      <c r="AD70" s="57" t="n">
        <f aca="false">D55/$V28</f>
        <v>0.706050301428572</v>
      </c>
      <c r="AE70" s="57" t="n">
        <f aca="false">E55/$V28</f>
        <v>0.758778613571429</v>
      </c>
      <c r="AF70" s="57" t="n">
        <f aca="false">F55/$V28</f>
        <v>0.822391996428572</v>
      </c>
      <c r="AG70" s="57" t="n">
        <f aca="false">G55/$V28</f>
        <v>0.87180668</v>
      </c>
      <c r="AH70" s="57" t="n">
        <f aca="false">H55/$V28</f>
        <v>0.911665657857143</v>
      </c>
      <c r="AI70" s="57" t="n">
        <f aca="false">I55/$V28</f>
        <v>0.939203384285715</v>
      </c>
      <c r="AJ70" s="57" t="n">
        <f aca="false">J55/$V28</f>
        <v>0.963522855</v>
      </c>
      <c r="AK70" s="57" t="n">
        <f aca="false">K55/$V28</f>
        <v>0.975510001321429</v>
      </c>
      <c r="AL70" s="57" t="n">
        <f aca="false">L55/$V28</f>
        <v>0.978180732048326</v>
      </c>
      <c r="AM70" s="57" t="n">
        <f aca="false">M55/$V28</f>
        <v>0.972360167977883</v>
      </c>
      <c r="AN70" s="57" t="n">
        <f aca="false">N55/$V28</f>
        <v>0.959266590477893</v>
      </c>
      <c r="AO70" s="57" t="n">
        <f aca="false">O55/$V28</f>
        <v>0.938070916868215</v>
      </c>
      <c r="AP70" s="57" t="n">
        <f aca="false">P55/$V28</f>
        <v>0.909351951451485</v>
      </c>
      <c r="AQ70" s="57" t="n">
        <f aca="false">Q55/$V28</f>
        <v>0.873924609947455</v>
      </c>
      <c r="AR70" s="57" t="n">
        <f aca="false">R55/$V28</f>
        <v>0.832568101096973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 Sobrecarga de apoio (população/idade 15-64) (0 - 2)</v>
      </c>
      <c r="V71" s="25" t="n">
        <v>2</v>
      </c>
      <c r="W71" s="70" t="n">
        <f aca="false">W75</f>
        <v>2</v>
      </c>
      <c r="AA71" s="29" t="str">
        <f aca="false">CONCATENATE(A56," (0 - ",W70/1000," Gp)")</f>
        <v> Pessoas na China, com idade entre 15 e 64 anos (Grupo 0 - 1,1)</v>
      </c>
      <c r="AB71" s="57" t="n">
        <f aca="false">B56/$W70</f>
        <v>0.419984754545455</v>
      </c>
      <c r="AC71" s="57" t="n">
        <f aca="false">C56/$W70</f>
        <v>0.472407027272727</v>
      </c>
      <c r="AD71" s="57" t="n">
        <f aca="false">D56/$W70</f>
        <v>0.533695013636364</v>
      </c>
      <c r="AE71" s="57" t="n">
        <f aca="false">E56/$W70</f>
        <v>0.615438961818182</v>
      </c>
      <c r="AF71" s="57" t="n">
        <f aca="false">F56/$W70</f>
        <v>0.691430323636364</v>
      </c>
      <c r="AG71" s="57" t="n">
        <f aca="false">G56/$W70</f>
        <v>0.736180498181818</v>
      </c>
      <c r="AH71" s="57" t="n">
        <f aca="false">H56/$W70</f>
        <v>0.783604735454546</v>
      </c>
      <c r="AI71" s="57" t="n">
        <f aca="false">I56/$W70</f>
        <v>0.843727675454545</v>
      </c>
      <c r="AJ71" s="57" t="n">
        <f aca="false">J56/$W70</f>
        <v>0.887553871818182</v>
      </c>
      <c r="AK71" s="57" t="n">
        <f aca="false">K56/$W70</f>
        <v>0.910741310909091</v>
      </c>
      <c r="AL71" s="57" t="n">
        <f aca="false">L56/$W70</f>
        <v>0.904451306363636</v>
      </c>
      <c r="AM71" s="57" t="n">
        <f aca="false">M56/$W70</f>
        <v>0.897337310909091</v>
      </c>
      <c r="AN71" s="57" t="n">
        <f aca="false">N56/$W70</f>
        <v>0.866439190909091</v>
      </c>
      <c r="AO71" s="57" t="n">
        <f aca="false">O56/$W70</f>
        <v>0.803209328181818</v>
      </c>
      <c r="AP71" s="57" t="n">
        <f aca="false">P56/$W70</f>
        <v>0.736618718181818</v>
      </c>
      <c r="AQ71" s="57" t="n">
        <f aca="false">Q56/$W70</f>
        <v>0.691325130909091</v>
      </c>
      <c r="AR71" s="57" t="n">
        <f aca="false">R56/$W70</f>
        <v>0.63759856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População da China com idade entre 15 e 64 anos - Previsão Baixa da ONU (Mp) (0 - 1,1 Gp)</v>
      </c>
      <c r="W72" s="71" t="n">
        <f aca="false">W70</f>
        <v>1100</v>
      </c>
      <c r="AA72" s="29" t="str">
        <f aca="false">CONCATENATE(A59," (0 - ",W71,")")</f>
        <v> Sobrecarga de apoio (população/idade 15-64) (0 - 2)</v>
      </c>
      <c r="AB72" s="57" t="n">
        <f aca="false">B59/$W71</f>
        <v>0.886213908673698</v>
      </c>
      <c r="AC72" s="57" t="n">
        <f aca="false">C59/$W71</f>
        <v>0.884872885906766</v>
      </c>
      <c r="AD72" s="57" t="n">
        <f aca="false">D59/$W71</f>
        <v>0.841875464062072</v>
      </c>
      <c r="AE72" s="57" t="n">
        <f aca="false">E59/$W71</f>
        <v>0.784576778013484</v>
      </c>
      <c r="AF72" s="57" t="n">
        <f aca="false">F59/$W71</f>
        <v>0.756895298735656</v>
      </c>
      <c r="AG72" s="57" t="n">
        <f aca="false">G59/$W71</f>
        <v>0.753600605369325</v>
      </c>
      <c r="AH72" s="57" t="n">
        <f aca="false">H59/$W71</f>
        <v>0.740361622298378</v>
      </c>
      <c r="AI72" s="57" t="n">
        <f aca="false">I59/$W71</f>
        <v>0.708374157084634</v>
      </c>
      <c r="AJ72" s="57" t="n">
        <f aca="false">J59/$W71</f>
        <v>0.690832328263313</v>
      </c>
      <c r="AK72" s="57" t="n">
        <f aca="false">K59/$W71</f>
        <v>0.681619560147487</v>
      </c>
      <c r="AL72" s="57" t="n">
        <f aca="false">L59/$W71</f>
        <v>0.688238983444895</v>
      </c>
      <c r="AM72" s="57" t="n">
        <f aca="false">M59/$W71</f>
        <v>0.689567506919647</v>
      </c>
      <c r="AN72" s="57" t="n">
        <f aca="false">N59/$W71</f>
        <v>0.704541509852719</v>
      </c>
      <c r="AO72" s="57" t="n">
        <f aca="false">O59/$W71</f>
        <v>0.74321126371443</v>
      </c>
      <c r="AP72" s="57" t="n">
        <f aca="false">P59/$W71</f>
        <v>0.785587577774805</v>
      </c>
      <c r="AQ72" s="57" t="n">
        <f aca="false">Q59/$W71</f>
        <v>0.804446153957286</v>
      </c>
      <c r="AR72" s="57" t="n">
        <f aca="false">R59/$W71</f>
        <v>0.830955553498172</v>
      </c>
    </row>
    <row r="73" s="3" customFormat="true" ht="11.25" hidden="false" customHeight="false" outlineLevel="0" collapsed="false">
      <c r="T73" s="13"/>
      <c r="U73" s="58" t="str">
        <f aca="false">AA74</f>
        <v> Sobrecarga de apoio ONU Baixa (população/idade 15-64) (0 - 2)</v>
      </c>
      <c r="W73" s="71" t="n">
        <f aca="false">W71</f>
        <v>2</v>
      </c>
      <c r="Y73" s="72"/>
      <c r="AA73" s="29" t="str">
        <f aca="false">CONCATENATE(A66," (0 - ",W72/1000," Gp)")</f>
        <v> População da China com idade entre 15 e 64 anos - Previsão Baixa da ONU (Mp) (0 - 1,1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0.910741310909091</v>
      </c>
      <c r="AL73" s="57" t="n">
        <f aca="false">L66/$W72</f>
        <v>0.904451306363636</v>
      </c>
      <c r="AM73" s="57" t="n">
        <f aca="false">M66/$W72</f>
        <v>0.897337310909091</v>
      </c>
      <c r="AN73" s="57" t="n">
        <f aca="false">N66/$W72</f>
        <v>0.866439190909091</v>
      </c>
      <c r="AO73" s="57" t="n">
        <f aca="false">O66/$W72</f>
        <v>0.803209328181818</v>
      </c>
      <c r="AP73" s="57" t="n">
        <f aca="false">P66/$W72</f>
        <v>0.736618718181818</v>
      </c>
      <c r="AQ73" s="57" t="n">
        <f aca="false">Q66/$W72</f>
        <v>0.691325130909091</v>
      </c>
      <c r="AR73" s="57" t="n">
        <f aca="false">R66/$W72</f>
        <v>0.63759856</v>
      </c>
    </row>
    <row r="74" s="3" customFormat="true" ht="11.25" hidden="false" customHeight="false" outlineLevel="0" collapsed="false">
      <c r="T74" s="13"/>
      <c r="U74" s="37" t="str">
        <f aca="false">AA75</f>
        <v> Pessoas na China, de 15 a 64 anos (Grupo 0 a 1,1): Sua previsão</v>
      </c>
      <c r="W74" s="4" t="n">
        <v>1100</v>
      </c>
      <c r="Y74" s="72"/>
      <c r="AA74" s="29" t="str">
        <f aca="false">CONCATENATE(A67," (0 - ",W73,")")</f>
        <v> Sobrecarga de apoio ONU Baixa (população/idade 15-64) (0 - 2)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0.681261866095292</v>
      </c>
      <c r="AL74" s="57" t="n">
        <f aca="false">L67/$W73</f>
        <v>0.685540655424018</v>
      </c>
      <c r="AM74" s="57" t="n">
        <f aca="false">M67/$W73</f>
        <v>0.683740484000543</v>
      </c>
      <c r="AN74" s="57" t="n">
        <f aca="false">N67/$W73</f>
        <v>0.696464041839961</v>
      </c>
      <c r="AO74" s="57" t="n">
        <f aca="false">O67/$W73</f>
        <v>0.73346993601162</v>
      </c>
      <c r="AP74" s="57" t="n">
        <f aca="false">P67/$W73</f>
        <v>0.773623032238746</v>
      </c>
      <c r="AQ74" s="57" t="n">
        <f aca="false">Q67/$W73</f>
        <v>0.789515380293817</v>
      </c>
      <c r="AR74" s="57" t="n">
        <f aca="false">R67/$W73</f>
        <v>0.812192961551345</v>
      </c>
    </row>
    <row r="75" s="3" customFormat="true" ht="11.25" hidden="false" customHeight="false" outlineLevel="0" collapsed="false">
      <c r="T75" s="13"/>
      <c r="U75" s="37" t="str">
        <f aca="false">AA76</f>
        <v> Ônus de suporte (população/idade 15-64) (0 - 2) Sua previsão</v>
      </c>
      <c r="W75" s="4" t="n">
        <v>2</v>
      </c>
      <c r="AA75" s="29" t="str">
        <f aca="false">CONCATENATE(AA71," Your forecast")</f>
        <v> Pessoas na China, de 15 a 64 anos (Grupo 0 a 1,1): Sua previsão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0.910741310909091</v>
      </c>
      <c r="AL75" s="57" t="n">
        <f aca="false">L61/$W74</f>
        <v>0.886362280236364</v>
      </c>
      <c r="AM75" s="57" t="n">
        <f aca="false">M61/$W74</f>
        <v>0.879390564690909</v>
      </c>
      <c r="AN75" s="57" t="n">
        <f aca="false">N61/$W74</f>
        <v>0.849110407090909</v>
      </c>
      <c r="AO75" s="57" t="n">
        <f aca="false">O61/$W74</f>
        <v>0.787145141618182</v>
      </c>
      <c r="AP75" s="57" t="n">
        <f aca="false">P61/$W74</f>
        <v>0.721886343818182</v>
      </c>
      <c r="AQ75" s="57" t="n">
        <f aca="false">Q61/$W74</f>
        <v>0.677498628290909</v>
      </c>
      <c r="AR75" s="57" t="n">
        <f aca="false">R61/$W74</f>
        <v>0.6248465888</v>
      </c>
    </row>
    <row r="76" s="3" customFormat="true" ht="11.25" hidden="false" customHeight="false" outlineLevel="0" collapsed="false">
      <c r="T76" s="13"/>
      <c r="AA76" s="29" t="str">
        <f aca="false">CONCATENATE(AA72," Your forecast ")</f>
        <v> Ônus de suporte (população/idade 15-64) (0 - 2)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0.681619560147487</v>
      </c>
      <c r="AL76" s="57" t="n">
        <f aca="false">L63/$W75</f>
        <v>0.702246327971886</v>
      </c>
      <c r="AM76" s="57" t="n">
        <f aca="false">M63/$W75</f>
        <v>0.703686125595994</v>
      </c>
      <c r="AN76" s="57" t="n">
        <f aca="false">N63/$W75</f>
        <v>0.719162986990666</v>
      </c>
      <c r="AO76" s="57" t="n">
        <f aca="false">O63/$W75</f>
        <v>0.758978087882623</v>
      </c>
      <c r="AP76" s="57" t="n">
        <f aca="false">P63/$W75</f>
        <v>0.802760124496655</v>
      </c>
      <c r="AQ76" s="57" t="n">
        <f aca="false">Q63/$W75</f>
        <v>0.822697412904159</v>
      </c>
      <c r="AR76" s="57" t="n">
        <f aca="false">R63/$W75</f>
        <v>0.85065251492345</v>
      </c>
    </row>
    <row r="77" customFormat="false" ht="11.25" hidden="false" customHeight="false" outlineLevel="0" collapsed="false">
      <c r="T77" s="13"/>
    </row>
    <row r="78" customFormat="false" ht="11.25" hidden="false" customHeight="false" outlineLevel="0" collapsed="false"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China,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164</v>
      </c>
      <c r="B96" s="74" t="n">
        <v>0.350138909154981</v>
      </c>
      <c r="C96" s="74" t="n">
        <v>0.472675001521954</v>
      </c>
      <c r="D96" s="74" t="n">
        <v>0.704163904365608</v>
      </c>
      <c r="E96" s="74" t="n">
        <v>1.13855925942422</v>
      </c>
      <c r="F96" s="74" t="n">
        <v>1.58628175908096</v>
      </c>
      <c r="G96" s="74" t="n">
        <v>2.76527281765351</v>
      </c>
      <c r="H96" s="74" t="n">
        <v>3.84926156238622</v>
      </c>
      <c r="I96" s="74" t="n">
        <v>6.39184640425745</v>
      </c>
      <c r="J96" s="74" t="n">
        <v>9.5606351547878</v>
      </c>
      <c r="K96" s="75" t="n">
        <f aca="false">K97*K98/1000000</f>
        <v>13.9798310620007</v>
      </c>
      <c r="L96" s="75" t="n">
        <f aca="false">L97*L98/1000000</f>
        <v>19.0895097582144</v>
      </c>
      <c r="M96" s="75" t="n">
        <f aca="false">M97*M98/1000000</f>
        <v>25.0946526728898</v>
      </c>
      <c r="N96" s="75" t="n">
        <f aca="false">N97*N98/1000000</f>
        <v>30.893971112624</v>
      </c>
      <c r="O96" s="75" t="n">
        <f aca="false">O97*O98/1000000</f>
        <v>35.0833034818626</v>
      </c>
      <c r="P96" s="75" t="n">
        <f aca="false">P97*P98/1000000</f>
        <v>37.8052708453959</v>
      </c>
      <c r="Q96" s="75" t="n">
        <f aca="false">Q97*Q98/1000000</f>
        <v>39.9157662132887</v>
      </c>
      <c r="R96" s="75" t="n">
        <f aca="false">R97*R98/1000000</f>
        <v>39.5747260805191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162</v>
      </c>
      <c r="B97" s="26" t="n">
        <f aca="false">B56</f>
        <v>461.98323</v>
      </c>
      <c r="C97" s="26" t="n">
        <f aca="false">C56</f>
        <v>519.64773</v>
      </c>
      <c r="D97" s="26" t="n">
        <f aca="false">D56</f>
        <v>587.064515</v>
      </c>
      <c r="E97" s="26" t="n">
        <f aca="false">E56</f>
        <v>676.982858</v>
      </c>
      <c r="F97" s="26" t="n">
        <f aca="false">F56</f>
        <v>760.573356</v>
      </c>
      <c r="G97" s="26" t="n">
        <f aca="false">G56</f>
        <v>809.798548</v>
      </c>
      <c r="H97" s="26" t="n">
        <f aca="false">H56</f>
        <v>861.965209</v>
      </c>
      <c r="I97" s="26" t="n">
        <f aca="false">I56</f>
        <v>928.100443</v>
      </c>
      <c r="J97" s="26" t="n">
        <f aca="false">J56</f>
        <v>976.309259</v>
      </c>
      <c r="K97" s="27" t="n">
        <f aca="false">K56</f>
        <v>1001.815442</v>
      </c>
      <c r="L97" s="27" t="n">
        <f aca="false">L56</f>
        <v>994.896437</v>
      </c>
      <c r="M97" s="27" t="n">
        <f aca="false">M56</f>
        <v>987.071042</v>
      </c>
      <c r="N97" s="27" t="n">
        <f aca="false">N56</f>
        <v>953.08311</v>
      </c>
      <c r="O97" s="27" t="n">
        <f aca="false">O56</f>
        <v>883.530261</v>
      </c>
      <c r="P97" s="27" t="n">
        <f aca="false">P56</f>
        <v>810.28059</v>
      </c>
      <c r="Q97" s="27" t="n">
        <f aca="false">Q56</f>
        <v>760.457644</v>
      </c>
      <c r="R97" s="27" t="n">
        <f aca="false">R56</f>
        <v>701.358416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757.903937671029</v>
      </c>
      <c r="C98" s="27" t="n">
        <f aca="false">C96/C97*1000000</f>
        <v>909.606593532034</v>
      </c>
      <c r="D98" s="27" t="n">
        <f aca="false">D96/D97*1000000</f>
        <v>1199.46596391643</v>
      </c>
      <c r="E98" s="27" t="n">
        <f aca="false">E96/E97*1000000</f>
        <v>1681.81401636646</v>
      </c>
      <c r="F98" s="27" t="n">
        <f aca="false">F96/F97*1000000</f>
        <v>2085.63940160029</v>
      </c>
      <c r="G98" s="27" t="n">
        <f aca="false">G96/G97*1000000</f>
        <v>3414.76633229714</v>
      </c>
      <c r="H98" s="27" t="n">
        <f aca="false">H96/H97*1000000</f>
        <v>4465.68089082377</v>
      </c>
      <c r="I98" s="27" t="n">
        <f aca="false">I96/I97*1000000</f>
        <v>6887.02009838115</v>
      </c>
      <c r="J98" s="27" t="n">
        <f aca="false">J96/J97*1000000</f>
        <v>9792.62981135755</v>
      </c>
      <c r="K98" s="27" t="n">
        <f aca="false">J98*(1+K99 /100*5)</f>
        <v>13954.4974811845</v>
      </c>
      <c r="L98" s="27" t="n">
        <f aca="false">K98*(1+L99 /100*5)</f>
        <v>19187.4340366287</v>
      </c>
      <c r="M98" s="27" t="n">
        <f aca="false">L98*(1+M99 /100*5)</f>
        <v>25423.350098533</v>
      </c>
      <c r="N98" s="27" t="n">
        <f aca="false">M98*(1+N99 /100*5)</f>
        <v>32414.7713756296</v>
      </c>
      <c r="O98" s="27" t="n">
        <f aca="false">N98*(1+O99 /100*5)</f>
        <v>39708.0949351463</v>
      </c>
      <c r="P98" s="27" t="n">
        <f aca="false">O98*(1+P99 /100*5)</f>
        <v>46657.0115487969</v>
      </c>
      <c r="Q98" s="27" t="n">
        <f aca="false">P98*(1+Q99 /100*5)</f>
        <v>52489.1379923965</v>
      </c>
      <c r="R98" s="27" t="n">
        <f aca="false">Q98*(1+R99 /100*5)</f>
        <v>56425.8233418262</v>
      </c>
      <c r="S98" s="76" t="s">
        <v>57</v>
      </c>
      <c r="T98" s="13"/>
      <c r="U98" s="41"/>
      <c r="AA98" s="77" t="n">
        <v>0.277154712102974</v>
      </c>
      <c r="AB98" s="3" t="s">
        <v>165</v>
      </c>
    </row>
    <row r="99" customFormat="false" ht="11.25" hidden="false" customHeight="false" outlineLevel="0" collapsed="false">
      <c r="A99" s="11" t="s">
        <v>59</v>
      </c>
      <c r="B99" s="75" t="n">
        <f aca="false">(((B98/AA100)-1)/5)*100</f>
        <v>1.89551012052774</v>
      </c>
      <c r="C99" s="75" t="n">
        <f aca="false">(((C98/B98)-1)/5)*100</f>
        <v>4.00321593069366</v>
      </c>
      <c r="D99" s="75" t="n">
        <f aca="false">(((D98/C98)-1)/5)*100</f>
        <v>6.37329088081615</v>
      </c>
      <c r="E99" s="75" t="n">
        <f aca="false">(((E98/D98)-1)/5)*100</f>
        <v>8.04271345683024</v>
      </c>
      <c r="F99" s="75" t="n">
        <f aca="false">(((F98/E98)-1)/5)*100</f>
        <v>4.80225971842346</v>
      </c>
      <c r="G99" s="75" t="n">
        <f aca="false">(((G98/F98)-1)/5)*100</f>
        <v>12.7455103665286</v>
      </c>
      <c r="H99" s="75" t="n">
        <f aca="false">(((H98/G98)-1)/5)*100</f>
        <v>6.15511842545124</v>
      </c>
      <c r="I99" s="75" t="n">
        <f aca="false">(((I98/H98)-1)/5)*100</f>
        <v>10.8442106220927</v>
      </c>
      <c r="J99" s="75" t="n">
        <f aca="false">(((J98/I98)-1)/5)*100</f>
        <v>8.43793011046793</v>
      </c>
      <c r="K99" s="78" t="n">
        <v>8.5</v>
      </c>
      <c r="L99" s="78" t="n">
        <v>7.5</v>
      </c>
      <c r="M99" s="78" t="n">
        <v>6.5</v>
      </c>
      <c r="N99" s="78" t="n">
        <v>5.5</v>
      </c>
      <c r="O99" s="78" t="n">
        <v>4.5</v>
      </c>
      <c r="P99" s="78" t="n">
        <v>3.5</v>
      </c>
      <c r="Q99" s="78" t="n">
        <v>2.5</v>
      </c>
      <c r="R99" s="78" t="n">
        <v>1.5</v>
      </c>
      <c r="S99" s="76" t="s">
        <v>60</v>
      </c>
      <c r="T99" s="13"/>
      <c r="U99" s="41"/>
      <c r="AA99" s="36" t="n">
        <v>400.343863</v>
      </c>
      <c r="AB99" s="3" t="s">
        <v>166</v>
      </c>
    </row>
    <row r="100" customFormat="false" ht="11.25" hidden="false" customHeight="false" outlineLevel="0" collapsed="false">
      <c r="A100" s="11" t="str">
        <f aca="false">A9</f>
        <v> População, China</v>
      </c>
      <c r="B100" s="26" t="n">
        <f aca="false">B9</f>
        <v>818.831928</v>
      </c>
      <c r="C100" s="26" t="n">
        <f aca="false">C9</f>
        <v>919.644373</v>
      </c>
      <c r="D100" s="26" t="n">
        <f aca="false">D9</f>
        <v>988.470422</v>
      </c>
      <c r="E100" s="26" t="n">
        <f aca="false">E9</f>
        <v>1062.290059</v>
      </c>
      <c r="F100" s="26" t="n">
        <f aca="false">F9</f>
        <v>1151.348795</v>
      </c>
      <c r="G100" s="26" t="n">
        <f aca="false">G9</f>
        <v>1220.529352</v>
      </c>
      <c r="H100" s="26" t="n">
        <f aca="false">H9</f>
        <v>1276.331921</v>
      </c>
      <c r="I100" s="26" t="n">
        <f aca="false">I9</f>
        <v>1314.884738</v>
      </c>
      <c r="J100" s="26" t="n">
        <f aca="false">J9</f>
        <v>1348.931997</v>
      </c>
      <c r="K100" s="27" t="n">
        <f aca="false">K9</f>
        <v>1365.71400185</v>
      </c>
      <c r="L100" s="27" t="n">
        <f aca="false">L9</f>
        <v>1369.45302486766</v>
      </c>
      <c r="M100" s="27" t="n">
        <f aca="false">M9</f>
        <v>1361.30423516904</v>
      </c>
      <c r="N100" s="27" t="n">
        <f aca="false">N9</f>
        <v>1342.97322666905</v>
      </c>
      <c r="O100" s="27" t="n">
        <f aca="false">O9</f>
        <v>1313.2992836155</v>
      </c>
      <c r="P100" s="27" t="n">
        <f aca="false">P9</f>
        <v>1273.09273203208</v>
      </c>
      <c r="Q100" s="27" t="n">
        <f aca="false">Q9</f>
        <v>1223.49445392644</v>
      </c>
      <c r="R100" s="27" t="n">
        <f aca="false">R9</f>
        <v>1165.59534153576</v>
      </c>
      <c r="S100" s="76" t="s">
        <v>17</v>
      </c>
      <c r="T100" s="13"/>
      <c r="U100" s="41"/>
      <c r="AA100" s="27" t="n">
        <f aca="false">AA98/AA99*1000000</f>
        <v>692.29164655129</v>
      </c>
      <c r="AB100" s="3" t="s">
        <v>167</v>
      </c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427.607787608131</v>
      </c>
      <c r="C101" s="27" t="n">
        <f aca="false">C96/C100*1000000</f>
        <v>513.975853492179</v>
      </c>
      <c r="D101" s="27" t="n">
        <f aca="false">D96/D100*1000000</f>
        <v>712.377314174817</v>
      </c>
      <c r="E101" s="27" t="n">
        <f aca="false">E96/E100*1000000</f>
        <v>1071.79696334165</v>
      </c>
      <c r="F101" s="27" t="n">
        <f aca="false">F96/F100*1000000</f>
        <v>1377.75951646431</v>
      </c>
      <c r="G101" s="27" t="n">
        <f aca="false">G96/G100*1000000</f>
        <v>2265.63401619325</v>
      </c>
      <c r="H101" s="27" t="n">
        <f aca="false">H96/H100*1000000</f>
        <v>3015.87815759582</v>
      </c>
      <c r="I101" s="27" t="n">
        <f aca="false">I96/I100*1000000</f>
        <v>4861.14578680086</v>
      </c>
      <c r="J101" s="27" t="n">
        <f aca="false">J96/J100*1000000</f>
        <v>7087.55902895808</v>
      </c>
      <c r="K101" s="27" t="n">
        <f aca="false">K96/K100*1000000</f>
        <v>10236.2801018834</v>
      </c>
      <c r="L101" s="27" t="n">
        <f aca="false">L96/L100*1000000</f>
        <v>13939.5141064143</v>
      </c>
      <c r="M101" s="27" t="n">
        <f aca="false">M96/M100*1000000</f>
        <v>18434.2720933163</v>
      </c>
      <c r="N101" s="27" t="n">
        <f aca="false">N96/N100*1000000</f>
        <v>23004.1600972565</v>
      </c>
      <c r="O101" s="27" t="n">
        <f aca="false">O96/O100*1000000</f>
        <v>26713.8678285718</v>
      </c>
      <c r="P101" s="27" t="n">
        <f aca="false">P96/P100*1000000</f>
        <v>29695.6143839201</v>
      </c>
      <c r="Q101" s="27" t="n">
        <f aca="false">Q96/Q100*1000000</f>
        <v>32624.3948921804</v>
      </c>
      <c r="R101" s="27" t="n">
        <f aca="false">R96/R100*1000000</f>
        <v>33952.3715223298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6"/>
      <c r="T102" s="13"/>
      <c r="U102" s="36"/>
    </row>
    <row r="103" customFormat="false" ht="11.25" hidden="false" customHeight="false" outlineLevel="0" collapsed="false">
      <c r="A103" s="63"/>
      <c r="B103" s="41"/>
      <c r="C103" s="41"/>
      <c r="D103" s="41"/>
      <c r="E103" s="47"/>
      <c r="F103" s="47"/>
      <c r="G103" s="80"/>
      <c r="H103" s="80"/>
      <c r="I103" s="81"/>
      <c r="J103" s="82" t="s">
        <v>65</v>
      </c>
      <c r="K103" s="83" t="n">
        <f aca="false">K99</f>
        <v>8.5</v>
      </c>
      <c r="L103" s="83" t="n">
        <f aca="false">L99*0.95</f>
        <v>7.125</v>
      </c>
      <c r="M103" s="83" t="n">
        <f aca="false">M99*0.95</f>
        <v>6.175</v>
      </c>
      <c r="N103" s="83" t="n">
        <f aca="false">N99*0.95</f>
        <v>5.225</v>
      </c>
      <c r="O103" s="83" t="n">
        <f aca="false">O99*0.95</f>
        <v>4.275</v>
      </c>
      <c r="P103" s="83" t="n">
        <f aca="false">P99*0.95</f>
        <v>3.325</v>
      </c>
      <c r="Q103" s="83" t="n">
        <f aca="false">Q99*0.95</f>
        <v>2.375</v>
      </c>
      <c r="R103" s="83" t="n">
        <f aca="false">R99*0.95</f>
        <v>1.425</v>
      </c>
      <c r="S103" s="76" t="s">
        <v>60</v>
      </c>
      <c r="T103" s="13"/>
    </row>
    <row r="104" customFormat="false" ht="11.25" hidden="false" customHeight="fals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da China, sua previsão</v>
      </c>
      <c r="K104" s="43" t="n">
        <f aca="false">K105*K61/1000000</f>
        <v>13.9798310620007</v>
      </c>
      <c r="L104" s="43" t="n">
        <f aca="false">L105*L61/1000000</f>
        <v>18.4526142962813</v>
      </c>
      <c r="M104" s="43" t="n">
        <f aca="false">M105*M61/1000000</f>
        <v>23.9599073446627</v>
      </c>
      <c r="N104" s="43" t="n">
        <f aca="false">N105*N61/1000000</f>
        <v>29.1788838822368</v>
      </c>
      <c r="O104" s="43" t="n">
        <f aca="false">O105*O61/1000000</f>
        <v>32.8313373850061</v>
      </c>
      <c r="P104" s="43" t="n">
        <f aca="false">P105*P61/1000000</f>
        <v>35.1151265395303</v>
      </c>
      <c r="Q104" s="43" t="n">
        <f aca="false">Q105*Q61/1000000</f>
        <v>36.8694687684156</v>
      </c>
      <c r="R104" s="43" t="n">
        <f aca="false">R105*R61/1000000</f>
        <v>36.4269406429132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J98*(1+K103/100*5)</f>
        <v>13954.4974811845</v>
      </c>
      <c r="L105" s="84" t="n">
        <f aca="false">K105*(1+L103/100*5)</f>
        <v>18925.7872088565</v>
      </c>
      <c r="M105" s="84" t="n">
        <f aca="false">L105*(1+M103/100*5)</f>
        <v>24769.1240095909</v>
      </c>
      <c r="N105" s="84" t="n">
        <f aca="false">M105*(1+N103/100*5)</f>
        <v>31240.0576570966</v>
      </c>
      <c r="O105" s="84" t="n">
        <f aca="false">N105*(1+O103/100*5)</f>
        <v>37917.619981301</v>
      </c>
      <c r="P105" s="84" t="n">
        <f aca="false">O105*(1+P103/100*5)</f>
        <v>44221.4243031922</v>
      </c>
      <c r="Q105" s="84" t="n">
        <f aca="false">P105*(1+Q103/100*5)</f>
        <v>49472.7184391963</v>
      </c>
      <c r="R105" s="84" t="n">
        <f aca="false">Q105*(1+R103/100*5)</f>
        <v>52997.6496279891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5" t="s">
        <v>37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PIB da China (0 - 18 trilhões de dólares/ano)</v>
      </c>
      <c r="V108" s="25" t="n">
        <v>40</v>
      </c>
      <c r="W108" s="70" t="n">
        <v>18</v>
      </c>
      <c r="AA108" s="29" t="str">
        <f aca="false">CONCATENATE(A96," (0 - ",W108," T$ / yr)")</f>
        <v> PIB da China (0 - 18 trilhões de dólares/ano)</v>
      </c>
      <c r="AB108" s="57" t="n">
        <f aca="false">B96/$W108</f>
        <v>0.0194521616197211</v>
      </c>
      <c r="AC108" s="57" t="n">
        <f aca="false">C96/$W108</f>
        <v>0.0262597223067752</v>
      </c>
      <c r="AD108" s="57" t="n">
        <f aca="false">D96/$W108</f>
        <v>0.0391202169092004</v>
      </c>
      <c r="AE108" s="57" t="n">
        <f aca="false">E96/$W108</f>
        <v>0.0632532921902347</v>
      </c>
      <c r="AF108" s="57" t="n">
        <f aca="false">F96/$W108</f>
        <v>0.0881267643933869</v>
      </c>
      <c r="AG108" s="57" t="n">
        <f aca="false">G96/$W108</f>
        <v>0.153626267647417</v>
      </c>
      <c r="AH108" s="57" t="n">
        <f aca="false">H96/$W108</f>
        <v>0.213847864577012</v>
      </c>
      <c r="AI108" s="57" t="n">
        <f aca="false">I96/$W108</f>
        <v>0.355102578014303</v>
      </c>
      <c r="AJ108" s="57" t="n">
        <f aca="false">J96/$W108</f>
        <v>0.531146397488211</v>
      </c>
      <c r="AK108" s="57" t="n">
        <f aca="false">K96/$W108</f>
        <v>0.776657281222264</v>
      </c>
      <c r="AL108" s="57" t="n">
        <f aca="false">L96/$W108</f>
        <v>1.0605283199008</v>
      </c>
      <c r="AM108" s="57" t="n">
        <f aca="false">M96/$W108</f>
        <v>1.3941473707161</v>
      </c>
      <c r="AN108" s="57" t="n">
        <f aca="false">N96/$W108</f>
        <v>1.71633172847911</v>
      </c>
      <c r="AO108" s="57" t="n">
        <f aca="false">O96/$W108</f>
        <v>1.94907241565903</v>
      </c>
      <c r="AP108" s="57" t="n">
        <f aca="false">P96/$W108</f>
        <v>2.10029282474422</v>
      </c>
      <c r="AQ108" s="57" t="n">
        <f aca="false">Q96/$W108</f>
        <v>2.21754256740493</v>
      </c>
      <c r="AR108" s="57" t="n">
        <f aca="false">R96/$W108</f>
        <v>2.19859589336217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(0 - 60000 $ / pessoa-ano)</v>
      </c>
      <c r="V109" s="25" t="n">
        <v>60000</v>
      </c>
      <c r="W109" s="70" t="n">
        <f aca="false">W112</f>
        <v>60000</v>
      </c>
      <c r="AA109" s="29" t="str">
        <f aca="false">CONCATENATE(A98," (0 - ",W109," $ / person-yr)")</f>
        <v> Produtividade do trabalho (0 - 60000 $ / pessoa-ano)</v>
      </c>
      <c r="AB109" s="57" t="n">
        <f aca="false">B98/$W109</f>
        <v>0.0126317322945171</v>
      </c>
      <c r="AC109" s="57" t="n">
        <f aca="false">C98/$W109</f>
        <v>0.0151601098922006</v>
      </c>
      <c r="AD109" s="57" t="n">
        <f aca="false">D98/$W109</f>
        <v>0.0199910993986072</v>
      </c>
      <c r="AE109" s="57" t="n">
        <f aca="false">E98/$W109</f>
        <v>0.0280302336061077</v>
      </c>
      <c r="AF109" s="57" t="n">
        <f aca="false">F98/$W109</f>
        <v>0.0347606566933382</v>
      </c>
      <c r="AG109" s="57" t="n">
        <f aca="false">G98/$W109</f>
        <v>0.0569127722049523</v>
      </c>
      <c r="AH109" s="57" t="n">
        <f aca="false">H98/$W109</f>
        <v>0.0744280148470629</v>
      </c>
      <c r="AI109" s="57" t="n">
        <f aca="false">I98/$W109</f>
        <v>0.114783668306352</v>
      </c>
      <c r="AJ109" s="57" t="n">
        <f aca="false">J98/$W109</f>
        <v>0.163210496855959</v>
      </c>
      <c r="AK109" s="57" t="n">
        <f aca="false">K98/$W109</f>
        <v>0.232574958019742</v>
      </c>
      <c r="AL109" s="57" t="n">
        <f aca="false">L98/$W109</f>
        <v>0.319790567277145</v>
      </c>
      <c r="AM109" s="57" t="n">
        <f aca="false">M98/$W109</f>
        <v>0.423722501642217</v>
      </c>
      <c r="AN109" s="57" t="n">
        <f aca="false">N98/$W109</f>
        <v>0.540246189593827</v>
      </c>
      <c r="AO109" s="57" t="n">
        <f aca="false">O98/$W109</f>
        <v>0.661801582252438</v>
      </c>
      <c r="AP109" s="57" t="n">
        <f aca="false">P98/$W109</f>
        <v>0.777616859146614</v>
      </c>
      <c r="AQ109" s="57" t="n">
        <f aca="false">Q98/$W109</f>
        <v>0.874818966539941</v>
      </c>
      <c r="AR109" s="57" t="n">
        <f aca="false">R98/$W109</f>
        <v>0.940430389030437</v>
      </c>
    </row>
    <row r="110" customFormat="false" ht="11.25" hidden="false" customHeight="false" outlineLevel="0" collapsed="false">
      <c r="T110" s="13"/>
      <c r="U110" s="15" t="str">
        <f aca="false">AA110</f>
        <v>PIB per capita (0 - 50.000 $ / pessoa-ano)</v>
      </c>
      <c r="V110" s="25" t="n">
        <v>35000</v>
      </c>
      <c r="W110" s="70" t="n">
        <v>50000</v>
      </c>
      <c r="AA110" s="29" t="str">
        <f aca="false">CONCATENATE(A101," (0 - ",W110," $ / person-yr)")</f>
        <v> PIB per capita (0 - 50.000 $ / pessoa-ano)</v>
      </c>
      <c r="AB110" s="57" t="n">
        <f aca="false">B101/$W110</f>
        <v>0.00855215575216262</v>
      </c>
      <c r="AC110" s="57" t="n">
        <f aca="false">C101/$W110</f>
        <v>0.0102795170698436</v>
      </c>
      <c r="AD110" s="57" t="n">
        <f aca="false">D101/$W110</f>
        <v>0.0142475462834963</v>
      </c>
      <c r="AE110" s="57" t="n">
        <f aca="false">E101/$W110</f>
        <v>0.021435939266833</v>
      </c>
      <c r="AF110" s="57" t="n">
        <f aca="false">F101/$W110</f>
        <v>0.0275551903292862</v>
      </c>
      <c r="AG110" s="57" t="n">
        <f aca="false">G101/$W110</f>
        <v>0.045312680323865</v>
      </c>
      <c r="AH110" s="57" t="n">
        <f aca="false">H101/$W110</f>
        <v>0.0603175631519165</v>
      </c>
      <c r="AI110" s="57" t="n">
        <f aca="false">I101/$W110</f>
        <v>0.0972229157360171</v>
      </c>
      <c r="AJ110" s="57" t="n">
        <f aca="false">J101/$W110</f>
        <v>0.141751180579162</v>
      </c>
      <c r="AK110" s="57" t="n">
        <f aca="false">K101/$W110</f>
        <v>0.204725602037669</v>
      </c>
      <c r="AL110" s="57" t="n">
        <f aca="false">L101/$W110</f>
        <v>0.278790282128286</v>
      </c>
      <c r="AM110" s="57" t="n">
        <f aca="false">M101/$W110</f>
        <v>0.368685441866325</v>
      </c>
      <c r="AN110" s="57" t="n">
        <f aca="false">N101/$W110</f>
        <v>0.460083201945131</v>
      </c>
      <c r="AO110" s="57" t="n">
        <f aca="false">O101/$W110</f>
        <v>0.534277356571437</v>
      </c>
      <c r="AP110" s="57" t="n">
        <f aca="false">P101/$W110</f>
        <v>0.593912287678402</v>
      </c>
      <c r="AQ110" s="57" t="n">
        <f aca="false">Q101/$W110</f>
        <v>0.652487897843608</v>
      </c>
      <c r="AR110" s="57" t="n">
        <f aca="false">R101/$W110</f>
        <v>0.679047430446595</v>
      </c>
    </row>
    <row r="111" customFormat="false" ht="11.25" hidden="false" customHeight="false" outlineLevel="0" collapsed="false">
      <c r="T111" s="13"/>
      <c r="U111" s="15" t="str">
        <f aca="false">AA111</f>
        <v> Crescimento da produtividade (0 - 15 % / ano)</v>
      </c>
      <c r="V111" s="86" t="n">
        <v>15</v>
      </c>
      <c r="W111" s="70" t="n">
        <f aca="false">W113</f>
        <v>15</v>
      </c>
      <c r="AA111" s="29" t="str">
        <f aca="false">CONCATENATE(A99," (0 - ",W111," % / yr)")</f>
        <v> Crescimento da produtividade (0 - 15 % / ano)</v>
      </c>
      <c r="AB111" s="57" t="n">
        <f aca="false">B99/$W111</f>
        <v>0.126367341368516</v>
      </c>
      <c r="AC111" s="57" t="n">
        <f aca="false">C99/$W111</f>
        <v>0.266881062046244</v>
      </c>
      <c r="AD111" s="57" t="n">
        <f aca="false">D99/$W111</f>
        <v>0.424886058721077</v>
      </c>
      <c r="AE111" s="57" t="n">
        <f aca="false">E99/$W111</f>
        <v>0.536180897122016</v>
      </c>
      <c r="AF111" s="57" t="n">
        <f aca="false">F99/$W111</f>
        <v>0.320150647894897</v>
      </c>
      <c r="AG111" s="57" t="n">
        <f aca="false">G99/$W111</f>
        <v>0.849700691101905</v>
      </c>
      <c r="AH111" s="57" t="n">
        <f aca="false">H99/$W111</f>
        <v>0.410341228363416</v>
      </c>
      <c r="AI111" s="57" t="n">
        <f aca="false">I99/$W111</f>
        <v>0.72294737480618</v>
      </c>
      <c r="AJ111" s="57" t="n">
        <f aca="false">J99/$W111</f>
        <v>0.562528674031195</v>
      </c>
      <c r="AK111" s="57" t="n">
        <f aca="false">K99/$W111</f>
        <v>0.566666666666667</v>
      </c>
      <c r="AL111" s="57" t="n">
        <f aca="false">L99/$W111</f>
        <v>0.5</v>
      </c>
      <c r="AM111" s="57" t="n">
        <f aca="false">M99/$W111</f>
        <v>0.433333333333333</v>
      </c>
      <c r="AN111" s="57" t="n">
        <f aca="false">N99/$W111</f>
        <v>0.366666666666667</v>
      </c>
      <c r="AO111" s="57" t="n">
        <f aca="false">O99/$W111</f>
        <v>0.3</v>
      </c>
      <c r="AP111" s="57" t="n">
        <f aca="false">P99/$W111</f>
        <v>0.233333333333333</v>
      </c>
      <c r="AQ111" s="57" t="n">
        <f aca="false">Q99/$W111</f>
        <v>0.166666666666667</v>
      </c>
      <c r="AR111" s="57" t="n">
        <f aca="false">R99/$W111</f>
        <v>0.1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(0 - 60.000 $/pessoa-ano) Sua previsão</v>
      </c>
      <c r="W112" s="4" t="n">
        <v>60000</v>
      </c>
      <c r="AA112" s="29" t="str">
        <f aca="false">CONCATENATE(A98," (0 - ",W112," $ / person-yr) Your forecast")</f>
        <v> Produtividade do trabalho (0 - 60.000 $/pessoa-ano)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0.232574958019742</v>
      </c>
      <c r="AL112" s="57" t="n">
        <f aca="false">L105/$W112</f>
        <v>0.315429786814275</v>
      </c>
      <c r="AM112" s="57" t="n">
        <f aca="false">M105/$W112</f>
        <v>0.412818733493182</v>
      </c>
      <c r="AN112" s="57" t="n">
        <f aca="false">N105/$W112</f>
        <v>0.520667627618276</v>
      </c>
      <c r="AO112" s="57" t="n">
        <f aca="false">O105/$W112</f>
        <v>0.631960333021683</v>
      </c>
      <c r="AP112" s="57" t="n">
        <f aca="false">P105/$W112</f>
        <v>0.737023738386537</v>
      </c>
      <c r="AQ112" s="57" t="n">
        <f aca="false">Q105/$W112</f>
        <v>0.824545307319939</v>
      </c>
      <c r="AR112" s="57" t="n">
        <f aca="false">R105/$W112</f>
        <v>0.883294160466484</v>
      </c>
    </row>
    <row r="113" customFormat="false" ht="11.25" hidden="false" customHeight="false" outlineLevel="0" collapsed="false">
      <c r="T113" s="13"/>
      <c r="U113" s="37" t="str">
        <f aca="false">AA113</f>
        <v> Crescimento da produtividade (0 - 15% ao ano) Sua previsão</v>
      </c>
      <c r="W113" s="87" t="n">
        <v>15</v>
      </c>
      <c r="AA113" s="29" t="str">
        <f aca="false">CONCATENATE(A99," (0 - ",W113," % / yr) Your forecast")</f>
        <v> Crescimento da produtividade (0 - 15%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0.566666666666667</v>
      </c>
      <c r="AL113" s="57" t="n">
        <f aca="false">L103/$W113</f>
        <v>0.475</v>
      </c>
      <c r="AM113" s="57" t="n">
        <f aca="false">M103/$W113</f>
        <v>0.411666666666667</v>
      </c>
      <c r="AN113" s="57" t="n">
        <f aca="false">N103/$W113</f>
        <v>0.348333333333333</v>
      </c>
      <c r="AO113" s="57" t="n">
        <f aca="false">O103/$W113</f>
        <v>0.285</v>
      </c>
      <c r="AP113" s="57" t="n">
        <f aca="false">P103/$W113</f>
        <v>0.221666666666667</v>
      </c>
      <c r="AQ113" s="57" t="n">
        <f aca="false">Q103/$W113</f>
        <v>0.158333333333333</v>
      </c>
      <c r="AR113" s="57" t="n">
        <f aca="false">R103/$W113</f>
        <v>0.095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China,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 PIB da China</v>
      </c>
      <c r="B134" s="88" t="n">
        <f aca="false">B96</f>
        <v>0.350138909154981</v>
      </c>
      <c r="C134" s="88" t="n">
        <f aca="false">C96</f>
        <v>0.472675001521954</v>
      </c>
      <c r="D134" s="88" t="n">
        <f aca="false">D96</f>
        <v>0.704163904365608</v>
      </c>
      <c r="E134" s="88" t="n">
        <f aca="false">E96</f>
        <v>1.13855925942422</v>
      </c>
      <c r="F134" s="88" t="n">
        <f aca="false">F96</f>
        <v>1.58628175908096</v>
      </c>
      <c r="G134" s="88" t="n">
        <f aca="false">G96</f>
        <v>2.76527281765351</v>
      </c>
      <c r="H134" s="88" t="n">
        <f aca="false">H96</f>
        <v>3.84926156238622</v>
      </c>
      <c r="I134" s="88" t="n">
        <f aca="false">I96</f>
        <v>6.39184640425745</v>
      </c>
      <c r="J134" s="88" t="n">
        <f aca="false">J96</f>
        <v>9.5606351547878</v>
      </c>
      <c r="K134" s="31" t="n">
        <f aca="false">K96</f>
        <v>13.9798310620007</v>
      </c>
      <c r="L134" s="31" t="n">
        <f aca="false">L96</f>
        <v>19.0895097582144</v>
      </c>
      <c r="M134" s="31" t="n">
        <f aca="false">M96</f>
        <v>25.0946526728898</v>
      </c>
      <c r="N134" s="31" t="n">
        <f aca="false">N96</f>
        <v>30.893971112624</v>
      </c>
      <c r="O134" s="31" t="n">
        <f aca="false">O96</f>
        <v>35.0833034818626</v>
      </c>
      <c r="P134" s="31" t="n">
        <f aca="false">P96</f>
        <v>37.8052708453959</v>
      </c>
      <c r="Q134" s="31" t="n">
        <f aca="false">Q96</f>
        <v>39.9157662132887</v>
      </c>
      <c r="R134" s="31" t="n">
        <f aca="false">R96</f>
        <v>39.5747260805191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0" t="n">
        <v>0.118163210566441</v>
      </c>
      <c r="C135" s="30" t="n">
        <v>0.164535177844694</v>
      </c>
      <c r="D135" s="30" t="n">
        <v>0.241166307630581</v>
      </c>
      <c r="E135" s="30" t="n">
        <v>0.412855174131795</v>
      </c>
      <c r="F135" s="30" t="n">
        <v>0.546335760842477</v>
      </c>
      <c r="G135" s="30" t="n">
        <v>1.17719728133118</v>
      </c>
      <c r="H135" s="30" t="n">
        <v>1.47921602919347</v>
      </c>
      <c r="I135" s="30" t="n">
        <v>2.67645802101756</v>
      </c>
      <c r="J135" s="30" t="n">
        <v>4.41171382318578</v>
      </c>
      <c r="K135" s="31" t="n">
        <f aca="false">K134*K137/100</f>
        <v>5.711938965531</v>
      </c>
      <c r="L135" s="31" t="n">
        <f aca="false">L134*L137/100</f>
        <v>7.36021241037117</v>
      </c>
      <c r="M135" s="31" t="n">
        <f aca="false">M134*M137/100</f>
        <v>9.24543210729727</v>
      </c>
      <c r="N135" s="31" t="n">
        <f aca="false">N134*N137/100</f>
        <v>11.0929992935049</v>
      </c>
      <c r="O135" s="31" t="n">
        <f aca="false">O134*O137/100</f>
        <v>12.4738720159982</v>
      </c>
      <c r="P135" s="31" t="n">
        <f aca="false">P134*P137/100</f>
        <v>13.4742738939622</v>
      </c>
      <c r="Q135" s="31" t="n">
        <f aca="false">Q134*Q137/100</f>
        <v>14.6315005320546</v>
      </c>
      <c r="R135" s="31" t="n">
        <f aca="false">R134*R137/100</f>
        <v>15.1242561635363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PIB da China (0 - 40 trilhões de dólares/ano)</v>
      </c>
      <c r="AB135" s="57" t="n">
        <f aca="false">B134/$W155</f>
        <v>0.00875347272887452</v>
      </c>
      <c r="AC135" s="57" t="n">
        <f aca="false">C134/$W155</f>
        <v>0.0118168750380489</v>
      </c>
      <c r="AD135" s="57" t="n">
        <f aca="false">D134/$W155</f>
        <v>0.0176040976091402</v>
      </c>
      <c r="AE135" s="57" t="n">
        <f aca="false">E134/$W155</f>
        <v>0.0284639814856056</v>
      </c>
      <c r="AF135" s="57" t="n">
        <f aca="false">F134/$W155</f>
        <v>0.0396570439770241</v>
      </c>
      <c r="AG135" s="57" t="n">
        <f aca="false">G134/$W155</f>
        <v>0.0691318204413377</v>
      </c>
      <c r="AH135" s="57" t="n">
        <f aca="false">H134/$W155</f>
        <v>0.0962315390596555</v>
      </c>
      <c r="AI135" s="57" t="n">
        <f aca="false">I134/$W155</f>
        <v>0.159796160106436</v>
      </c>
      <c r="AJ135" s="57" t="n">
        <f aca="false">J134/$W155</f>
        <v>0.239015878869695</v>
      </c>
      <c r="AK135" s="57" t="n">
        <f aca="false">K134/$W155</f>
        <v>0.349495776550019</v>
      </c>
      <c r="AL135" s="57" t="n">
        <f aca="false">L134/$W155</f>
        <v>0.47723774395536</v>
      </c>
      <c r="AM135" s="57" t="n">
        <f aca="false">M134/$W155</f>
        <v>0.627366316822245</v>
      </c>
      <c r="AN135" s="57" t="n">
        <f aca="false">N134/$W155</f>
        <v>0.772349277815601</v>
      </c>
      <c r="AO135" s="57" t="n">
        <f aca="false">O134/$W155</f>
        <v>0.877082587046564</v>
      </c>
      <c r="AP135" s="57" t="n">
        <f aca="false">P134/$W155</f>
        <v>0.945131771134898</v>
      </c>
      <c r="AQ135" s="57" t="n">
        <f aca="false">Q134/$W155</f>
        <v>0.997894155332218</v>
      </c>
      <c r="AR135" s="57" t="n">
        <f aca="false">R134/$W155</f>
        <v>0.989368152012976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0.231975698588539</v>
      </c>
      <c r="C136" s="65" t="n">
        <f aca="false">C134-C135</f>
        <v>0.308139823677261</v>
      </c>
      <c r="D136" s="65" t="n">
        <f aca="false">D134-D135</f>
        <v>0.462997596735027</v>
      </c>
      <c r="E136" s="65" t="n">
        <f aca="false">E134-E135</f>
        <v>0.725704085292429</v>
      </c>
      <c r="F136" s="65" t="n">
        <f aca="false">F134-F135</f>
        <v>1.03994599823849</v>
      </c>
      <c r="G136" s="65" t="n">
        <f aca="false">G134-G135</f>
        <v>1.58807553632233</v>
      </c>
      <c r="H136" s="65" t="n">
        <f aca="false">H134-H135</f>
        <v>2.37004553319275</v>
      </c>
      <c r="I136" s="65" t="n">
        <f aca="false">I134-I135</f>
        <v>3.71538838323989</v>
      </c>
      <c r="J136" s="65" t="n">
        <f aca="false">J134-J135</f>
        <v>5.14892133160202</v>
      </c>
      <c r="K136" s="65" t="n">
        <f aca="false">K134-K135</f>
        <v>8.26789209646975</v>
      </c>
      <c r="L136" s="65" t="n">
        <f aca="false">L134-L135</f>
        <v>11.7292973478432</v>
      </c>
      <c r="M136" s="65" t="n">
        <f aca="false">M134-M135</f>
        <v>15.8492205655925</v>
      </c>
      <c r="N136" s="65" t="n">
        <f aca="false">N134-N135</f>
        <v>19.8009718191192</v>
      </c>
      <c r="O136" s="65" t="n">
        <f aca="false">O134-O135</f>
        <v>22.6094314658644</v>
      </c>
      <c r="P136" s="65" t="n">
        <f aca="false">P134-P135</f>
        <v>24.3309969514337</v>
      </c>
      <c r="Q136" s="65" t="n">
        <f aca="false">Q134-Q135</f>
        <v>25.2842656812341</v>
      </c>
      <c r="R136" s="65" t="n">
        <f aca="false">R134-R135</f>
        <v>24.4504699169827</v>
      </c>
      <c r="S136" s="28" t="s">
        <v>53</v>
      </c>
      <c r="T136" s="13"/>
      <c r="AA136" s="29" t="str">
        <f aca="false">CONCATENATE(A137," (0 - ",W156,"% /yr)")</f>
        <v> Percentagem de investimento (0 - 50%/ano)</v>
      </c>
      <c r="AB136" s="57" t="n">
        <f aca="false">B137/$W$156</f>
        <v>0.674950469524307</v>
      </c>
      <c r="AC136" s="57" t="n">
        <f aca="false">C137/$W$156</f>
        <v>0.696187347817893</v>
      </c>
      <c r="AD136" s="57" t="n">
        <f aca="false">D137/$W$156</f>
        <v>0.684972081458368</v>
      </c>
      <c r="AE136" s="57" t="n">
        <f aca="false">E137/$W$156</f>
        <v>0.72522386641619</v>
      </c>
      <c r="AF136" s="57" t="n">
        <f aca="false">F137/$W$156</f>
        <v>0.688825623461755</v>
      </c>
      <c r="AG136" s="57" t="n">
        <f aca="false">G137/$W$156</f>
        <v>0.851414930068344</v>
      </c>
      <c r="AH136" s="57" t="n">
        <f aca="false">H137/$W$156</f>
        <v>0.768571324769355</v>
      </c>
      <c r="AI136" s="57" t="n">
        <f aca="false">I137/$W$156</f>
        <v>0.837460055121111</v>
      </c>
      <c r="AJ136" s="57" t="n">
        <f aca="false">J137/$W$156</f>
        <v>0.922891366893437</v>
      </c>
      <c r="AK136" s="57" t="n">
        <f aca="false">K137/$W$156</f>
        <v>0.817168525170078</v>
      </c>
      <c r="AL136" s="57" t="n">
        <f aca="false">L137/$W$156</f>
        <v>0.771126393877558</v>
      </c>
      <c r="AM136" s="57" t="n">
        <f aca="false">M137/$W$156</f>
        <v>0.736844795408169</v>
      </c>
      <c r="AN136" s="57" t="n">
        <f aca="false">N137/$W$156</f>
        <v>0.718133596556127</v>
      </c>
      <c r="AO136" s="57" t="n">
        <f aca="false">O137/$W$156</f>
        <v>0.711100197417095</v>
      </c>
      <c r="AP136" s="57" t="n">
        <f aca="false">P137/$W$156</f>
        <v>0.712825148062821</v>
      </c>
      <c r="AQ136" s="57" t="n">
        <f aca="false">Q137/$W$156</f>
        <v>0.733118861047116</v>
      </c>
      <c r="AR136" s="57" t="n">
        <f aca="false">R137/$W$156</f>
        <v>0.764339145785337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33.7475234762153</v>
      </c>
      <c r="C137" s="31" t="n">
        <f aca="false">C135/C134*100</f>
        <v>34.8093673908946</v>
      </c>
      <c r="D137" s="31" t="n">
        <f aca="false">D135/D134*100</f>
        <v>34.2486040729184</v>
      </c>
      <c r="E137" s="31" t="n">
        <f aca="false">E135/E134*100</f>
        <v>36.2611933208095</v>
      </c>
      <c r="F137" s="31" t="n">
        <f aca="false">F135/F134*100</f>
        <v>34.4412811730877</v>
      </c>
      <c r="G137" s="31" t="n">
        <f aca="false">G135/G134*100</f>
        <v>42.5707465034172</v>
      </c>
      <c r="H137" s="31" t="n">
        <f aca="false">H135/H134*100</f>
        <v>38.4285662384677</v>
      </c>
      <c r="I137" s="31" t="n">
        <f aca="false">I135/I134*100</f>
        <v>41.8730027560555</v>
      </c>
      <c r="J137" s="31" t="n">
        <f aca="false">J135/J134*100</f>
        <v>46.1445683446719</v>
      </c>
      <c r="K137" s="65" t="n">
        <f aca="false">SUM(K138:K141)</f>
        <v>40.8584262585039</v>
      </c>
      <c r="L137" s="65" t="n">
        <f aca="false">SUM(L138:L141)</f>
        <v>38.5563196938779</v>
      </c>
      <c r="M137" s="65" t="n">
        <f aca="false">SUM(M138:M141)</f>
        <v>36.8422397704084</v>
      </c>
      <c r="N137" s="65" t="n">
        <f aca="false">SUM(N138:N141)</f>
        <v>35.9066798278063</v>
      </c>
      <c r="O137" s="65" t="n">
        <f aca="false">SUM(O138:O141)</f>
        <v>35.5550098708548</v>
      </c>
      <c r="P137" s="65" t="n">
        <f aca="false">SUM(P138:P141)</f>
        <v>35.6412574031411</v>
      </c>
      <c r="Q137" s="65" t="n">
        <f aca="false">SUM(Q138:Q141)</f>
        <v>36.6559430523558</v>
      </c>
      <c r="R137" s="65" t="n">
        <f aca="false">SUM(R138:R141)</f>
        <v>38.2169572892668</v>
      </c>
      <c r="S137" s="28" t="s">
        <v>25</v>
      </c>
      <c r="T137" s="13"/>
      <c r="AA137" s="29" t="str">
        <f aca="false">CONCATENATE(A136," (0 - ",W157, " T$ / yr)")</f>
        <v> Consumo (0 - 40 T$ / ano)</v>
      </c>
      <c r="AB137" s="57" t="n">
        <f aca="false">B136/$W$157</f>
        <v>0.00579939246471348</v>
      </c>
      <c r="AC137" s="57" t="n">
        <f aca="false">C136/$W$157</f>
        <v>0.00770349559193151</v>
      </c>
      <c r="AD137" s="57" t="n">
        <f aca="false">D136/$W$157</f>
        <v>0.0115749399183757</v>
      </c>
      <c r="AE137" s="57" t="n">
        <f aca="false">E136/$W$157</f>
        <v>0.0181426021323107</v>
      </c>
      <c r="AF137" s="57" t="n">
        <f aca="false">F136/$W$157</f>
        <v>0.0259986499559622</v>
      </c>
      <c r="AG137" s="57" t="n">
        <f aca="false">G136/$W$157</f>
        <v>0.0397018884080583</v>
      </c>
      <c r="AH137" s="57" t="n">
        <f aca="false">H136/$W$157</f>
        <v>0.0592511383298188</v>
      </c>
      <c r="AI137" s="57" t="n">
        <f aca="false">I136/$W$157</f>
        <v>0.0928847095809972</v>
      </c>
      <c r="AJ137" s="57" t="n">
        <f aca="false">J136/$W$157</f>
        <v>0.128723033290051</v>
      </c>
      <c r="AK137" s="57" t="n">
        <f aca="false">K136/$W$157</f>
        <v>0.206697302411744</v>
      </c>
      <c r="AL137" s="57" t="n">
        <f aca="false">L136/$W$157</f>
        <v>0.293232433696081</v>
      </c>
      <c r="AM137" s="57" t="n">
        <f aca="false">M136/$W$157</f>
        <v>0.396230514139813</v>
      </c>
      <c r="AN137" s="57" t="n">
        <f aca="false">N136/$W$157</f>
        <v>0.495024295477979</v>
      </c>
      <c r="AO137" s="57" t="n">
        <f aca="false">O136/$W$157</f>
        <v>0.56523578664661</v>
      </c>
      <c r="AP137" s="57" t="n">
        <f aca="false">P136/$W$157</f>
        <v>0.608274923785843</v>
      </c>
      <c r="AQ137" s="57" t="n">
        <f aca="false">Q136/$W$157</f>
        <v>0.632106642030853</v>
      </c>
      <c r="AR137" s="57" t="n">
        <f aca="false">R136/$W$157</f>
        <v>0.611261747924569</v>
      </c>
    </row>
    <row r="138" customFormat="false" ht="11.25" hidden="false" customHeight="false" outlineLevel="0" collapsed="false">
      <c r="A138" s="46" t="s">
        <v>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65" t="n">
        <f aca="false">J137</f>
        <v>46.1445683446719</v>
      </c>
      <c r="L138" s="65" t="n">
        <f aca="false">K138+K141</f>
        <v>40.6084262585039</v>
      </c>
      <c r="M138" s="65" t="n">
        <f aca="false">L138+L141</f>
        <v>36.4563196938779</v>
      </c>
      <c r="N138" s="65" t="n">
        <f aca="false">M138+M141</f>
        <v>33.3422397704084</v>
      </c>
      <c r="O138" s="65" t="n">
        <f aca="false">N138+N141</f>
        <v>31.0066798278063</v>
      </c>
      <c r="P138" s="65" t="n">
        <f aca="false">O138+O141</f>
        <v>29.2550098708548</v>
      </c>
      <c r="Q138" s="65" t="n">
        <f aca="false">P138+P141</f>
        <v>27.9412574031411</v>
      </c>
      <c r="R138" s="65" t="n">
        <f aca="false">Q138+Q141</f>
        <v>26.9559430523558</v>
      </c>
      <c r="S138" s="28" t="s">
        <v>25</v>
      </c>
      <c r="T138" s="13"/>
      <c r="AA138" s="29" t="str">
        <f aca="false">CONCATENATE("normal + norm change inv."," (0 - ",W156,"% /yr)")</f>
        <v> normal + mudança normal inv. (0 - 50%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(K138+K141)/$W$156</f>
        <v>0.812168525170078</v>
      </c>
      <c r="AL138" s="48" t="n">
        <f aca="false">(L138+L141)/$W$156</f>
        <v>0.729126393877559</v>
      </c>
      <c r="AM138" s="48" t="n">
        <f aca="false">(M138+M141)/$W$156</f>
        <v>0.666844795408169</v>
      </c>
      <c r="AN138" s="48" t="n">
        <f aca="false">(N138+N141)/$W$156</f>
        <v>0.620133596556127</v>
      </c>
      <c r="AO138" s="48" t="n">
        <f aca="false">(O138+O141)/$W$156</f>
        <v>0.585100197417095</v>
      </c>
      <c r="AP138" s="48" t="n">
        <f aca="false">(P138+P141)/$W$156</f>
        <v>0.558825148062821</v>
      </c>
      <c r="AQ138" s="48" t="n">
        <f aca="false">(Q138+Q141)/$W$156</f>
        <v>0.539118861047116</v>
      </c>
      <c r="AR138" s="48" t="n">
        <f aca="false">(R138+R141)/$W$156</f>
        <v>0.524339145785337</v>
      </c>
    </row>
    <row r="139" customFormat="false" ht="11.25" hidden="false" customHeight="false" outlineLevel="0" collapsed="false">
      <c r="A139" s="46" t="s">
        <v>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33" t="n">
        <v>0.1</v>
      </c>
      <c r="L139" s="33" t="n">
        <v>1.3</v>
      </c>
      <c r="M139" s="33" t="n">
        <v>2</v>
      </c>
      <c r="N139" s="33" t="n">
        <v>2.7</v>
      </c>
      <c r="O139" s="33" t="n">
        <v>3.4</v>
      </c>
      <c r="P139" s="33" t="n">
        <v>4.1</v>
      </c>
      <c r="Q139" s="33" t="n">
        <v>5</v>
      </c>
      <c r="R139" s="33" t="n">
        <v>6</v>
      </c>
      <c r="S139" s="28" t="s">
        <v>25</v>
      </c>
      <c r="T139" s="13"/>
      <c r="AA139" s="29" t="str">
        <f aca="false">CONCATENATE("normal + voluntary inv."," (0 - ",W156,"% /yr)")</f>
        <v> Inventário normal + voluntário (0 - 50%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(K138+K141+K139)/$W$156</f>
        <v>0.814168525170078</v>
      </c>
      <c r="AL139" s="48" t="n">
        <f aca="false">(L138+L141+L139)/$W$156</f>
        <v>0.755126393877558</v>
      </c>
      <c r="AM139" s="48" t="n">
        <f aca="false">(M138+M141+M139)/$W$156</f>
        <v>0.706844795408169</v>
      </c>
      <c r="AN139" s="48" t="n">
        <f aca="false">(N138+N141+N139)/$W$156</f>
        <v>0.674133596556127</v>
      </c>
      <c r="AO139" s="48" t="n">
        <f aca="false">(O138+O141+O139)/$W$156</f>
        <v>0.653100197417095</v>
      </c>
      <c r="AP139" s="48" t="n">
        <f aca="false">(P138+P141+P139)/$W$156</f>
        <v>0.640825148062821</v>
      </c>
      <c r="AQ139" s="48" t="n">
        <f aca="false">(Q138+Q141+Q139)/$W$156</f>
        <v>0.639118861047116</v>
      </c>
      <c r="AR139" s="48" t="n">
        <f aca="false">(R138+R141+R139)/$W$156</f>
        <v>0.644339145785337</v>
      </c>
    </row>
    <row r="140" customFormat="false" ht="11.25" hidden="false" customHeight="false" outlineLevel="0" collapsed="false">
      <c r="A140" s="46" t="s">
        <v>72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33" t="n">
        <v>0.15</v>
      </c>
      <c r="L140" s="33" t="n">
        <v>0.8</v>
      </c>
      <c r="M140" s="33" t="n">
        <v>1.5</v>
      </c>
      <c r="N140" s="33" t="n">
        <v>2.2</v>
      </c>
      <c r="O140" s="33" t="n">
        <v>2.9</v>
      </c>
      <c r="P140" s="33" t="n">
        <v>3.6</v>
      </c>
      <c r="Q140" s="33" t="n">
        <v>4.7</v>
      </c>
      <c r="R140" s="33" t="n">
        <v>6</v>
      </c>
      <c r="S140" s="28" t="s">
        <v>25</v>
      </c>
      <c r="T140" s="13"/>
      <c r="AA140" s="29" t="str">
        <f aca="false">CONCATENATE("normal + voluntary + forced inv."," (0 - ",W156,"% /yr)")</f>
        <v> Inventário normal + voluntário + forçado (0 - 50%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(K138+K139+K140+K141)/$W$156</f>
        <v>0.817168525170078</v>
      </c>
      <c r="AL140" s="48" t="n">
        <f aca="false">(L138+L139+L140+L141)/$W$156</f>
        <v>0.771126393877558</v>
      </c>
      <c r="AM140" s="48" t="n">
        <f aca="false">(M138+M139+M140+M141)/$W$156</f>
        <v>0.736844795408169</v>
      </c>
      <c r="AN140" s="48" t="n">
        <f aca="false">(N138+N139+N140+N141)/$W$156</f>
        <v>0.718133596556127</v>
      </c>
      <c r="AO140" s="48" t="n">
        <f aca="false">(O138+O139+O140+O141)/$W$156</f>
        <v>0.711100197417095</v>
      </c>
      <c r="AP140" s="48" t="n">
        <f aca="false">(P138+P139+P140+P141)/$W$156</f>
        <v>0.712825148062821</v>
      </c>
      <c r="AQ140" s="48" t="n">
        <f aca="false">(Q138+Q139+Q140+Q141)/$W$156</f>
        <v>0.733118861047116</v>
      </c>
      <c r="AR140" s="48" t="n">
        <f aca="false">(R138+R139+R140+R141)/$W$156</f>
        <v>0.764339145785337</v>
      </c>
    </row>
    <row r="141" customFormat="false" ht="11.25" hidden="false" customHeight="false" outlineLevel="0" collapsed="false">
      <c r="A141" s="46" t="s">
        <v>73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32" t="n">
        <f aca="false">5*(24 - K$138)/20</f>
        <v>-5.53614208616797</v>
      </c>
      <c r="L141" s="32" t="n">
        <f aca="false">5*(24 - L$138)/20</f>
        <v>-4.15210656462597</v>
      </c>
      <c r="M141" s="32" t="n">
        <f aca="false">5*(24 - M$138)/20</f>
        <v>-3.11407992346948</v>
      </c>
      <c r="N141" s="32" t="n">
        <f aca="false">5*(24 - N$138)/20</f>
        <v>-2.33555994260211</v>
      </c>
      <c r="O141" s="32" t="n">
        <f aca="false">5*(24 - O$138)/20</f>
        <v>-1.75166995695158</v>
      </c>
      <c r="P141" s="32" t="n">
        <f aca="false">5*(24 - P$138)/20</f>
        <v>-1.31375246771369</v>
      </c>
      <c r="Q141" s="32" t="n">
        <f aca="false">5*(24 - Q$138)/20</f>
        <v>-0.985314350785266</v>
      </c>
      <c r="R141" s="32" t="n">
        <f aca="false">5*(24 - R$138)/20</f>
        <v>-0.738985763088949</v>
      </c>
      <c r="S141" s="28" t="s">
        <v>25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48" t="n">
        <f aca="false">K138*K$134/100</f>
        <v>6.4509326988746</v>
      </c>
      <c r="AL141" s="48" t="n">
        <f aca="false">L138*L$134/100</f>
        <v>7.75194949327441</v>
      </c>
      <c r="AM141" s="48" t="n">
        <f aca="false">M138*M$134/100</f>
        <v>9.14858680449698</v>
      </c>
      <c r="AN141" s="48" t="n">
        <f aca="false">N138*N$134/100</f>
        <v>10.3007419229718</v>
      </c>
      <c r="AO141" s="48" t="n">
        <f aca="false">O138*O$134/100</f>
        <v>10.8781675836388</v>
      </c>
      <c r="AP141" s="48" t="n">
        <f aca="false">P138*P$134/100</f>
        <v>11.059935717524</v>
      </c>
      <c r="AQ141" s="48" t="n">
        <f aca="false">Q138*Q$134/100</f>
        <v>11.152966982091</v>
      </c>
      <c r="AR141" s="48" t="n">
        <f aca="false">R138*R$134/100</f>
        <v>10.6677406253905</v>
      </c>
    </row>
    <row r="142" customFormat="false" ht="12.65" hidden="false" customHeight="false" outlineLevel="0" collapsed="false">
      <c r="A142" s="23" t="s">
        <v>7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28"/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48"/>
      <c r="AL142" s="48"/>
      <c r="AM142" s="48"/>
      <c r="AN142" s="48"/>
      <c r="AO142" s="48"/>
      <c r="AP142" s="48"/>
      <c r="AQ142" s="48"/>
      <c r="AR142" s="48"/>
    </row>
    <row r="143" customFormat="false" ht="11.25" hidden="false" customHeight="false" outlineLevel="0" collapsed="false">
      <c r="F143" s="5"/>
      <c r="G143" s="5"/>
      <c r="H143" s="5"/>
      <c r="I143" s="5"/>
      <c r="J143" s="90" t="str">
        <f aca="false">CONCATENATE(A139," Your forecast")</f>
        <v> % de investimento voluntário Sua previsão</v>
      </c>
      <c r="K143" s="39" t="n">
        <v>0.1</v>
      </c>
      <c r="L143" s="39" t="n">
        <f aca="false">L139*0.98</f>
        <v>1.274</v>
      </c>
      <c r="M143" s="39" t="n">
        <f aca="false">M139*0.98</f>
        <v>1.96</v>
      </c>
      <c r="N143" s="39" t="n">
        <f aca="false">N139*0.98</f>
        <v>2.646</v>
      </c>
      <c r="O143" s="39" t="n">
        <f aca="false">O139*0.98</f>
        <v>3.332</v>
      </c>
      <c r="P143" s="39" t="n">
        <f aca="false">P139*0.98</f>
        <v>4.018</v>
      </c>
      <c r="Q143" s="39" t="n">
        <f aca="false">Q139*0.98</f>
        <v>4.9</v>
      </c>
      <c r="R143" s="39" t="n">
        <f aca="false">R139*0.98</f>
        <v>5.88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48" t="n">
        <f aca="false">K139*K$134/100</f>
        <v>0.0139798310620008</v>
      </c>
      <c r="AL143" s="48" t="n">
        <f aca="false">L139*L$134/100</f>
        <v>0.248163626856787</v>
      </c>
      <c r="AM143" s="48" t="n">
        <f aca="false">M139*M$134/100</f>
        <v>0.501893053457796</v>
      </c>
      <c r="AN143" s="48" t="n">
        <f aca="false">N139*N$134/100</f>
        <v>0.834137220040849</v>
      </c>
      <c r="AO143" s="48" t="n">
        <f aca="false">O139*O$134/100</f>
        <v>1.19283231838333</v>
      </c>
      <c r="AP143" s="48" t="n">
        <f aca="false">P139*P$134/100</f>
        <v>1.55001610466123</v>
      </c>
      <c r="AQ143" s="48" t="n">
        <f aca="false">Q139*Q$134/100</f>
        <v>1.99578831066444</v>
      </c>
      <c r="AR143" s="48" t="n">
        <f aca="false">R139*R$134/100</f>
        <v>2.37448356483114</v>
      </c>
    </row>
    <row r="144" customFormat="false" ht="11.25" hidden="false" customHeight="false" outlineLevel="0" collapsed="false">
      <c r="F144" s="5"/>
      <c r="G144" s="5"/>
      <c r="H144" s="5"/>
      <c r="I144" s="5"/>
      <c r="J144" s="90" t="str">
        <f aca="false">CONCATENATE(A140," Your forecast")</f>
        <v> % de investimento forçado Sua previsão</v>
      </c>
      <c r="K144" s="39" t="n">
        <v>0.15</v>
      </c>
      <c r="L144" s="39" t="n">
        <f aca="false">L140*0.98</f>
        <v>0.784</v>
      </c>
      <c r="M144" s="39" t="n">
        <f aca="false">M140*0.98</f>
        <v>1.47</v>
      </c>
      <c r="N144" s="39" t="n">
        <f aca="false">N140*0.98</f>
        <v>2.156</v>
      </c>
      <c r="O144" s="39" t="n">
        <f aca="false">O140*0.98</f>
        <v>2.842</v>
      </c>
      <c r="P144" s="39" t="n">
        <f aca="false">P140*0.98</f>
        <v>3.528</v>
      </c>
      <c r="Q144" s="39" t="n">
        <f aca="false">Q140*0.98</f>
        <v>4.606</v>
      </c>
      <c r="R144" s="39" t="n">
        <f aca="false">R140*0.98</f>
        <v>5.88</v>
      </c>
      <c r="S144" s="28" t="s">
        <v>25</v>
      </c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48" t="n">
        <f aca="false">K140*K$134/100</f>
        <v>0.0209697465930011</v>
      </c>
      <c r="AL144" s="48" t="n">
        <f aca="false">L140*L$134/100</f>
        <v>0.152716078065715</v>
      </c>
      <c r="AM144" s="48" t="n">
        <f aca="false">M140*M$134/100</f>
        <v>0.376419790093347</v>
      </c>
      <c r="AN144" s="48" t="n">
        <f aca="false">N140*N$134/100</f>
        <v>0.679667364477729</v>
      </c>
      <c r="AO144" s="48" t="n">
        <f aca="false">O140*O$134/100</f>
        <v>1.01741580097401</v>
      </c>
      <c r="AP144" s="48" t="n">
        <f aca="false">P140*P$134/100</f>
        <v>1.36098975043425</v>
      </c>
      <c r="AQ144" s="48" t="n">
        <f aca="false">Q140*Q$134/100</f>
        <v>1.87604101202457</v>
      </c>
      <c r="AR144" s="48" t="n">
        <f aca="false">R140*R$134/100</f>
        <v>2.37448356483114</v>
      </c>
    </row>
    <row r="145" customFormat="false" ht="11.25" hidden="false" customHeight="false" outlineLevel="0" collapsed="false">
      <c r="F145" s="8"/>
      <c r="G145" s="8"/>
      <c r="H145" s="8"/>
      <c r="I145" s="8"/>
      <c r="J145" s="37" t="str">
        <f aca="false">CONCATENATE(A134," calculated from Your forecast")</f>
        <v> PIB da China calculado a partir da sua previsão</v>
      </c>
      <c r="K145" s="91" t="n">
        <f aca="false">K104</f>
        <v>13.9798310620007</v>
      </c>
      <c r="L145" s="91" t="n">
        <f aca="false">L104</f>
        <v>18.4526142962813</v>
      </c>
      <c r="M145" s="91" t="n">
        <f aca="false">M104</f>
        <v>23.9599073446627</v>
      </c>
      <c r="N145" s="91" t="n">
        <f aca="false">N104</f>
        <v>29.1788838822368</v>
      </c>
      <c r="O145" s="91" t="n">
        <f aca="false">O104</f>
        <v>32.8313373850061</v>
      </c>
      <c r="P145" s="91" t="n">
        <f aca="false">P104</f>
        <v>35.1151265395303</v>
      </c>
      <c r="Q145" s="91" t="n">
        <f aca="false">Q104</f>
        <v>36.8694687684156</v>
      </c>
      <c r="R145" s="91" t="n">
        <f aca="false">R104</f>
        <v>36.4269406429132</v>
      </c>
      <c r="S145" s="28" t="s">
        <v>53</v>
      </c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48" t="n">
        <f aca="false">K141*K$134/100</f>
        <v>-0.773943310998605</v>
      </c>
      <c r="AL145" s="48" t="n">
        <f aca="false">L141*L$134/100</f>
        <v>-0.792616787825737</v>
      </c>
      <c r="AM145" s="48" t="n">
        <f aca="false">M141*M$134/100</f>
        <v>-0.781467540750859</v>
      </c>
      <c r="AN145" s="48" t="n">
        <f aca="false">N141*N$134/100</f>
        <v>-0.721547213985515</v>
      </c>
      <c r="AO145" s="48" t="n">
        <f aca="false">O141*O$134/100</f>
        <v>-0.614543686997935</v>
      </c>
      <c r="AP145" s="48" t="n">
        <f aca="false">P141*P$134/100</f>
        <v>-0.496667678657232</v>
      </c>
      <c r="AQ145" s="48" t="n">
        <f aca="false">Q141*Q$134/100</f>
        <v>-0.39329577272543</v>
      </c>
      <c r="AR145" s="48" t="n">
        <f aca="false">R141*R$134/100</f>
        <v>-0.292451591516485</v>
      </c>
    </row>
    <row r="146" customFormat="false" ht="11.25" hidden="false" customHeight="false" outlineLevel="0" collapsed="false">
      <c r="F146" s="8"/>
      <c r="G146" s="8"/>
      <c r="H146" s="8"/>
      <c r="I146" s="8"/>
      <c r="J146" s="37" t="str">
        <f aca="false">CONCATENATE(A135," calculated from Your forecast")</f>
        <v> Investimento calculado a partir da sua previsão.</v>
      </c>
      <c r="K146" s="91" t="n">
        <f aca="false">K145*K148/100</f>
        <v>5.711938965531</v>
      </c>
      <c r="L146" s="91" t="n">
        <f aca="false">L145*L148/100</f>
        <v>7.10689886194799</v>
      </c>
      <c r="M146" s="91" t="n">
        <f aca="false">M145*M148/100</f>
        <v>8.81059457754705</v>
      </c>
      <c r="N146" s="91" t="n">
        <f aca="false">N145*N148/100</f>
        <v>10.4485731067176</v>
      </c>
      <c r="O146" s="91" t="n">
        <f aca="false">O145*O148/100</f>
        <v>11.6318177628674</v>
      </c>
      <c r="P146" s="91" t="n">
        <f aca="false">P145*P148/100</f>
        <v>12.4613953425218</v>
      </c>
      <c r="Q146" s="91" t="n">
        <f aca="false">Q145*Q148/100</f>
        <v>13.4433247060458</v>
      </c>
      <c r="R146" s="91" t="n">
        <f aca="false">R145*R148/100</f>
        <v>13.8338436897457</v>
      </c>
      <c r="S146" s="28" t="s">
        <v>53</v>
      </c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48" t="n">
        <f aca="false">K135-AK145-AK141-AK143-AK144</f>
        <v>3.01841884819964E-016</v>
      </c>
      <c r="AL146" s="48" t="n">
        <f aca="false">L135-AL145-AL141-AL143-AL144</f>
        <v>1.33226762955019E-015</v>
      </c>
      <c r="AM146" s="48" t="n">
        <f aca="false">M135-AM145-AM141-AM143-AM144</f>
        <v>0</v>
      </c>
      <c r="AN146" s="48" t="n">
        <f aca="false">N135-AN145-AN141-AN143-AN144</f>
        <v>0</v>
      </c>
      <c r="AO146" s="48" t="n">
        <f aca="false">O135-AO145-AO141-AO143-AO144</f>
        <v>0</v>
      </c>
      <c r="AP146" s="48" t="n">
        <f aca="false">P135-AP145-AP141-AP143-AP144</f>
        <v>0</v>
      </c>
      <c r="AQ146" s="48" t="n">
        <f aca="false">Q135-AQ145-AQ141-AQ143-AQ144</f>
        <v>0</v>
      </c>
      <c r="AR146" s="48" t="n">
        <f aca="false">R135-AR145-AR141-AR143-AR144</f>
        <v>0</v>
      </c>
    </row>
    <row r="147" customFormat="false" ht="11.25" hidden="false" customHeight="false" outlineLevel="0" collapsed="false">
      <c r="F147" s="8"/>
      <c r="G147" s="8"/>
      <c r="H147" s="8"/>
      <c r="I147" s="8"/>
      <c r="J147" s="37" t="str">
        <f aca="false">CONCATENATE(A136," calculated from Your forecast")</f>
        <v> Consumo calculado a partir da sua previsão.</v>
      </c>
      <c r="K147" s="45" t="n">
        <f aca="false">K145-K146</f>
        <v>8.26789209646975</v>
      </c>
      <c r="L147" s="45" t="n">
        <f aca="false">L145-L146</f>
        <v>11.3457154343333</v>
      </c>
      <c r="M147" s="45" t="n">
        <f aca="false">M145-M146</f>
        <v>15.1493127671156</v>
      </c>
      <c r="N147" s="45" t="n">
        <f aca="false">N145-N146</f>
        <v>18.7303107755192</v>
      </c>
      <c r="O147" s="45" t="n">
        <f aca="false">O145-O146</f>
        <v>21.1995196221387</v>
      </c>
      <c r="P147" s="45" t="n">
        <f aca="false">P145-P146</f>
        <v>22.6537311970085</v>
      </c>
      <c r="Q147" s="45" t="n">
        <f aca="false">Q145-Q146</f>
        <v>23.4261440623698</v>
      </c>
      <c r="R147" s="45" t="n">
        <f aca="false">R145-R146</f>
        <v>22.5930969531675</v>
      </c>
      <c r="S147" s="28" t="s">
        <v>53</v>
      </c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48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E148" s="8"/>
      <c r="F148" s="8"/>
      <c r="G148" s="8"/>
      <c r="H148" s="8"/>
      <c r="I148" s="8"/>
      <c r="J148" s="37" t="str">
        <f aca="false">CONCATENATE(A137," calculated from Your forecast")</f>
        <v> porcentagem de participação no investimento é calculada a partir da sua previsão.</v>
      </c>
      <c r="K148" s="45" t="n">
        <f aca="false">SUM(K149:K152)</f>
        <v>40.8584262585039</v>
      </c>
      <c r="L148" s="45" t="n">
        <f aca="false">SUM(L149:L152)</f>
        <v>38.5143196938779</v>
      </c>
      <c r="M148" s="45" t="n">
        <f aca="false">SUM(M149:M152)</f>
        <v>36.7722397704084</v>
      </c>
      <c r="N148" s="45" t="n">
        <f aca="false">SUM(N149:N152)</f>
        <v>35.8086798278063</v>
      </c>
      <c r="O148" s="45" t="n">
        <f aca="false">SUM(O149:O152)</f>
        <v>35.4290098708548</v>
      </c>
      <c r="P148" s="45" t="n">
        <f aca="false">SUM(P149:P152)</f>
        <v>35.4872574031411</v>
      </c>
      <c r="Q148" s="45" t="n">
        <f aca="false">SUM(Q149:Q152)</f>
        <v>36.4619430523558</v>
      </c>
      <c r="R148" s="45" t="n">
        <f aca="false">SUM(R149:R152)</f>
        <v>37.9769572892669</v>
      </c>
      <c r="S148" s="28" t="s">
        <v>25</v>
      </c>
      <c r="T148" s="13"/>
      <c r="AA148" s="29" t="str">
        <f aca="false">CONCATENATE(A96," (0 - ",W158," T$ / yr)")</f>
        <v> PIB da China (0 - 40 trilhões de dólares/ano)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K145/$W158</f>
        <v>0.349495776550019</v>
      </c>
      <c r="AL148" s="57" t="n">
        <f aca="false">L145/$W158</f>
        <v>0.461315357407032</v>
      </c>
      <c r="AM148" s="57" t="n">
        <f aca="false">M145/$W158</f>
        <v>0.598997683616566</v>
      </c>
      <c r="AN148" s="57" t="n">
        <f aca="false">N145/$W158</f>
        <v>0.72947209705592</v>
      </c>
      <c r="AO148" s="57" t="n">
        <f aca="false">O145/$W158</f>
        <v>0.820783434625152</v>
      </c>
      <c r="AP148" s="57" t="n">
        <f aca="false">P145/$W158</f>
        <v>0.877878163488258</v>
      </c>
      <c r="AQ148" s="57" t="n">
        <f aca="false">Q145/$W158</f>
        <v>0.921736719210391</v>
      </c>
      <c r="AR148" s="57" t="n">
        <f aca="false">R145/$W158</f>
        <v>0.91067351607283</v>
      </c>
    </row>
    <row r="149" customFormat="false" ht="11.25" hidden="false" customHeight="false" outlineLevel="0" collapsed="false">
      <c r="A149" s="92"/>
      <c r="B149" s="8"/>
      <c r="C149" s="8"/>
      <c r="D149" s="8"/>
      <c r="E149" s="8"/>
      <c r="F149" s="8"/>
      <c r="G149" s="8"/>
      <c r="H149" s="8"/>
      <c r="I149" s="8"/>
      <c r="J149" s="37" t="str">
        <f aca="false">CONCATENATE(A138," calculated from Your forecast")</f>
        <v> Participação no investimento do ano passado mais a variação percentual na taxa de investimento normal calculada a partir da sua previsão.</v>
      </c>
      <c r="K149" s="91" t="n">
        <f aca="false">J137</f>
        <v>46.1445683446719</v>
      </c>
      <c r="L149" s="45" t="n">
        <f aca="false">K149+K152</f>
        <v>40.6084262585039</v>
      </c>
      <c r="M149" s="45" t="n">
        <f aca="false">L149+L152</f>
        <v>36.4563196938779</v>
      </c>
      <c r="N149" s="45" t="n">
        <f aca="false">M149+M152</f>
        <v>33.3422397704084</v>
      </c>
      <c r="O149" s="45" t="n">
        <f aca="false">N149+N152</f>
        <v>31.0066798278063</v>
      </c>
      <c r="P149" s="45" t="n">
        <f aca="false">O149+O152</f>
        <v>29.2550098708548</v>
      </c>
      <c r="Q149" s="45" t="n">
        <f aca="false">P149+P152</f>
        <v>27.9412574031411</v>
      </c>
      <c r="R149" s="45" t="n">
        <f aca="false">Q149+Q152</f>
        <v>26.9559430523558</v>
      </c>
      <c r="S149" s="28" t="s">
        <v>25</v>
      </c>
      <c r="T149" s="13"/>
      <c r="AA149" s="29" t="str">
        <f aca="false">CONCATENATE(A137," (0 - ",W159,"% /yr)")</f>
        <v> Percentagem de investimento (0 - 50%/ano)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K148/$W$159</f>
        <v>0.817168525170078</v>
      </c>
      <c r="AL149" s="57" t="n">
        <f aca="false">L148/$W$159</f>
        <v>0.770286393877559</v>
      </c>
      <c r="AM149" s="57" t="n">
        <f aca="false">M148/$W$159</f>
        <v>0.735444795408169</v>
      </c>
      <c r="AN149" s="57" t="n">
        <f aca="false">N148/$W$159</f>
        <v>0.716173596556127</v>
      </c>
      <c r="AO149" s="57" t="n">
        <f aca="false">O148/$W$159</f>
        <v>0.708580197417095</v>
      </c>
      <c r="AP149" s="57" t="n">
        <f aca="false">P148/$W$159</f>
        <v>0.709745148062821</v>
      </c>
      <c r="AQ149" s="57" t="n">
        <f aca="false">Q148/$W$159</f>
        <v>0.729238861047116</v>
      </c>
      <c r="AR149" s="57" t="n">
        <f aca="false">R148/$W$159</f>
        <v>0.759539145785337</v>
      </c>
    </row>
    <row r="150" customFormat="false" ht="11.25" hidden="false" customHeight="false" outlineLevel="0" collapsed="false">
      <c r="E150" s="8"/>
      <c r="F150" s="8"/>
      <c r="G150" s="8"/>
      <c r="H150" s="8"/>
      <c r="I150" s="8"/>
      <c r="J150" s="37" t="str">
        <f aca="false">CONCATENATE(A139," calculated from Your forecast")</f>
        <v> % de investimento voluntário calculado a partir da sua previsão</v>
      </c>
      <c r="K150" s="43" t="n">
        <f aca="false">K143</f>
        <v>0.1</v>
      </c>
      <c r="L150" s="43" t="n">
        <f aca="false">L143</f>
        <v>1.274</v>
      </c>
      <c r="M150" s="43" t="n">
        <f aca="false">M143</f>
        <v>1.96</v>
      </c>
      <c r="N150" s="43" t="n">
        <f aca="false">N143</f>
        <v>2.646</v>
      </c>
      <c r="O150" s="43" t="n">
        <f aca="false">O143</f>
        <v>3.332</v>
      </c>
      <c r="P150" s="43" t="n">
        <f aca="false">P143</f>
        <v>4.018</v>
      </c>
      <c r="Q150" s="43" t="n">
        <f aca="false">Q143</f>
        <v>4.9</v>
      </c>
      <c r="R150" s="43" t="n">
        <f aca="false">R143</f>
        <v>5.88</v>
      </c>
      <c r="S150" s="28" t="s">
        <v>25</v>
      </c>
      <c r="T150" s="13"/>
      <c r="AA150" s="29" t="str">
        <f aca="false">CONCATENATE(A136," (0 - ",W160, " T$ / yr)")</f>
        <v> Consumo (0 - 40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K147/$W$160</f>
        <v>0.206697302411744</v>
      </c>
      <c r="AL150" s="57" t="n">
        <f aca="false">L147/$W$160</f>
        <v>0.283642885858332</v>
      </c>
      <c r="AM150" s="57" t="n">
        <f aca="false">M147/$W$160</f>
        <v>0.37873281917789</v>
      </c>
      <c r="AN150" s="57" t="n">
        <f aca="false">N147/$W$160</f>
        <v>0.468257769387981</v>
      </c>
      <c r="AO150" s="57" t="n">
        <f aca="false">O147/$W$160</f>
        <v>0.529987990553467</v>
      </c>
      <c r="AP150" s="57" t="n">
        <f aca="false">P147/$W$160</f>
        <v>0.566343279925212</v>
      </c>
      <c r="AQ150" s="57" t="n">
        <f aca="false">Q147/$W$160</f>
        <v>0.585653601559246</v>
      </c>
      <c r="AR150" s="57" t="n">
        <f aca="false">R147/$W$160</f>
        <v>0.564827423829187</v>
      </c>
    </row>
    <row r="151" customFormat="false" ht="11.25" hidden="false" customHeight="false" outlineLevel="0" collapsed="false">
      <c r="E151" s="8"/>
      <c r="F151" s="8"/>
      <c r="G151" s="8"/>
      <c r="H151" s="8"/>
      <c r="I151" s="8"/>
      <c r="J151" s="37" t="str">
        <f aca="false">CONCATENATE(A140," calculated from Your forecast")</f>
        <v> % de investimento forçado calculado a partir da sua previsão</v>
      </c>
      <c r="K151" s="43" t="n">
        <f aca="false">K144</f>
        <v>0.15</v>
      </c>
      <c r="L151" s="43" t="n">
        <f aca="false">L144</f>
        <v>0.784</v>
      </c>
      <c r="M151" s="43" t="n">
        <f aca="false">M144</f>
        <v>1.47</v>
      </c>
      <c r="N151" s="43" t="n">
        <f aca="false">N144</f>
        <v>2.156</v>
      </c>
      <c r="O151" s="43" t="n">
        <f aca="false">O144</f>
        <v>2.842</v>
      </c>
      <c r="P151" s="43" t="n">
        <f aca="false">P144</f>
        <v>3.528</v>
      </c>
      <c r="Q151" s="43" t="n">
        <f aca="false">Q144</f>
        <v>4.606</v>
      </c>
      <c r="R151" s="43" t="n">
        <f aca="false">R144</f>
        <v>5.88</v>
      </c>
      <c r="S151" s="28" t="s">
        <v>25</v>
      </c>
      <c r="T151" s="13"/>
      <c r="AA151" s="29" t="str">
        <f aca="false">CONCATENATE("normal + norm change inv."," (0 - ",W159,"% /yr)")</f>
        <v> normal + mudança normal inv. (0 - 50%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(K149+K152)/$W$159</f>
        <v>0.812168525170078</v>
      </c>
      <c r="AL151" s="48" t="n">
        <f aca="false">(L149+L152)/$W$159</f>
        <v>0.729126393877559</v>
      </c>
      <c r="AM151" s="48" t="n">
        <f aca="false">(M149+M152)/$W$159</f>
        <v>0.666844795408169</v>
      </c>
      <c r="AN151" s="48" t="n">
        <f aca="false">(N149+N152)/$W$159</f>
        <v>0.620133596556127</v>
      </c>
      <c r="AO151" s="48" t="n">
        <f aca="false">(O149+O152)/$W$159</f>
        <v>0.585100197417095</v>
      </c>
      <c r="AP151" s="48" t="n">
        <f aca="false">(P149+P152)/$W$159</f>
        <v>0.558825148062821</v>
      </c>
      <c r="AQ151" s="48" t="n">
        <f aca="false">(Q149+Q152)/$W$159</f>
        <v>0.539118861047116</v>
      </c>
      <c r="AR151" s="48" t="n">
        <f aca="false">(R149+R152)/$W$159</f>
        <v>0.524339145785337</v>
      </c>
    </row>
    <row r="152" s="3" customFormat="true" ht="11.25" hidden="false" customHeight="false" outlineLevel="0" collapsed="false">
      <c r="D152" s="8"/>
      <c r="E152" s="8"/>
      <c r="F152" s="8"/>
      <c r="G152" s="8"/>
      <c r="H152" s="8"/>
      <c r="I152" s="8"/>
      <c r="J152" s="37" t="str">
        <f aca="false">CONCATENATE(A141," calculated from Your forecast")</f>
        <v> Variação percentual na taxa de investimento normal calculada a partir da sua previsão.</v>
      </c>
      <c r="K152" s="43" t="n">
        <f aca="false">5*(24 - K$149)/20</f>
        <v>-5.53614208616797</v>
      </c>
      <c r="L152" s="43" t="n">
        <f aca="false">5*(24 - L$149)/20</f>
        <v>-4.15210656462597</v>
      </c>
      <c r="M152" s="43" t="n">
        <f aca="false">5*(24 - M$149)/20</f>
        <v>-3.11407992346948</v>
      </c>
      <c r="N152" s="43" t="n">
        <f aca="false">5*(24 - N$149)/20</f>
        <v>-2.33555994260211</v>
      </c>
      <c r="O152" s="43" t="n">
        <f aca="false">5*(24 - O$149)/20</f>
        <v>-1.75166995695158</v>
      </c>
      <c r="P152" s="43" t="n">
        <f aca="false">5*(24 - P$149)/20</f>
        <v>-1.31375246771369</v>
      </c>
      <c r="Q152" s="43" t="n">
        <f aca="false">5*(24 - Q$149)/20</f>
        <v>-0.985314350785266</v>
      </c>
      <c r="R152" s="43" t="n">
        <f aca="false">5*(24 - R$149)/20</f>
        <v>-0.738985763088949</v>
      </c>
      <c r="S152" s="28" t="s">
        <v>25</v>
      </c>
      <c r="T152" s="13"/>
      <c r="X152" s="15" t="s">
        <v>33</v>
      </c>
      <c r="AA152" s="29" t="str">
        <f aca="false">CONCATENATE("normal + voluntary inv."," (0 - ",W159,"% /yr)")</f>
        <v> Inventário normal + voluntário (0 - 50%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(K149+K152+K150)/$W$159</f>
        <v>0.814168525170078</v>
      </c>
      <c r="AL152" s="48" t="n">
        <f aca="false">(L149+L152+L150)/$W$159</f>
        <v>0.754606393877559</v>
      </c>
      <c r="AM152" s="48" t="n">
        <f aca="false">(M149+M152+M150)/$W$159</f>
        <v>0.706044795408169</v>
      </c>
      <c r="AN152" s="48" t="n">
        <f aca="false">(N149+N152+N150)/$W$159</f>
        <v>0.673053596556127</v>
      </c>
      <c r="AO152" s="48" t="n">
        <f aca="false">(O149+O152+O150)/$W$159</f>
        <v>0.651740197417095</v>
      </c>
      <c r="AP152" s="48" t="n">
        <f aca="false">(P149+P152+P150)/$W$159</f>
        <v>0.639185148062821</v>
      </c>
      <c r="AQ152" s="48" t="n">
        <f aca="false">(Q149+Q152+Q150)/$W$159</f>
        <v>0.637118861047116</v>
      </c>
      <c r="AR152" s="48" t="n">
        <f aca="false">(R149+R152+R150)/$W$159</f>
        <v>0.641939145785337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(0 - 50%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(K149+K150+K151+K152)/$W$159</f>
        <v>0.817168525170078</v>
      </c>
      <c r="AL153" s="48" t="n">
        <f aca="false">(L149+L150+L151+L152)/$W$159</f>
        <v>0.770286393877559</v>
      </c>
      <c r="AM153" s="48" t="n">
        <f aca="false">(M149+M150+M151+M152)/$W$159</f>
        <v>0.735444795408169</v>
      </c>
      <c r="AN153" s="48" t="n">
        <f aca="false">(N149+N150+N151+N152)/$W$159</f>
        <v>0.716173596556127</v>
      </c>
      <c r="AO153" s="48" t="n">
        <f aca="false">(O149+O150+O151+O152)/$W$159</f>
        <v>0.708580197417095</v>
      </c>
      <c r="AP153" s="48" t="n">
        <f aca="false">(P149+P150+P151+P152)/$W$159</f>
        <v>0.709745148062821</v>
      </c>
      <c r="AQ153" s="48" t="n">
        <f aca="false">(Q149+Q150+Q151+Q152)/$W$159</f>
        <v>0.729238861047116</v>
      </c>
      <c r="AR153" s="48" t="n">
        <f aca="false">(R149+R150+R151+R152)/$W$159</f>
        <v>0.759539145785337</v>
      </c>
    </row>
    <row r="154" s="3" customFormat="true" ht="28.3" hidden="false" customHeight="false" outlineLevel="0" collapsed="false">
      <c r="T154" s="13"/>
      <c r="U154" s="55" t="s">
        <v>37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48" t="n">
        <f aca="false">K149*K$104/100</f>
        <v>6.4509326988746</v>
      </c>
      <c r="AL154" s="48" t="n">
        <f aca="false">L149*L$104/100</f>
        <v>7.49331626927153</v>
      </c>
      <c r="AM154" s="48" t="n">
        <f aca="false">M149*M$104/100</f>
        <v>8.73490041992715</v>
      </c>
      <c r="AN154" s="48" t="n">
        <f aca="false">N149*N$104/100</f>
        <v>9.72889342634446</v>
      </c>
      <c r="AO154" s="48" t="n">
        <f aca="false">O149*O$104/100</f>
        <v>10.1799076661557</v>
      </c>
      <c r="AP154" s="48" t="n">
        <f aca="false">P149*P$104/100</f>
        <v>10.2729337353027</v>
      </c>
      <c r="AQ154" s="48" t="n">
        <f aca="false">Q149*Q$104/100</f>
        <v>10.3017931717537</v>
      </c>
      <c r="AR154" s="48" t="n">
        <f aca="false">R149*R$104/100</f>
        <v>9.81922537541913</v>
      </c>
    </row>
    <row r="155" s="3" customFormat="true" ht="11.25" hidden="false" customHeight="false" outlineLevel="0" collapsed="false">
      <c r="T155" s="13"/>
      <c r="U155" s="15" t="str">
        <f aca="false">AA135</f>
        <v> PIB da China (0 - 40 trilhões de dólares/ano)</v>
      </c>
      <c r="V155" s="25" t="n">
        <v>40</v>
      </c>
      <c r="W155" s="70" t="n">
        <f aca="false">W158</f>
        <v>40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48" t="n">
        <f aca="false">K150*K$104/100</f>
        <v>0.0139798310620008</v>
      </c>
      <c r="AL155" s="48" t="n">
        <f aca="false">L150*L$104/100</f>
        <v>0.235086306134623</v>
      </c>
      <c r="AM155" s="48" t="n">
        <f aca="false">M150*M$104/100</f>
        <v>0.469614183955388</v>
      </c>
      <c r="AN155" s="48" t="n">
        <f aca="false">N150*N$104/100</f>
        <v>0.772073267523986</v>
      </c>
      <c r="AO155" s="48" t="n">
        <f aca="false">O150*O$104/100</f>
        <v>1.0939401616684</v>
      </c>
      <c r="AP155" s="48" t="n">
        <f aca="false">P150*P$104/100</f>
        <v>1.41092578435833</v>
      </c>
      <c r="AQ155" s="48" t="n">
        <f aca="false">Q150*Q$104/100</f>
        <v>1.80660396965237</v>
      </c>
      <c r="AR155" s="48" t="n">
        <f aca="false">R150*R$104/100</f>
        <v>2.1419041098033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(0 - 50%/ano)</v>
      </c>
      <c r="V156" s="25" t="n">
        <v>50</v>
      </c>
      <c r="W156" s="70" t="n">
        <f aca="false">W159</f>
        <v>50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48" t="n">
        <f aca="false">K151*K$104/100</f>
        <v>0.0209697465930011</v>
      </c>
      <c r="AL156" s="48" t="n">
        <f aca="false">L151*L$104/100</f>
        <v>0.144668496082845</v>
      </c>
      <c r="AM156" s="48" t="n">
        <f aca="false">M151*M$104/100</f>
        <v>0.352210637966541</v>
      </c>
      <c r="AN156" s="48" t="n">
        <f aca="false">N151*N$104/100</f>
        <v>0.629096736501026</v>
      </c>
      <c r="AO156" s="48" t="n">
        <f aca="false">O151*O$104/100</f>
        <v>0.933066608481873</v>
      </c>
      <c r="AP156" s="48" t="n">
        <f aca="false">P151*P$104/100</f>
        <v>1.23886166431463</v>
      </c>
      <c r="AQ156" s="48" t="n">
        <f aca="false">Q151*Q$104/100</f>
        <v>1.69820773147322</v>
      </c>
      <c r="AR156" s="48" t="n">
        <f aca="false">R151*R$104/100</f>
        <v>2.1419041098033</v>
      </c>
    </row>
    <row r="157" s="3" customFormat="true" ht="11.25" hidden="false" customHeight="false" outlineLevel="0" collapsed="false">
      <c r="T157" s="13"/>
      <c r="U157" s="15" t="str">
        <f aca="false">AA137</f>
        <v> Consumo (0 - 40 T$ / ano)</v>
      </c>
      <c r="V157" s="25" t="n">
        <f aca="false">V155</f>
        <v>40</v>
      </c>
      <c r="W157" s="70" t="n">
        <f aca="false">W160</f>
        <v>40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48" t="n">
        <f aca="false">K152*K$104/100</f>
        <v>-0.773943310998605</v>
      </c>
      <c r="AL157" s="48" t="n">
        <f aca="false">L152*L$104/100</f>
        <v>-0.766172209541006</v>
      </c>
      <c r="AM157" s="48" t="n">
        <f aca="false">M152*M$104/100</f>
        <v>-0.746130664302029</v>
      </c>
      <c r="AN157" s="48" t="n">
        <f aca="false">N152*N$104/100</f>
        <v>-0.681490323651906</v>
      </c>
      <c r="AO157" s="48" t="n">
        <f aca="false">O152*O$104/100</f>
        <v>-0.575096673438565</v>
      </c>
      <c r="AP157" s="48" t="n">
        <f aca="false">P152*P$104/100</f>
        <v>-0.461325841453864</v>
      </c>
      <c r="AQ157" s="48" t="n">
        <f aca="false">Q152*Q$104/100</f>
        <v>-0.363280166833491</v>
      </c>
      <c r="AR157" s="48" t="n">
        <f aca="false">R152*R$104/100</f>
        <v>-0.269189905279991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PIB da China (0 - 40 trilhões de dólares/ano) - sua previsão</v>
      </c>
      <c r="W158" s="4" t="n">
        <v>40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K146-AK157-AK154-AK155-AK156</f>
        <v>3.01841884819964E-016</v>
      </c>
      <c r="AL158" s="48" t="n">
        <f aca="false">L146-AL157-AL154-AL155-AL156</f>
        <v>0</v>
      </c>
      <c r="AM158" s="48" t="n">
        <f aca="false">M146-AM157-AM154-AM155-AM156</f>
        <v>0</v>
      </c>
      <c r="AN158" s="48" t="n">
        <f aca="false">N146-AN157-AN154-AN155-AN156</f>
        <v>-3.10862446895044E-015</v>
      </c>
      <c r="AO158" s="48" t="n">
        <f aca="false">O146-AO157-AO154-AO155-AO156</f>
        <v>0</v>
      </c>
      <c r="AP158" s="48" t="n">
        <f aca="false">P146-AP157-AP154-AP155-AP156</f>
        <v>0</v>
      </c>
      <c r="AQ158" s="48" t="n">
        <f aca="false">Q146-AQ157-AQ154-AQ155-AQ156</f>
        <v>0</v>
      </c>
      <c r="AR158" s="48" t="n">
        <f aca="false">R146-AR157-AR154-AR155-AR156</f>
        <v>0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(0 - 50%/ano) sua previsão</v>
      </c>
      <c r="W159" s="4" t="n">
        <v>50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(0 - 40 T$/ano) sua previsão</v>
      </c>
      <c r="W160" s="93" t="n">
        <f aca="false">W158</f>
        <v>40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 Gráfico 4a. Participação no investimento - China,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1.25" hidden="false" customHeight="false" outlineLevel="0" collapsed="false">
      <c r="T194" s="13"/>
    </row>
    <row r="195" customFormat="false" ht="11.25" hidden="false" customHeight="false" outlineLevel="0" collapsed="false">
      <c r="T195" s="13"/>
    </row>
    <row r="196" customFormat="false" ht="11.25" hidden="false" customHeight="false" outlineLevel="0" collapsed="false">
      <c r="T196" s="13"/>
    </row>
    <row r="197" customFormat="false" ht="11.25" hidden="false" customHeight="false" outlineLevel="0" collapsed="false">
      <c r="T197" s="13"/>
    </row>
    <row r="198" customFormat="false" ht="11.25" hidden="false" customHeight="false" outlineLevel="0" collapsed="false">
      <c r="T198" s="13"/>
    </row>
    <row r="199" customFormat="false" ht="11.25" hidden="false" customHeight="false" outlineLevel="0" collapsed="false">
      <c r="T199" s="13"/>
    </row>
    <row r="200" customFormat="false" ht="11.25" hidden="false" customHeight="false" outlineLevel="0" collapsed="false">
      <c r="T200" s="13"/>
    </row>
    <row r="201" customFormat="false" ht="11.25" hidden="false" customHeight="false" outlineLevel="0" collapsed="false">
      <c r="T201" s="13"/>
    </row>
    <row r="202" customFormat="false" ht="11.25" hidden="false" customHeight="false" outlineLevel="0" collapsed="false">
      <c r="T202" s="13"/>
    </row>
    <row r="203" customFormat="false" ht="11.25" hidden="false" customHeight="false" outlineLevel="0" collapsed="false">
      <c r="T203" s="13"/>
    </row>
    <row r="204" customFormat="false" ht="12.65" hidden="false" customHeight="false" outlineLevel="0" collapsed="false">
      <c r="B204" s="95"/>
      <c r="T204" s="13"/>
    </row>
    <row r="205" customFormat="false" ht="12.65" hidden="false" customHeight="false" outlineLevel="0" collapsed="false">
      <c r="A205" s="61" t="s">
        <v>78</v>
      </c>
      <c r="T205" s="13"/>
    </row>
    <row r="206" customFormat="false" ht="12.65" hidden="false" customHeight="false" outlineLevel="0" collapsed="false">
      <c r="A206" s="23" t="str">
        <f aca="false">CONCATENATE(A205,". Consumption per person - ",A5," 1970 to 2050")</f>
        <v> Gráfico 5. Consumo per capita - China, 1970 a 2050</v>
      </c>
      <c r="T206" s="13"/>
    </row>
    <row r="207" customFormat="false" ht="11.25" hidden="false" customHeight="false" outlineLevel="0" collapsed="false">
      <c r="B207" s="24" t="n">
        <v>1970</v>
      </c>
      <c r="C207" s="24" t="n">
        <v>1975</v>
      </c>
      <c r="D207" s="24" t="n">
        <v>1980</v>
      </c>
      <c r="E207" s="24" t="n">
        <v>1985</v>
      </c>
      <c r="F207" s="24" t="n">
        <v>1990</v>
      </c>
      <c r="G207" s="24" t="n">
        <v>1995</v>
      </c>
      <c r="H207" s="24" t="n">
        <v>2000</v>
      </c>
      <c r="I207" s="24" t="n">
        <v>2005</v>
      </c>
      <c r="J207" s="24" t="n">
        <v>2010</v>
      </c>
      <c r="K207" s="24" t="n">
        <v>2015</v>
      </c>
      <c r="L207" s="24" t="n">
        <v>2020</v>
      </c>
      <c r="M207" s="24" t="n">
        <v>2025</v>
      </c>
      <c r="N207" s="24" t="n">
        <v>2030</v>
      </c>
      <c r="O207" s="24" t="n">
        <v>2035</v>
      </c>
      <c r="P207" s="24" t="n">
        <v>2040</v>
      </c>
      <c r="Q207" s="24" t="n">
        <v>2045</v>
      </c>
      <c r="R207" s="24" t="n">
        <v>2050</v>
      </c>
      <c r="S207" s="25" t="s">
        <v>15</v>
      </c>
      <c r="T207" s="13"/>
      <c r="V207" s="96"/>
      <c r="AA207" s="52" t="s">
        <v>36</v>
      </c>
    </row>
    <row r="208" customFormat="false" ht="11.25" hidden="false" customHeight="false" outlineLevel="0" collapsed="false">
      <c r="A208" s="11" t="str">
        <f aca="false">A9</f>
        <v> População, China</v>
      </c>
      <c r="B208" s="27" t="n">
        <f aca="false">B9</f>
        <v>818.831928</v>
      </c>
      <c r="C208" s="27" t="n">
        <f aca="false">C9</f>
        <v>919.644373</v>
      </c>
      <c r="D208" s="27" t="n">
        <f aca="false">D9</f>
        <v>988.470422</v>
      </c>
      <c r="E208" s="27" t="n">
        <f aca="false">E9</f>
        <v>1062.290059</v>
      </c>
      <c r="F208" s="27" t="n">
        <f aca="false">F9</f>
        <v>1151.348795</v>
      </c>
      <c r="G208" s="27" t="n">
        <f aca="false">G9</f>
        <v>1220.529352</v>
      </c>
      <c r="H208" s="27" t="n">
        <f aca="false">H9</f>
        <v>1276.331921</v>
      </c>
      <c r="I208" s="27" t="n">
        <f aca="false">I9</f>
        <v>1314.884738</v>
      </c>
      <c r="J208" s="27" t="n">
        <f aca="false">J9</f>
        <v>1348.931997</v>
      </c>
      <c r="K208" s="27" t="n">
        <f aca="false">K9</f>
        <v>1365.71400185</v>
      </c>
      <c r="L208" s="27" t="n">
        <f aca="false">L9</f>
        <v>1369.45302486766</v>
      </c>
      <c r="M208" s="27" t="n">
        <f aca="false">M9</f>
        <v>1361.30423516904</v>
      </c>
      <c r="N208" s="27" t="n">
        <f aca="false">N9</f>
        <v>1342.97322666905</v>
      </c>
      <c r="O208" s="27" t="n">
        <f aca="false">O9</f>
        <v>1313.2992836155</v>
      </c>
      <c r="P208" s="27" t="n">
        <f aca="false">P9</f>
        <v>1273.09273203208</v>
      </c>
      <c r="Q208" s="27" t="n">
        <f aca="false">Q9</f>
        <v>1223.49445392644</v>
      </c>
      <c r="R208" s="27" t="n">
        <f aca="false">R9</f>
        <v>1165.59534153576</v>
      </c>
      <c r="S208" s="28" t="s">
        <v>17</v>
      </c>
      <c r="T208" s="13"/>
      <c r="V208" s="96"/>
      <c r="AA208" s="52"/>
      <c r="AB208" s="24" t="n">
        <v>1970</v>
      </c>
      <c r="AC208" s="24" t="n">
        <v>1975</v>
      </c>
      <c r="AD208" s="24" t="n">
        <v>1980</v>
      </c>
      <c r="AE208" s="24" t="n">
        <v>1985</v>
      </c>
      <c r="AF208" s="24" t="n">
        <v>1990</v>
      </c>
      <c r="AG208" s="24" t="n">
        <v>1995</v>
      </c>
      <c r="AH208" s="24" t="n">
        <v>2000</v>
      </c>
      <c r="AI208" s="24" t="n">
        <v>2005</v>
      </c>
      <c r="AJ208" s="24" t="n">
        <v>2010</v>
      </c>
      <c r="AK208" s="24" t="n">
        <v>2015</v>
      </c>
      <c r="AL208" s="24" t="n">
        <v>2020</v>
      </c>
      <c r="AM208" s="24" t="n">
        <v>2025</v>
      </c>
      <c r="AN208" s="24" t="n">
        <v>2030</v>
      </c>
      <c r="AO208" s="24" t="n">
        <v>2035</v>
      </c>
      <c r="AP208" s="24" t="n">
        <v>2040</v>
      </c>
      <c r="AQ208" s="24" t="n">
        <v>2045</v>
      </c>
      <c r="AR208" s="24" t="n">
        <v>2050</v>
      </c>
    </row>
    <row r="209" customFormat="false" ht="11.25" hidden="false" customHeight="false" outlineLevel="0" collapsed="false">
      <c r="A209" s="11" t="str">
        <f aca="false">A136</f>
        <v> Consumo</v>
      </c>
      <c r="B209" s="75" t="n">
        <f aca="false">B136</f>
        <v>0.231975698588539</v>
      </c>
      <c r="C209" s="75" t="n">
        <f aca="false">C136</f>
        <v>0.308139823677261</v>
      </c>
      <c r="D209" s="75" t="n">
        <f aca="false">D136</f>
        <v>0.462997596735027</v>
      </c>
      <c r="E209" s="75" t="n">
        <f aca="false">E136</f>
        <v>0.725704085292429</v>
      </c>
      <c r="F209" s="75" t="n">
        <f aca="false">F136</f>
        <v>1.03994599823849</v>
      </c>
      <c r="G209" s="75" t="n">
        <f aca="false">G136</f>
        <v>1.58807553632233</v>
      </c>
      <c r="H209" s="75" t="n">
        <f aca="false">H136</f>
        <v>2.37004553319275</v>
      </c>
      <c r="I209" s="75" t="n">
        <f aca="false">I136</f>
        <v>3.71538838323989</v>
      </c>
      <c r="J209" s="75" t="n">
        <f aca="false">J136</f>
        <v>5.14892133160202</v>
      </c>
      <c r="K209" s="75" t="n">
        <f aca="false">K136</f>
        <v>8.26789209646975</v>
      </c>
      <c r="L209" s="75" t="n">
        <f aca="false">L136</f>
        <v>11.7292973478432</v>
      </c>
      <c r="M209" s="75" t="n">
        <f aca="false">M136</f>
        <v>15.8492205655925</v>
      </c>
      <c r="N209" s="75" t="n">
        <f aca="false">N136</f>
        <v>19.8009718191192</v>
      </c>
      <c r="O209" s="75" t="n">
        <f aca="false">O136</f>
        <v>22.6094314658644</v>
      </c>
      <c r="P209" s="75" t="n">
        <f aca="false">P136</f>
        <v>24.3309969514337</v>
      </c>
      <c r="Q209" s="75" t="n">
        <f aca="false">Q136</f>
        <v>25.2842656812341</v>
      </c>
      <c r="R209" s="75" t="n">
        <f aca="false">R136</f>
        <v>24.4504699169827</v>
      </c>
      <c r="S209" s="28" t="s">
        <v>53</v>
      </c>
      <c r="T209" s="13"/>
      <c r="V209" s="96"/>
      <c r="AA209" s="29" t="str">
        <f aca="false">CONCATENATE(A209," (0 - ",W213, " T$ / yr)")</f>
        <v>Consumo (0 - 26 T$ / ano)</v>
      </c>
      <c r="AB209" s="57" t="n">
        <f aca="false">B209/$W$213</f>
        <v>0.00892214225340536</v>
      </c>
      <c r="AC209" s="57" t="n">
        <f aca="false">C209/$W$213</f>
        <v>0.0118515316798946</v>
      </c>
      <c r="AD209" s="57" t="n">
        <f aca="false">D209/$W$213</f>
        <v>0.0178075998744241</v>
      </c>
      <c r="AE209" s="57" t="n">
        <f aca="false">E209/$W$213</f>
        <v>0.0279116955881704</v>
      </c>
      <c r="AF209" s="57" t="n">
        <f aca="false">F209/$W$213</f>
        <v>0.0399979230091726</v>
      </c>
      <c r="AG209" s="57" t="n">
        <f aca="false">G209/$W$213</f>
        <v>0.0610798283200896</v>
      </c>
      <c r="AH209" s="57" t="n">
        <f aca="false">H209/$W$213</f>
        <v>0.0911555974304905</v>
      </c>
      <c r="AI209" s="57" t="n">
        <f aca="false">I209/$W$213</f>
        <v>0.142899553201534</v>
      </c>
      <c r="AJ209" s="57" t="n">
        <f aca="false">J209/$W$213</f>
        <v>0.198035435830847</v>
      </c>
      <c r="AK209" s="57" t="n">
        <f aca="false">K209/$W$213</f>
        <v>0.317995849864221</v>
      </c>
      <c r="AL209" s="57" t="n">
        <f aca="false">L209/$W$213</f>
        <v>0.451126821070894</v>
      </c>
      <c r="AM209" s="57" t="n">
        <f aca="false">M209/$W$213</f>
        <v>0.609585406368943</v>
      </c>
      <c r="AN209" s="57" t="n">
        <f aca="false">N209/$W$213</f>
        <v>0.76157583919689</v>
      </c>
      <c r="AO209" s="57" t="n">
        <f aca="false">O209/$W$213</f>
        <v>0.869593517917861</v>
      </c>
      <c r="AP209" s="57" t="n">
        <f aca="false">P209/$W$213</f>
        <v>0.935807575055143</v>
      </c>
      <c r="AQ209" s="57" t="n">
        <f aca="false">Q209/$W$213</f>
        <v>0.972471756970543</v>
      </c>
      <c r="AR209" s="57" t="n">
        <f aca="false">R209/$W$213</f>
        <v>0.940402689114721</v>
      </c>
      <c r="AS209" s="29"/>
    </row>
    <row r="210" customFormat="false" ht="11.25" hidden="false" customHeight="false" outlineLevel="0" collapsed="false">
      <c r="A210" s="11" t="s">
        <v>79</v>
      </c>
      <c r="B210" s="27" t="n">
        <f aca="false">B209/B208*1000000</f>
        <v>283.300749098952</v>
      </c>
      <c r="C210" s="27" t="n">
        <f aca="false">C209/C208*1000000</f>
        <v>335.0641103496</v>
      </c>
      <c r="D210" s="27" t="n">
        <f aca="false">D209/D208*1000000</f>
        <v>468.398028337794</v>
      </c>
      <c r="E210" s="27" t="n">
        <f aca="false">E209/E208*1000000</f>
        <v>683.15059445777</v>
      </c>
      <c r="F210" s="27" t="n">
        <f aca="false">F209/F208*1000000</f>
        <v>903.241487509862</v>
      </c>
      <c r="G210" s="27" t="n">
        <f aca="false">G209/G208*1000000</f>
        <v>1301.13670246443</v>
      </c>
      <c r="H210" s="27" t="n">
        <f aca="false">H209/H208*1000000</f>
        <v>1856.91942213263</v>
      </c>
      <c r="I210" s="27" t="n">
        <f aca="false">I209/I208*1000000</f>
        <v>2825.63807751786</v>
      </c>
      <c r="J210" s="27" t="n">
        <f aca="false">J209/J208*1000000</f>
        <v>3817.03550887156</v>
      </c>
      <c r="K210" s="27" t="n">
        <f aca="false">K209/K208*1000000</f>
        <v>6053.89714484148</v>
      </c>
      <c r="L210" s="27" t="n">
        <f aca="false">L209/L208*1000000</f>
        <v>8564.95048377199</v>
      </c>
      <c r="M210" s="27" t="n">
        <f aca="false">M209/M208*1000000</f>
        <v>11642.6733687672</v>
      </c>
      <c r="N210" s="27" t="n">
        <f aca="false">N209/N208*1000000</f>
        <v>14744.1299840587</v>
      </c>
      <c r="O210" s="27" t="n">
        <f aca="false">O209/O208*1000000</f>
        <v>17215.749485236</v>
      </c>
      <c r="P210" s="27" t="n">
        <f aca="false">P209/P208*1000000</f>
        <v>19111.724023903</v>
      </c>
      <c r="Q210" s="27" t="n">
        <f aca="false">Q209/Q208*1000000</f>
        <v>20665.6152793271</v>
      </c>
      <c r="R210" s="27" t="n">
        <f aca="false">R209/R208*1000000</f>
        <v>20976.8081989478</v>
      </c>
      <c r="S210" s="28" t="s">
        <v>80</v>
      </c>
      <c r="T210" s="13"/>
      <c r="V210" s="96"/>
      <c r="X210" s="15" t="s">
        <v>33</v>
      </c>
      <c r="AA210" s="29" t="str">
        <f aca="false">CONCATENATE(A210," (0 - ",W214, " $ / yr)")</f>
        <v> Consumo por pessoa (0 - 25000 $ / ano)</v>
      </c>
      <c r="AB210" s="57" t="n">
        <f aca="false">B210/$W$214</f>
        <v>0.0113320299639581</v>
      </c>
      <c r="AC210" s="57" t="n">
        <f aca="false">C210/$W$214</f>
        <v>0.013402564413984</v>
      </c>
      <c r="AD210" s="57" t="n">
        <f aca="false">D210/$W$214</f>
        <v>0.0187359211335118</v>
      </c>
      <c r="AE210" s="57" t="n">
        <f aca="false">E210/$W$214</f>
        <v>0.0273260237783108</v>
      </c>
      <c r="AF210" s="57" t="n">
        <f aca="false">F210/$W$214</f>
        <v>0.0361296595003945</v>
      </c>
      <c r="AG210" s="57" t="n">
        <f aca="false">G210/$W$214</f>
        <v>0.0520454680985773</v>
      </c>
      <c r="AH210" s="57" t="n">
        <f aca="false">H210/$W$214</f>
        <v>0.0742767768853053</v>
      </c>
      <c r="AI210" s="57" t="n">
        <f aca="false">I210/$W$214</f>
        <v>0.113025523100714</v>
      </c>
      <c r="AJ210" s="57" t="n">
        <f aca="false">J210/$W$214</f>
        <v>0.152681420354862</v>
      </c>
      <c r="AK210" s="57" t="n">
        <f aca="false">K210/$W$214</f>
        <v>0.242155885793659</v>
      </c>
      <c r="AL210" s="57" t="n">
        <f aca="false">L210/$W$214</f>
        <v>0.342598019350879</v>
      </c>
      <c r="AM210" s="57" t="n">
        <f aca="false">M210/$W$214</f>
        <v>0.465706934750687</v>
      </c>
      <c r="AN210" s="57" t="n">
        <f aca="false">N210/$W$214</f>
        <v>0.589765199362346</v>
      </c>
      <c r="AO210" s="57" t="n">
        <f aca="false">O210/$W$214</f>
        <v>0.688629979409441</v>
      </c>
      <c r="AP210" s="57" t="n">
        <f aca="false">P210/$W$214</f>
        <v>0.764468960956118</v>
      </c>
      <c r="AQ210" s="57" t="n">
        <f aca="false">Q210/$W$214</f>
        <v>0.826624611173083</v>
      </c>
      <c r="AR210" s="57" t="n">
        <f aca="false">R210/$W$214</f>
        <v>0.839072327957912</v>
      </c>
      <c r="AS210" s="29"/>
    </row>
    <row r="211" customFormat="false" ht="11.25" hidden="false" customHeight="false" outlineLevel="0" collapsed="false">
      <c r="A211" s="97"/>
      <c r="T211" s="13"/>
      <c r="V211" s="3" t="s">
        <v>35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98" t="n">
        <f aca="false">K17</f>
        <v>1365.71400185</v>
      </c>
      <c r="AL211" s="98" t="n">
        <f aca="false">L17</f>
        <v>1369.3782444073</v>
      </c>
      <c r="AM211" s="98" t="n">
        <f aca="false">M17</f>
        <v>1361.39286657664</v>
      </c>
      <c r="AN211" s="98" t="n">
        <f aca="false">N17</f>
        <v>1343.42730862639</v>
      </c>
      <c r="AO211" s="98" t="n">
        <f aca="false">O17</f>
        <v>1314.33701183722</v>
      </c>
      <c r="AP211" s="98" t="n">
        <f aca="false">P17</f>
        <v>1274.90345671902</v>
      </c>
      <c r="AQ211" s="98" t="n">
        <f aca="false">Q17</f>
        <v>1226.2280112303</v>
      </c>
      <c r="AR211" s="98" t="n">
        <f aca="false">R17</f>
        <v>1169.36010884893</v>
      </c>
      <c r="AS211" s="29"/>
    </row>
    <row r="212" customFormat="false" ht="28.3" hidden="false" customHeight="false" outlineLevel="0" collapsed="false">
      <c r="T212" s="13"/>
      <c r="U212" s="55" t="s">
        <v>37</v>
      </c>
      <c r="V212" s="54" t="s">
        <v>38</v>
      </c>
      <c r="W212" s="54" t="s">
        <v>39</v>
      </c>
      <c r="X212" s="55"/>
      <c r="Y212" s="55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48" t="n">
        <f aca="false">K147</f>
        <v>8.26789209646975</v>
      </c>
      <c r="AL212" s="48" t="n">
        <f aca="false">L147</f>
        <v>11.3457154343333</v>
      </c>
      <c r="AM212" s="48" t="n">
        <f aca="false">M147</f>
        <v>15.1493127671156</v>
      </c>
      <c r="AN212" s="48" t="n">
        <f aca="false">N147</f>
        <v>18.7303107755192</v>
      </c>
      <c r="AO212" s="48" t="n">
        <f aca="false">O147</f>
        <v>21.1995196221387</v>
      </c>
      <c r="AP212" s="48" t="n">
        <f aca="false">P147</f>
        <v>22.6537311970085</v>
      </c>
      <c r="AQ212" s="48" t="n">
        <f aca="false">Q147</f>
        <v>23.4261440623698</v>
      </c>
      <c r="AR212" s="48" t="n">
        <f aca="false">R147</f>
        <v>22.5930969531675</v>
      </c>
      <c r="AS212" s="29"/>
    </row>
    <row r="213" customFormat="false" ht="11.25" hidden="false" customHeight="false" outlineLevel="0" collapsed="false">
      <c r="T213" s="13"/>
      <c r="U213" s="99" t="str">
        <f aca="false">AA209</f>
        <v> Consumo (0 - 26 T$ / ano)</v>
      </c>
      <c r="V213" s="25" t="n">
        <v>26</v>
      </c>
      <c r="W213" s="70" t="n">
        <f aca="false">W215</f>
        <v>26</v>
      </c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47" t="n">
        <f aca="false">AK212/AK211*1000000</f>
        <v>6053.89714484148</v>
      </c>
      <c r="AL213" s="47" t="n">
        <f aca="false">AL212/AL211*1000000</f>
        <v>8285.30428365608</v>
      </c>
      <c r="AM213" s="47" t="n">
        <f aca="false">AM212/AM211*1000000</f>
        <v>11127.803839027</v>
      </c>
      <c r="AN213" s="47" t="n">
        <f aca="false">AN212/AN211*1000000</f>
        <v>13942.1840357484</v>
      </c>
      <c r="AO213" s="47" t="n">
        <f aca="false">AO212/AO211*1000000</f>
        <v>16129.4397336535</v>
      </c>
      <c r="AP213" s="47" t="n">
        <f aca="false">AP212/AP211*1000000</f>
        <v>17768.9777822927</v>
      </c>
      <c r="AQ213" s="47" t="n">
        <f aca="false">AQ212/AQ211*1000000</f>
        <v>19104.2317153282</v>
      </c>
      <c r="AR213" s="47" t="n">
        <f aca="false">AR212/AR211*1000000</f>
        <v>19320.9061795405</v>
      </c>
      <c r="AS213" s="29"/>
    </row>
    <row r="214" customFormat="false" ht="11.25" hidden="false" customHeight="false" outlineLevel="0" collapsed="false">
      <c r="T214" s="13"/>
      <c r="U214" s="99" t="str">
        <f aca="false">AA210</f>
        <v> Consumo por pessoa (0 - 25000 $ / ano)</v>
      </c>
      <c r="V214" s="25" t="n">
        <v>25000</v>
      </c>
      <c r="W214" s="70" t="n">
        <f aca="false">W216</f>
        <v>25000</v>
      </c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customFormat="false" ht="11.25" hidden="false" customHeight="false" outlineLevel="0" collapsed="false">
      <c r="T215" s="13"/>
      <c r="U215" s="100" t="str">
        <f aca="false">CONCATENATE("Consumption from Your forecast (0 - ",W215, " T$ / yr)")</f>
        <v> Consumo previsto (0 - 26 T$/ano)</v>
      </c>
      <c r="W215" s="4" t="n">
        <v>26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57" t="n">
        <f aca="false">AK212/$W$215</f>
        <v>0.317995849864221</v>
      </c>
      <c r="AL215" s="57" t="n">
        <f aca="false">AL212/$W$215</f>
        <v>0.43637367055128</v>
      </c>
      <c r="AM215" s="57" t="n">
        <f aca="false">AM212/$W$215</f>
        <v>0.582665875658292</v>
      </c>
      <c r="AN215" s="57" t="n">
        <f aca="false">AN212/$W$215</f>
        <v>0.720396568289202</v>
      </c>
      <c r="AO215" s="57" t="n">
        <f aca="false">AO212/$W$215</f>
        <v>0.815366139313025</v>
      </c>
      <c r="AP215" s="57" t="n">
        <f aca="false">AP212/$W$215</f>
        <v>0.871297353731096</v>
      </c>
      <c r="AQ215" s="57" t="n">
        <f aca="false">AQ212/$W$215</f>
        <v>0.901005540860378</v>
      </c>
      <c r="AR215" s="57" t="n">
        <f aca="false">AR212/$W$215</f>
        <v>0.868965267429518</v>
      </c>
      <c r="AS215" s="29"/>
    </row>
    <row r="216" customFormat="false" ht="11.25" hidden="false" customHeight="false" outlineLevel="0" collapsed="false">
      <c r="T216" s="13"/>
      <c r="U216" s="37" t="str">
        <f aca="false">CONCATENATE("Consumption per person from Your forecast (0 - ",W216, " $ / yr)")</f>
        <v> Consumo por pessoa de acordo com sua previsão (0 - 25.000 $/ano)</v>
      </c>
      <c r="W216" s="4" t="n">
        <v>25000</v>
      </c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57" t="n">
        <f aca="false">AK213/$W$216</f>
        <v>0.242155885793659</v>
      </c>
      <c r="AL216" s="57" t="n">
        <f aca="false">AL213/$W$216</f>
        <v>0.331412171346243</v>
      </c>
      <c r="AM216" s="57" t="n">
        <f aca="false">AM213/$W$216</f>
        <v>0.445112153561082</v>
      </c>
      <c r="AN216" s="57" t="n">
        <f aca="false">AN213/$W$216</f>
        <v>0.557687361429935</v>
      </c>
      <c r="AO216" s="57" t="n">
        <f aca="false">AO213/$W$216</f>
        <v>0.645177589346139</v>
      </c>
      <c r="AP216" s="57" t="n">
        <f aca="false">AP213/$W$216</f>
        <v>0.71075911129171</v>
      </c>
      <c r="AQ216" s="57" t="n">
        <f aca="false">AQ213/$W$216</f>
        <v>0.764169268613129</v>
      </c>
      <c r="AR216" s="57" t="n">
        <f aca="false">AR213/$W$216</f>
        <v>0.772836247181622</v>
      </c>
      <c r="AS216" s="29"/>
    </row>
    <row r="217" customFormat="false" ht="11.25" hidden="false" customHeight="false" outlineLevel="0" collapsed="false">
      <c r="T217" s="13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S217" s="29"/>
    </row>
    <row r="218" customFormat="false" ht="11.25" hidden="false" customHeight="false" outlineLevel="0" collapsed="false">
      <c r="T218" s="13"/>
    </row>
    <row r="219" customFormat="fals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s="3" customFormat="true" ht="11.25" hidden="false" customHeight="false" outlineLevel="0" collapsed="false">
      <c r="T225" s="13"/>
    </row>
    <row r="226" s="35" customFormat="true" ht="13.8" hidden="false" customHeight="false" outlineLevel="0" collapsed="false">
      <c r="T226" s="13"/>
      <c r="V226" s="3"/>
      <c r="W226" s="3"/>
      <c r="X226" s="3"/>
      <c r="Y226" s="3"/>
    </row>
    <row r="227" s="35" customFormat="true" ht="13.8" hidden="false" customHeight="false" outlineLevel="0" collapsed="false">
      <c r="T227" s="13"/>
      <c r="V227" s="3"/>
      <c r="W227" s="3"/>
      <c r="X227" s="3"/>
      <c r="Y227" s="3"/>
    </row>
    <row r="228" s="3" customFormat="true" ht="11.25" hidden="false" customHeight="false" outlineLevel="0" collapsed="false">
      <c r="T228" s="13"/>
    </row>
    <row r="229" s="3" customFormat="true" ht="11.25" hidden="false" customHeight="false" outlineLevel="0" collapsed="false">
      <c r="T229" s="13"/>
    </row>
    <row r="230" customFormat="false" ht="11.25" hidden="false" customHeight="false" outlineLevel="0" collapsed="false">
      <c r="T230" s="13"/>
    </row>
    <row r="231" customFormat="false" ht="11.25" hidden="false" customHeight="false" outlineLevel="0" collapsed="false">
      <c r="T231" s="13"/>
    </row>
    <row r="232" customFormat="false" ht="11.25" hidden="false" customHeight="false" outlineLevel="0" collapsed="false">
      <c r="T232" s="13"/>
    </row>
    <row r="233" customFormat="false" ht="11.25" hidden="false" customHeight="false" outlineLevel="0" collapsed="false">
      <c r="T233" s="13"/>
    </row>
    <row r="234" customFormat="false" ht="11.25" hidden="false" customHeight="false" outlineLevel="0" collapsed="false">
      <c r="T234" s="13"/>
    </row>
    <row r="235" customFormat="false" ht="11.25" hidden="false" customHeight="false" outlineLevel="0" collapsed="false">
      <c r="T235" s="13"/>
    </row>
    <row r="236" customFormat="false" ht="11.25" hidden="false" customHeight="false" outlineLevel="0" collapsed="false">
      <c r="T236" s="13"/>
    </row>
    <row r="237" customFormat="false" ht="11.25" hidden="false" customHeight="false" outlineLevel="0" collapsed="false">
      <c r="T237" s="13"/>
    </row>
    <row r="238" customFormat="false" ht="12.65" hidden="false" customHeight="false" outlineLevel="0" collapsed="false">
      <c r="A238" s="61" t="s">
        <v>81</v>
      </c>
      <c r="T238" s="13"/>
    </row>
    <row r="239" customFormat="false" ht="12.65" hidden="false" customHeight="false" outlineLevel="0" collapsed="false">
      <c r="A239" s="23" t="str">
        <f aca="false">CONCATENATE(A238,". Energy Use - ",A5," 1970 to 2050")</f>
        <v> Gráfico 6. Uso de energia - China, de 1970 a 2050</v>
      </c>
      <c r="T239" s="13"/>
    </row>
    <row r="240" customFormat="false" ht="11.25" hidden="false" customHeight="false" outlineLevel="0" collapsed="false">
      <c r="B240" s="101" t="n">
        <v>1970</v>
      </c>
      <c r="C240" s="101" t="n">
        <v>1975</v>
      </c>
      <c r="D240" s="101" t="n">
        <v>1980</v>
      </c>
      <c r="E240" s="101" t="n">
        <v>1985</v>
      </c>
      <c r="F240" s="101" t="n">
        <v>1990</v>
      </c>
      <c r="G240" s="101" t="n">
        <v>1995</v>
      </c>
      <c r="H240" s="101" t="n">
        <v>2000</v>
      </c>
      <c r="I240" s="101" t="n">
        <v>2005</v>
      </c>
      <c r="J240" s="101" t="n">
        <v>2010</v>
      </c>
      <c r="K240" s="101" t="n">
        <v>2015</v>
      </c>
      <c r="L240" s="101" t="n">
        <v>2020</v>
      </c>
      <c r="M240" s="101" t="n">
        <v>2025</v>
      </c>
      <c r="N240" s="101" t="n">
        <v>2030</v>
      </c>
      <c r="O240" s="101" t="n">
        <v>2035</v>
      </c>
      <c r="P240" s="101" t="n">
        <v>2040</v>
      </c>
      <c r="Q240" s="101" t="n">
        <v>2045</v>
      </c>
      <c r="R240" s="101" t="n">
        <v>2050</v>
      </c>
      <c r="S240" s="25" t="s">
        <v>15</v>
      </c>
      <c r="T240" s="13"/>
    </row>
    <row r="241" customFormat="false" ht="11.25" hidden="false" customHeight="false" outlineLevel="0" collapsed="false">
      <c r="A241" s="11" t="str">
        <f aca="false">A134</f>
        <v> PIB da China</v>
      </c>
      <c r="B241" s="102" t="n">
        <f aca="false">B134</f>
        <v>0.350138909154981</v>
      </c>
      <c r="C241" s="102" t="n">
        <f aca="false">C134</f>
        <v>0.472675001521954</v>
      </c>
      <c r="D241" s="102" t="n">
        <f aca="false">D134</f>
        <v>0.704163904365608</v>
      </c>
      <c r="E241" s="102" t="n">
        <f aca="false">E134</f>
        <v>1.13855925942422</v>
      </c>
      <c r="F241" s="102" t="n">
        <f aca="false">F134</f>
        <v>1.58628175908096</v>
      </c>
      <c r="G241" s="102" t="n">
        <f aca="false">G134</f>
        <v>2.76527281765351</v>
      </c>
      <c r="H241" s="102" t="n">
        <f aca="false">H134</f>
        <v>3.84926156238622</v>
      </c>
      <c r="I241" s="102" t="n">
        <f aca="false">I134</f>
        <v>6.39184640425745</v>
      </c>
      <c r="J241" s="102" t="n">
        <f aca="false">J134</f>
        <v>9.5606351547878</v>
      </c>
      <c r="K241" s="32" t="n">
        <f aca="false">K134</f>
        <v>13.9798310620007</v>
      </c>
      <c r="L241" s="32" t="n">
        <f aca="false">L134</f>
        <v>19.0895097582144</v>
      </c>
      <c r="M241" s="32" t="n">
        <f aca="false">M134</f>
        <v>25.0946526728898</v>
      </c>
      <c r="N241" s="32" t="n">
        <f aca="false">N134</f>
        <v>30.893971112624</v>
      </c>
      <c r="O241" s="32" t="n">
        <f aca="false">O134</f>
        <v>35.0833034818626</v>
      </c>
      <c r="P241" s="32" t="n">
        <f aca="false">P134</f>
        <v>37.8052708453959</v>
      </c>
      <c r="Q241" s="32" t="n">
        <f aca="false">Q134</f>
        <v>39.9157662132887</v>
      </c>
      <c r="R241" s="32" t="n">
        <f aca="false">R134</f>
        <v>39.5747260805191</v>
      </c>
      <c r="S241" s="28" t="s">
        <v>53</v>
      </c>
      <c r="T241" s="13"/>
      <c r="U241" s="103" t="s">
        <v>82</v>
      </c>
    </row>
    <row r="242" customFormat="false" ht="11.25" hidden="false" customHeight="false" outlineLevel="0" collapsed="false">
      <c r="A242" s="11" t="s">
        <v>83</v>
      </c>
      <c r="B242" s="62" t="n">
        <v>32.085</v>
      </c>
      <c r="C242" s="62" t="n">
        <v>72.92</v>
      </c>
      <c r="D242" s="62" t="n">
        <v>91.85</v>
      </c>
      <c r="E242" s="62" t="n">
        <v>94.979</v>
      </c>
      <c r="F242" s="62" t="n">
        <v>119.139</v>
      </c>
      <c r="G242" s="62" t="n">
        <v>169.7677</v>
      </c>
      <c r="H242" s="62" t="n">
        <v>233.93725</v>
      </c>
      <c r="I242" s="62" t="n">
        <v>341.67278863</v>
      </c>
      <c r="J242" s="62" t="n">
        <v>444.65380674551</v>
      </c>
      <c r="K242" s="27" t="n">
        <f aca="false">K$250*K253/100</f>
        <v>580.80737274548</v>
      </c>
      <c r="L242" s="27" t="n">
        <f aca="false">L$250*L253/100</f>
        <v>664.799854443488</v>
      </c>
      <c r="M242" s="27" t="n">
        <f aca="false">M$250*M253/100</f>
        <v>734.102352059475</v>
      </c>
      <c r="N242" s="27" t="n">
        <f aca="false">N$250*N253/100</f>
        <v>697.179939549277</v>
      </c>
      <c r="O242" s="27" t="n">
        <f aca="false">O$250*O253/100</f>
        <v>671.31259956456</v>
      </c>
      <c r="P242" s="27" t="n">
        <f aca="false">P$250*P253/100</f>
        <v>608.311069523859</v>
      </c>
      <c r="Q242" s="27" t="n">
        <f aca="false">Q$250*Q253/100</f>
        <v>534.690020095174</v>
      </c>
      <c r="R242" s="27" t="n">
        <f aca="false">R$250*R253/100</f>
        <v>386.54702252471</v>
      </c>
      <c r="S242" s="28" t="s">
        <v>84</v>
      </c>
      <c r="T242" s="13"/>
      <c r="U242" s="103" t="s">
        <v>85</v>
      </c>
    </row>
    <row r="243" customFormat="false" ht="11.25" hidden="false" customHeight="false" outlineLevel="0" collapsed="false">
      <c r="A243" s="11" t="s">
        <v>86</v>
      </c>
      <c r="B243" s="62" t="n">
        <v>2.583</v>
      </c>
      <c r="C243" s="62" t="n">
        <v>7.965</v>
      </c>
      <c r="D243" s="62" t="n">
        <v>12.843</v>
      </c>
      <c r="E243" s="62" t="n">
        <v>11.637</v>
      </c>
      <c r="F243" s="62" t="n">
        <v>13.725</v>
      </c>
      <c r="G243" s="62" t="n">
        <v>15.9669</v>
      </c>
      <c r="H243" s="62" t="n">
        <v>24.75135</v>
      </c>
      <c r="I243" s="62" t="n">
        <v>44.49633588</v>
      </c>
      <c r="J243" s="62" t="n">
        <v>101.5833690036</v>
      </c>
      <c r="K243" s="27" t="n">
        <f aca="false">K$250*K254/100</f>
        <v>204.990837439581</v>
      </c>
      <c r="L243" s="27" t="n">
        <f aca="false">L$250*L254/100</f>
        <v>398.879912666093</v>
      </c>
      <c r="M243" s="27" t="n">
        <f aca="false">M$250*M254/100</f>
        <v>550.576764044606</v>
      </c>
      <c r="N243" s="27" t="n">
        <f aca="false">N$250*N254/100</f>
        <v>697.179939549277</v>
      </c>
      <c r="O243" s="27" t="n">
        <f aca="false">O$250*O254/100</f>
        <v>793.369435849025</v>
      </c>
      <c r="P243" s="27" t="n">
        <f aca="false">P$250*P254/100</f>
        <v>821.219943857209</v>
      </c>
      <c r="Q243" s="27" t="n">
        <f aca="false">Q$250*Q254/100</f>
        <v>831.740031259159</v>
      </c>
      <c r="R243" s="27" t="n">
        <f aca="false">R$250*R254/100</f>
        <v>717.873041831605</v>
      </c>
      <c r="S243" s="28" t="s">
        <v>84</v>
      </c>
      <c r="T243" s="13"/>
    </row>
    <row r="244" customFormat="false" ht="11.25" hidden="false" customHeight="false" outlineLevel="0" collapsed="false">
      <c r="A244" s="11" t="s">
        <v>87</v>
      </c>
      <c r="B244" s="62" t="n">
        <v>162.900256</v>
      </c>
      <c r="C244" s="62" t="n">
        <v>225.24395055</v>
      </c>
      <c r="D244" s="62" t="n">
        <v>304.885273</v>
      </c>
      <c r="E244" s="62" t="n">
        <v>403.19539393</v>
      </c>
      <c r="F244" s="62" t="n">
        <v>530.80765383</v>
      </c>
      <c r="G244" s="62" t="n">
        <v>695.759150085</v>
      </c>
      <c r="H244" s="62" t="n">
        <v>740.82752557888</v>
      </c>
      <c r="I244" s="62" t="n">
        <v>1225.38021897433</v>
      </c>
      <c r="J244" s="62" t="n">
        <v>1719.8738549795</v>
      </c>
      <c r="K244" s="27" t="n">
        <f aca="false">K$250*K257/100</f>
        <v>2254.89921183539</v>
      </c>
      <c r="L244" s="27" t="n">
        <f aca="false">L$250*L257/100</f>
        <v>2747.83939836642</v>
      </c>
      <c r="M244" s="27" t="n">
        <f aca="false">M$250*M257/100</f>
        <v>3015.06323167284</v>
      </c>
      <c r="N244" s="27" t="n">
        <f aca="false">N$250*N257/100</f>
        <v>3195.40805626752</v>
      </c>
      <c r="O244" s="27" t="n">
        <f aca="false">O$250*O257/100</f>
        <v>3081.93511618275</v>
      </c>
      <c r="P244" s="27" t="n">
        <f aca="false">P$250*P257/100</f>
        <v>2871.22824815261</v>
      </c>
      <c r="Q244" s="27" t="n">
        <f aca="false">Q$250*Q257/100</f>
        <v>2548.689095787</v>
      </c>
      <c r="R244" s="27" t="n">
        <f aca="false">R$250*R257/100</f>
        <v>2203.31802839085</v>
      </c>
      <c r="S244" s="28" t="s">
        <v>84</v>
      </c>
      <c r="T244" s="13"/>
    </row>
    <row r="245" customFormat="false" ht="11.25" hidden="false" customHeight="false" outlineLevel="0" collapsed="false">
      <c r="A245" s="11" t="s">
        <v>88</v>
      </c>
      <c r="B245" s="62" t="n">
        <v>0</v>
      </c>
      <c r="C245" s="62" t="n">
        <v>0</v>
      </c>
      <c r="D245" s="62" t="n">
        <v>0</v>
      </c>
      <c r="E245" s="62" t="n">
        <v>0</v>
      </c>
      <c r="F245" s="62" t="n">
        <v>0</v>
      </c>
      <c r="G245" s="62" t="n">
        <v>2.904</v>
      </c>
      <c r="H245" s="62" t="n">
        <v>3.788</v>
      </c>
      <c r="I245" s="62" t="n">
        <v>12.0124903833099</v>
      </c>
      <c r="J245" s="62" t="n">
        <v>16.7172014300583</v>
      </c>
      <c r="K245" s="27" t="n">
        <f aca="false">K$250*K256/100</f>
        <v>34.1651395732635</v>
      </c>
      <c r="L245" s="27" t="n">
        <f aca="false">L$250*L256/100</f>
        <v>88.6399805924651</v>
      </c>
      <c r="M245" s="27" t="n">
        <f aca="false">M$250*M256/100</f>
        <v>157.307646869887</v>
      </c>
      <c r="N245" s="27" t="n">
        <f aca="false">N$250*N256/100</f>
        <v>174.294984887319</v>
      </c>
      <c r="O245" s="27" t="n">
        <f aca="false">O$250*O256/100</f>
        <v>213.599463497814</v>
      </c>
      <c r="P245" s="27" t="n">
        <f aca="false">P$250*P256/100</f>
        <v>200.742652942873</v>
      </c>
      <c r="Q245" s="27" t="n">
        <f aca="false">Q$250*Q256/100</f>
        <v>184.171006921671</v>
      </c>
      <c r="R245" s="27" t="n">
        <f aca="false">R$250*R256/100</f>
        <v>171.185109975229</v>
      </c>
      <c r="S245" s="28" t="s">
        <v>84</v>
      </c>
      <c r="T245" s="13"/>
    </row>
    <row r="246" customFormat="false" ht="11.25" hidden="false" customHeight="false" outlineLevel="0" collapsed="false">
      <c r="A246" s="11" t="s">
        <v>89</v>
      </c>
      <c r="B246" s="62" t="n">
        <v>5.439</v>
      </c>
      <c r="C246" s="62" t="n">
        <v>9.868</v>
      </c>
      <c r="D246" s="62" t="n">
        <v>13.174</v>
      </c>
      <c r="E246" s="62" t="n">
        <v>20.905</v>
      </c>
      <c r="F246" s="62" t="n">
        <v>28.679</v>
      </c>
      <c r="G246" s="62" t="n">
        <v>43.131</v>
      </c>
      <c r="H246" s="62" t="n">
        <v>50.336</v>
      </c>
      <c r="I246" s="62" t="n">
        <v>89.8350454812867</v>
      </c>
      <c r="J246" s="62" t="n">
        <v>163.148843734443</v>
      </c>
      <c r="S246" s="28" t="s">
        <v>84</v>
      </c>
      <c r="T246" s="13"/>
    </row>
    <row r="247" customFormat="false" ht="11.25" hidden="false" customHeight="false" outlineLevel="0" collapsed="false">
      <c r="A247" s="11" t="s">
        <v>90</v>
      </c>
      <c r="B247" s="47"/>
      <c r="C247" s="47"/>
      <c r="D247" s="47"/>
      <c r="E247" s="47"/>
      <c r="F247" s="62" t="n">
        <v>0.00091424266651672</v>
      </c>
      <c r="G247" s="62" t="n">
        <v>0.796733613048286</v>
      </c>
      <c r="H247" s="62" t="n">
        <v>0.736157818686289</v>
      </c>
      <c r="I247" s="62" t="n">
        <v>1.00085344552919</v>
      </c>
      <c r="J247" s="62" t="n">
        <v>12.1101171368604</v>
      </c>
      <c r="S247" s="28" t="s">
        <v>84</v>
      </c>
      <c r="T247" s="13"/>
    </row>
    <row r="248" customFormat="false" ht="11.25" hidden="false" customHeight="false" outlineLevel="0" collapsed="false">
      <c r="A248" s="11" t="s">
        <v>91</v>
      </c>
      <c r="B248" s="47"/>
      <c r="C248" s="47"/>
      <c r="D248" s="47"/>
      <c r="E248" s="47"/>
      <c r="F248" s="47"/>
      <c r="G248" s="47"/>
      <c r="H248" s="62" t="n">
        <v>0</v>
      </c>
      <c r="I248" s="62" t="n">
        <v>0.621760264941177</v>
      </c>
      <c r="J248" s="62" t="n">
        <v>1.39915384941176</v>
      </c>
      <c r="S248" s="28" t="s">
        <v>84</v>
      </c>
      <c r="T248" s="13"/>
    </row>
    <row r="249" customFormat="false" ht="11.25" hidden="false" customHeight="false" outlineLevel="0" collapsed="false">
      <c r="A249" s="11" t="s">
        <v>92</v>
      </c>
      <c r="B249" s="27" t="n">
        <f aca="false">B246+B247+B248</f>
        <v>5.439</v>
      </c>
      <c r="C249" s="27" t="n">
        <f aca="false">C246+C247+C248</f>
        <v>9.868</v>
      </c>
      <c r="D249" s="27" t="n">
        <f aca="false">D246+D247+D248</f>
        <v>13.174</v>
      </c>
      <c r="E249" s="27" t="n">
        <f aca="false">E246+E247+E248</f>
        <v>20.905</v>
      </c>
      <c r="F249" s="27" t="n">
        <f aca="false">F246+F247+F248</f>
        <v>28.6799142426665</v>
      </c>
      <c r="G249" s="27" t="n">
        <f aca="false">G246+G247+G248</f>
        <v>43.9277336130483</v>
      </c>
      <c r="H249" s="27" t="n">
        <f aca="false">H246+H247+H248</f>
        <v>51.0721578186863</v>
      </c>
      <c r="I249" s="27" t="n">
        <f aca="false">I246+I247+I248</f>
        <v>91.4576591917571</v>
      </c>
      <c r="J249" s="27" t="n">
        <f aca="false">J246+J247+J248</f>
        <v>176.658114720715</v>
      </c>
      <c r="K249" s="27" t="n">
        <f aca="false">K$250*K255/100</f>
        <v>341.651395732635</v>
      </c>
      <c r="L249" s="27" t="n">
        <f aca="false">L$250*L255/100</f>
        <v>531.839883554791</v>
      </c>
      <c r="M249" s="27" t="n">
        <f aca="false">M$250*M255/100</f>
        <v>786.538234349437</v>
      </c>
      <c r="N249" s="27" t="n">
        <f aca="false">N$250*N255/100</f>
        <v>1045.76990932392</v>
      </c>
      <c r="O249" s="27" t="n">
        <f aca="false">O$250*O255/100</f>
        <v>1342.62519912912</v>
      </c>
      <c r="P249" s="27" t="n">
        <f aca="false">P$250*P255/100</f>
        <v>1581.60878076203</v>
      </c>
      <c r="Q249" s="27" t="n">
        <f aca="false">Q$250*Q255/100</f>
        <v>1841.71006921671</v>
      </c>
      <c r="R249" s="27" t="n">
        <f aca="false">R$250*R255/100</f>
        <v>2043.17711905918</v>
      </c>
      <c r="S249" s="28" t="s">
        <v>84</v>
      </c>
      <c r="T249" s="13"/>
    </row>
    <row r="250" customFormat="false" ht="11.25" hidden="false" customHeight="false" outlineLevel="0" collapsed="false">
      <c r="A250" s="11" t="s">
        <v>93</v>
      </c>
      <c r="B250" s="27" t="n">
        <f aca="false">SUM(B242:B245)+B249</f>
        <v>203.007256</v>
      </c>
      <c r="C250" s="27" t="n">
        <f aca="false">SUM(C242:C245)+C249</f>
        <v>315.99695055</v>
      </c>
      <c r="D250" s="27" t="n">
        <f aca="false">SUM(D242:D245)+D249</f>
        <v>422.752273</v>
      </c>
      <c r="E250" s="27" t="n">
        <f aca="false">SUM(E242:E245)+E249</f>
        <v>530.71639393</v>
      </c>
      <c r="F250" s="27" t="n">
        <f aca="false">SUM(F242:F245)+F249</f>
        <v>692.351568072667</v>
      </c>
      <c r="G250" s="27" t="n">
        <f aca="false">SUM(G242:G245)+G249</f>
        <v>928.325483698048</v>
      </c>
      <c r="H250" s="27" t="n">
        <f aca="false">SUM(H242:H245)+H249</f>
        <v>1054.37628339757</v>
      </c>
      <c r="I250" s="27" t="n">
        <f aca="false">SUM(I242:I245)+I249</f>
        <v>1715.01949305939</v>
      </c>
      <c r="J250" s="27" t="n">
        <f aca="false">SUM(J242:J245)+J249</f>
        <v>2459.48634687938</v>
      </c>
      <c r="K250" s="27" t="n">
        <f aca="false">K241*K251</f>
        <v>3416.51395732635</v>
      </c>
      <c r="L250" s="27" t="n">
        <f aca="false">L241*L251</f>
        <v>4431.99902962325</v>
      </c>
      <c r="M250" s="27" t="n">
        <f aca="false">M241*M251</f>
        <v>5243.58822899625</v>
      </c>
      <c r="N250" s="27" t="n">
        <f aca="false">N241*N251</f>
        <v>5809.83282957731</v>
      </c>
      <c r="O250" s="27" t="n">
        <f aca="false">O241*O251</f>
        <v>6102.84181422327</v>
      </c>
      <c r="P250" s="27" t="n">
        <f aca="false">P241*P251</f>
        <v>6083.11069523859</v>
      </c>
      <c r="Q250" s="27" t="n">
        <f aca="false">Q241*Q251</f>
        <v>5941.00022327971</v>
      </c>
      <c r="R250" s="27" t="n">
        <f aca="false">R241*R251</f>
        <v>5522.10032178158</v>
      </c>
      <c r="S250" s="28" t="s">
        <v>84</v>
      </c>
      <c r="T250" s="13"/>
    </row>
    <row r="251" customFormat="false" ht="11.25" hidden="false" customHeight="false" outlineLevel="0" collapsed="false">
      <c r="A251" s="46" t="s">
        <v>94</v>
      </c>
      <c r="B251" s="27" t="n">
        <f aca="false">B250/B241</f>
        <v>579.79062221315</v>
      </c>
      <c r="C251" s="27" t="n">
        <f aca="false">C250/C241</f>
        <v>668.529009430432</v>
      </c>
      <c r="D251" s="27" t="n">
        <f aca="false">D250/D241</f>
        <v>600.360612606044</v>
      </c>
      <c r="E251" s="27" t="n">
        <f aca="false">E250/E241</f>
        <v>466.129794770969</v>
      </c>
      <c r="F251" s="27" t="n">
        <f aca="false">F250/F241</f>
        <v>436.461911075489</v>
      </c>
      <c r="G251" s="27" t="n">
        <f aca="false">G250/G241</f>
        <v>335.708461664837</v>
      </c>
      <c r="H251" s="27" t="n">
        <f aca="false">H250/H241</f>
        <v>273.91650744148</v>
      </c>
      <c r="I251" s="27" t="n">
        <f aca="false">I250/I241</f>
        <v>268.31362717306</v>
      </c>
      <c r="J251" s="27" t="n">
        <f aca="false">J250/J241</f>
        <v>257.251354858752</v>
      </c>
      <c r="K251" s="27" t="n">
        <f aca="false">J251*(1+K252/100*5)</f>
        <v>244.388787115815</v>
      </c>
      <c r="L251" s="27" t="n">
        <f aca="false">K251*(1+L252/100*5)</f>
        <v>232.169347760024</v>
      </c>
      <c r="M251" s="27" t="n">
        <f aca="false">L251*(1+M252/100*5)</f>
        <v>208.952412984022</v>
      </c>
      <c r="N251" s="27" t="n">
        <f aca="false">M251*(1+N252/100*5)</f>
        <v>188.057171685619</v>
      </c>
      <c r="O251" s="27" t="n">
        <f aca="false">N251*(1+O252/100*5)</f>
        <v>173.952883809198</v>
      </c>
      <c r="P251" s="27" t="n">
        <f aca="false">O251*(1+P252/100*5)</f>
        <v>160.906417523508</v>
      </c>
      <c r="Q251" s="27" t="n">
        <f aca="false">P251*(1+Q252/100*5)</f>
        <v>148.838436209245</v>
      </c>
      <c r="R251" s="27" t="n">
        <f aca="false">Q251*(1+R252/100*5)</f>
        <v>139.536033946167</v>
      </c>
      <c r="S251" s="28" t="s">
        <v>95</v>
      </c>
      <c r="T251" s="13"/>
    </row>
    <row r="252" customFormat="false" ht="11.25" hidden="false" customHeight="false" outlineLevel="0" collapsed="false">
      <c r="A252" s="46" t="s">
        <v>96</v>
      </c>
      <c r="B252" s="27"/>
      <c r="C252" s="75" t="n">
        <f aca="false">(C251-B251)/B251*100/5</f>
        <v>3.06104941396096</v>
      </c>
      <c r="D252" s="75" t="n">
        <f aca="false">(D251-C251)/C251*100/5</f>
        <v>-2.03935493786471</v>
      </c>
      <c r="E252" s="75" t="n">
        <f aca="false">(E251-D251)/D251*100/5</f>
        <v>-4.47167302506426</v>
      </c>
      <c r="F252" s="75" t="n">
        <f aca="false">(F251-E251)/E251*100/5</f>
        <v>-1.27294517657069</v>
      </c>
      <c r="G252" s="75" t="n">
        <f aca="false">(G251-F251)/F251*100/5</f>
        <v>-4.61682666248631</v>
      </c>
      <c r="H252" s="75" t="n">
        <f aca="false">(H251-G251)/G251*100/5</f>
        <v>-3.68128666861242</v>
      </c>
      <c r="I252" s="75" t="n">
        <f aca="false">(I251-H251)/H251*100/5</f>
        <v>-0.409094020711188</v>
      </c>
      <c r="J252" s="75" t="n">
        <f aca="false">(J251-I251)/I251*100/5</f>
        <v>-0.824577747381591</v>
      </c>
      <c r="K252" s="78" t="n">
        <v>-1</v>
      </c>
      <c r="L252" s="78" t="n">
        <v>-1</v>
      </c>
      <c r="M252" s="78" t="n">
        <v>-2</v>
      </c>
      <c r="N252" s="78" t="n">
        <v>-2</v>
      </c>
      <c r="O252" s="78" t="n">
        <v>-1.5</v>
      </c>
      <c r="P252" s="78" t="n">
        <v>-1.5</v>
      </c>
      <c r="Q252" s="78" t="n">
        <v>-1.5</v>
      </c>
      <c r="R252" s="78" t="n">
        <v>-1.25</v>
      </c>
      <c r="S252" s="28" t="s">
        <v>25</v>
      </c>
      <c r="T252" s="13"/>
    </row>
    <row r="253" customFormat="false" ht="15" hidden="false" customHeight="false" outlineLevel="0" collapsed="false">
      <c r="A253" s="46" t="s">
        <v>97</v>
      </c>
      <c r="B253" s="65" t="n">
        <f aca="false">B242/B$250*100</f>
        <v>15.8048537930093</v>
      </c>
      <c r="C253" s="65" t="n">
        <f aca="false">C242/C$250*100</f>
        <v>23.0761720558002</v>
      </c>
      <c r="D253" s="65" t="n">
        <f aca="false">D242/D$250*100</f>
        <v>21.7266720645166</v>
      </c>
      <c r="E253" s="65" t="n">
        <f aca="false">E242/E$250*100</f>
        <v>17.8963757453717</v>
      </c>
      <c r="F253" s="65" t="n">
        <f aca="false">F242/F$250*100</f>
        <v>17.2078760985049</v>
      </c>
      <c r="G253" s="65" t="n">
        <f aca="false">G242/G$250*100</f>
        <v>18.2875190847631</v>
      </c>
      <c r="H253" s="65" t="n">
        <f aca="false">H242/H$250*100</f>
        <v>22.1872640426028</v>
      </c>
      <c r="I253" s="65" t="n">
        <f aca="false">I242/I$250*100</f>
        <v>19.9223851398036</v>
      </c>
      <c r="J253" s="65" t="n">
        <f aca="false">J242/J$250*100</f>
        <v>18.0791329583793</v>
      </c>
      <c r="K253" s="104" t="n">
        <v>17</v>
      </c>
      <c r="L253" s="104" t="n">
        <v>15</v>
      </c>
      <c r="M253" s="104" t="n">
        <v>14</v>
      </c>
      <c r="N253" s="104" t="n">
        <v>12</v>
      </c>
      <c r="O253" s="104" t="n">
        <v>11</v>
      </c>
      <c r="P253" s="104" t="n">
        <v>10</v>
      </c>
      <c r="Q253" s="104" t="n">
        <v>9</v>
      </c>
      <c r="R253" s="104" t="n">
        <v>7</v>
      </c>
      <c r="S253" s="28" t="s">
        <v>44</v>
      </c>
      <c r="T253" s="13"/>
      <c r="Y253" s="105"/>
      <c r="Z253" s="105"/>
    </row>
    <row r="254" customFormat="false" ht="11.25" hidden="false" customHeight="false" outlineLevel="0" collapsed="false">
      <c r="A254" s="46" t="s">
        <v>98</v>
      </c>
      <c r="B254" s="65" t="n">
        <f aca="false">B243/B$250*100</f>
        <v>1.27236831377101</v>
      </c>
      <c r="C254" s="65" t="n">
        <f aca="false">C243/C$250*100</f>
        <v>2.52059394438356</v>
      </c>
      <c r="D254" s="65" t="n">
        <f aca="false">D243/D$250*100</f>
        <v>3.03794936662588</v>
      </c>
      <c r="E254" s="65" t="n">
        <f aca="false">E243/E$250*100</f>
        <v>2.19269653869688</v>
      </c>
      <c r="F254" s="65" t="n">
        <f aca="false">F243/F$250*100</f>
        <v>1.98237436483418</v>
      </c>
      <c r="G254" s="65" t="n">
        <f aca="false">G243/G$250*100</f>
        <v>1.7199678647617</v>
      </c>
      <c r="H254" s="65" t="n">
        <f aca="false">H243/H$250*100</f>
        <v>2.34748736193521</v>
      </c>
      <c r="I254" s="65" t="n">
        <f aca="false">I243/I$250*100</f>
        <v>2.59450904552833</v>
      </c>
      <c r="J254" s="65" t="n">
        <f aca="false">J243/J$250*100</f>
        <v>4.130267652532</v>
      </c>
      <c r="K254" s="104" t="n">
        <v>6</v>
      </c>
      <c r="L254" s="104" t="n">
        <v>9</v>
      </c>
      <c r="M254" s="104" t="n">
        <v>10.5</v>
      </c>
      <c r="N254" s="104" t="n">
        <v>12</v>
      </c>
      <c r="O254" s="104" t="n">
        <v>13</v>
      </c>
      <c r="P254" s="104" t="n">
        <v>13.5</v>
      </c>
      <c r="Q254" s="104" t="n">
        <v>14</v>
      </c>
      <c r="R254" s="104" t="n">
        <v>13</v>
      </c>
      <c r="S254" s="28" t="s">
        <v>44</v>
      </c>
      <c r="T254" s="13"/>
    </row>
    <row r="255" customFormat="false" ht="11.25" hidden="false" customHeight="false" outlineLevel="0" collapsed="false">
      <c r="A255" s="46" t="s">
        <v>99</v>
      </c>
      <c r="B255" s="65" t="n">
        <f aca="false">B249/B$250*100</f>
        <v>2.679214579404</v>
      </c>
      <c r="C255" s="65" t="n">
        <f aca="false">C249/C$250*100</f>
        <v>3.12281494578493</v>
      </c>
      <c r="D255" s="65" t="n">
        <f aca="false">D249/D$250*100</f>
        <v>3.11624581140927</v>
      </c>
      <c r="E255" s="65" t="n">
        <f aca="false">E249/E$250*100</f>
        <v>3.9390153081944</v>
      </c>
      <c r="F255" s="65" t="n">
        <f aca="false">F249/F$250*100</f>
        <v>4.14239175084188</v>
      </c>
      <c r="G255" s="65" t="n">
        <f aca="false">G249/G$250*100</f>
        <v>4.73193232163133</v>
      </c>
      <c r="H255" s="65" t="n">
        <f aca="false">H249/H$250*100</f>
        <v>4.84382649940817</v>
      </c>
      <c r="I255" s="65" t="n">
        <f aca="false">I249/I$250*100</f>
        <v>5.3327475029807</v>
      </c>
      <c r="J255" s="65" t="n">
        <f aca="false">J249/J$250*100</f>
        <v>7.18272394334942</v>
      </c>
      <c r="K255" s="104" t="n">
        <v>10</v>
      </c>
      <c r="L255" s="104" t="n">
        <v>12</v>
      </c>
      <c r="M255" s="104" t="n">
        <v>15</v>
      </c>
      <c r="N255" s="104" t="n">
        <v>18</v>
      </c>
      <c r="O255" s="104" t="n">
        <v>22</v>
      </c>
      <c r="P255" s="104" t="n">
        <v>26</v>
      </c>
      <c r="Q255" s="104" t="n">
        <v>31</v>
      </c>
      <c r="R255" s="104" t="n">
        <v>37</v>
      </c>
      <c r="S255" s="28" t="s">
        <v>44</v>
      </c>
      <c r="T255" s="13"/>
    </row>
    <row r="256" customFormat="false" ht="11.25" hidden="false" customHeight="false" outlineLevel="0" collapsed="false">
      <c r="A256" s="46" t="s">
        <v>100</v>
      </c>
      <c r="B256" s="65" t="n">
        <f aca="false">B245/B$250*100</f>
        <v>0</v>
      </c>
      <c r="C256" s="65" t="n">
        <f aca="false">C245/C$250*100</f>
        <v>0</v>
      </c>
      <c r="D256" s="65" t="n">
        <f aca="false">D245/D$250*100</f>
        <v>0</v>
      </c>
      <c r="E256" s="65" t="n">
        <f aca="false">E245/E$250*100</f>
        <v>0</v>
      </c>
      <c r="F256" s="65" t="n">
        <f aca="false">F245/F$250*100</f>
        <v>0</v>
      </c>
      <c r="G256" s="65" t="n">
        <f aca="false">G245/G$250*100</f>
        <v>0.312821316552866</v>
      </c>
      <c r="H256" s="65" t="n">
        <f aca="false">H245/H$250*100</f>
        <v>0.359264530096765</v>
      </c>
      <c r="I256" s="65" t="n">
        <f aca="false">I245/I$250*100</f>
        <v>0.70042879581975</v>
      </c>
      <c r="J256" s="65" t="n">
        <f aca="false">J245/J$250*100</f>
        <v>0.679702957134495</v>
      </c>
      <c r="K256" s="104" t="n">
        <v>1</v>
      </c>
      <c r="L256" s="104" t="n">
        <v>2</v>
      </c>
      <c r="M256" s="104" t="n">
        <v>3</v>
      </c>
      <c r="N256" s="104" t="n">
        <v>3</v>
      </c>
      <c r="O256" s="104" t="n">
        <v>3.5</v>
      </c>
      <c r="P256" s="104" t="n">
        <v>3.3</v>
      </c>
      <c r="Q256" s="104" t="n">
        <v>3.1</v>
      </c>
      <c r="R256" s="104" t="n">
        <v>3.1</v>
      </c>
      <c r="S256" s="28" t="s">
        <v>44</v>
      </c>
      <c r="T256" s="13"/>
    </row>
    <row r="257" customFormat="false" ht="11.25" hidden="false" customHeight="false" outlineLevel="0" collapsed="false">
      <c r="A257" s="46" t="s">
        <v>101</v>
      </c>
      <c r="B257" s="65" t="n">
        <f aca="false">B244/B$250*100</f>
        <v>80.2435633138157</v>
      </c>
      <c r="C257" s="65" t="n">
        <f aca="false">C244/C$250*100</f>
        <v>71.2804190540313</v>
      </c>
      <c r="D257" s="65" t="n">
        <f aca="false">D244/D$250*100</f>
        <v>72.1191327574482</v>
      </c>
      <c r="E257" s="65" t="n">
        <f aca="false">E244/E$250*100</f>
        <v>75.971912407737</v>
      </c>
      <c r="F257" s="65" t="n">
        <f aca="false">F244/F$250*100</f>
        <v>76.6673577858191</v>
      </c>
      <c r="G257" s="65" t="n">
        <f aca="false">G244/G$250*100</f>
        <v>74.947759412291</v>
      </c>
      <c r="H257" s="65" t="n">
        <f aca="false">H244/H$250*100</f>
        <v>70.2621575659571</v>
      </c>
      <c r="I257" s="65" t="n">
        <f aca="false">I244/I$250*100</f>
        <v>71.4499295158676</v>
      </c>
      <c r="J257" s="65" t="n">
        <f aca="false">J244/J$250*100</f>
        <v>69.9281724886047</v>
      </c>
      <c r="K257" s="106" t="n">
        <f aca="false">100-SUM(K253:K256)</f>
        <v>66</v>
      </c>
      <c r="L257" s="106" t="n">
        <f aca="false">100-SUM(L253:L256)</f>
        <v>62</v>
      </c>
      <c r="M257" s="106" t="n">
        <f aca="false">100-SUM(M253:M256)</f>
        <v>57.5</v>
      </c>
      <c r="N257" s="106" t="n">
        <f aca="false">100-SUM(N253:N256)</f>
        <v>55</v>
      </c>
      <c r="O257" s="106" t="n">
        <f aca="false">100-SUM(O253:O256)</f>
        <v>50.5</v>
      </c>
      <c r="P257" s="106" t="n">
        <f aca="false">100-SUM(P253:P256)</f>
        <v>47.2</v>
      </c>
      <c r="Q257" s="106" t="n">
        <f aca="false">100-SUM(Q253:Q256)</f>
        <v>42.9</v>
      </c>
      <c r="R257" s="106" t="n">
        <f aca="false">100-SUM(R253:R256)</f>
        <v>39.9</v>
      </c>
      <c r="S257" s="28" t="s">
        <v>44</v>
      </c>
      <c r="T257" s="13"/>
    </row>
    <row r="258" customFormat="false" ht="11.25" hidden="false" customHeight="false" outlineLevel="0" collapsed="false"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T258" s="13"/>
    </row>
    <row r="259" customFormat="false" ht="12.65" hidden="false" customHeight="false" outlineLevel="0" collapsed="false">
      <c r="A259" s="23" t="s">
        <v>7</v>
      </c>
      <c r="B259" s="109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41"/>
      <c r="T259" s="13"/>
      <c r="U259" s="41"/>
      <c r="V259" s="41"/>
    </row>
    <row r="260" customFormat="false" ht="11.25" hidden="false" customHeight="false" outlineLevel="0" collapsed="false">
      <c r="A260" s="63"/>
      <c r="B260" s="101" t="n">
        <v>1970</v>
      </c>
      <c r="C260" s="101" t="n">
        <v>1975</v>
      </c>
      <c r="D260" s="101" t="n">
        <v>1980</v>
      </c>
      <c r="E260" s="101" t="n">
        <v>1985</v>
      </c>
      <c r="F260" s="101" t="n">
        <v>1990</v>
      </c>
      <c r="G260" s="101" t="n">
        <v>1995</v>
      </c>
      <c r="H260" s="101" t="n">
        <v>2000</v>
      </c>
      <c r="I260" s="101" t="n">
        <v>2005</v>
      </c>
      <c r="J260" s="101" t="n">
        <v>2010</v>
      </c>
      <c r="K260" s="101" t="n">
        <v>2015</v>
      </c>
      <c r="L260" s="101" t="n">
        <v>2020</v>
      </c>
      <c r="M260" s="101" t="n">
        <v>2025</v>
      </c>
      <c r="N260" s="101" t="n">
        <v>2030</v>
      </c>
      <c r="O260" s="101" t="n">
        <v>2035</v>
      </c>
      <c r="P260" s="101" t="n">
        <v>2040</v>
      </c>
      <c r="Q260" s="101" t="n">
        <v>2045</v>
      </c>
      <c r="R260" s="101" t="n">
        <v>2050</v>
      </c>
      <c r="S260" s="25" t="s">
        <v>15</v>
      </c>
      <c r="T260" s="13"/>
      <c r="U260" s="41"/>
      <c r="V260" s="41"/>
    </row>
    <row r="261" s="3" customFormat="true" ht="11.25" hidden="false" customHeight="false" outlineLevel="0" collapsed="false">
      <c r="B261" s="47"/>
      <c r="C261" s="47"/>
      <c r="D261" s="47"/>
      <c r="E261" s="47"/>
      <c r="F261" s="47"/>
      <c r="G261" s="47"/>
      <c r="H261" s="47"/>
      <c r="I261" s="47"/>
      <c r="K261" s="84" t="n">
        <f aca="false">K$266*K269/100</f>
        <v>580.80737274548</v>
      </c>
      <c r="L261" s="84" t="n">
        <f aca="false">L$266*L269/100</f>
        <v>630.430232536299</v>
      </c>
      <c r="M261" s="84" t="n">
        <f aca="false">M$266*M269/100</f>
        <v>689.140186561428</v>
      </c>
      <c r="N261" s="84" t="n">
        <f aca="false">N$266*N269/100</f>
        <v>648.859795756309</v>
      </c>
      <c r="O261" s="84" t="n">
        <f aca="false">O$266*O269/100</f>
        <v>620.051306063941</v>
      </c>
      <c r="P261" s="84" t="n">
        <f aca="false">P$266*P269/100</f>
        <v>558.580832294354</v>
      </c>
      <c r="Q261" s="84" t="n">
        <f aca="false">Q$266*Q269/100</f>
        <v>489.042501536943</v>
      </c>
      <c r="R261" s="84" t="n">
        <f aca="false">R$266*R269/100</f>
        <v>352.78320610249</v>
      </c>
      <c r="S261" s="28" t="s">
        <v>84</v>
      </c>
      <c r="T261" s="13"/>
      <c r="U261" s="111" t="str">
        <f aca="false">CONCATENATE(A242," Your forecast")</f>
        <v> Uso de petróleo: sua previsão</v>
      </c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84" t="n">
        <f aca="false">K$266*K270/100</f>
        <v>204.990837439581</v>
      </c>
      <c r="L262" s="84" t="n">
        <f aca="false">L$266*L270/100</f>
        <v>378.25813952178</v>
      </c>
      <c r="M262" s="84" t="n">
        <f aca="false">M$266*M270/100</f>
        <v>516.855139921071</v>
      </c>
      <c r="N262" s="84" t="n">
        <f aca="false">N$266*N270/100</f>
        <v>648.859795756309</v>
      </c>
      <c r="O262" s="84" t="n">
        <f aca="false">O$266*O270/100</f>
        <v>732.787907166476</v>
      </c>
      <c r="P262" s="84" t="n">
        <f aca="false">P$266*P270/100</f>
        <v>754.084123597378</v>
      </c>
      <c r="Q262" s="84" t="n">
        <f aca="false">Q$266*Q270/100</f>
        <v>760.732780168578</v>
      </c>
      <c r="R262" s="84" t="n">
        <f aca="false">R$266*R270/100</f>
        <v>655.168811333196</v>
      </c>
      <c r="S262" s="28" t="s">
        <v>84</v>
      </c>
      <c r="T262" s="13"/>
      <c r="U262" s="111" t="str">
        <f aca="false">CONCATENATE(A243," Your forecast")</f>
        <v> Consumo de gás: Sua previsão</v>
      </c>
      <c r="Z262" s="113"/>
      <c r="AA262" s="114" t="s">
        <v>36</v>
      </c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6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47"/>
      <c r="H263" s="47"/>
      <c r="I263" s="47"/>
      <c r="K263" s="84" t="n">
        <f aca="false">K$266*K273/100</f>
        <v>2254.89921183539</v>
      </c>
      <c r="L263" s="84" t="n">
        <f aca="false">L$266*L273/100</f>
        <v>2691.55111523661</v>
      </c>
      <c r="M263" s="84" t="n">
        <f aca="false">M$266*M273/100</f>
        <v>2930.85494794893</v>
      </c>
      <c r="N263" s="84" t="n">
        <f aca="false">N$266*N273/100</f>
        <v>3084.29103595048</v>
      </c>
      <c r="O263" s="84" t="n">
        <f aca="false">O$266*O273/100</f>
        <v>2961.63652590282</v>
      </c>
      <c r="P263" s="84" t="n">
        <f aca="false">P$266*P273/100</f>
        <v>2750.49761665269</v>
      </c>
      <c r="Q263" s="84" t="n">
        <f aca="false">Q$266*Q273/100</f>
        <v>2441.99658193765</v>
      </c>
      <c r="R263" s="84" t="n">
        <f aca="false">R$266*R273/100</f>
        <v>2113.7165214613</v>
      </c>
      <c r="S263" s="28" t="s">
        <v>84</v>
      </c>
      <c r="T263" s="13"/>
      <c r="U263" s="111" t="str">
        <f aca="false">CONCATENATE(A244," Your forecast")</f>
        <v> Uso de carvão: Sua previsão</v>
      </c>
      <c r="Z263" s="113"/>
      <c r="AA263" s="117"/>
      <c r="AB263" s="118" t="n">
        <v>1970</v>
      </c>
      <c r="AC263" s="118" t="n">
        <v>1975</v>
      </c>
      <c r="AD263" s="118" t="n">
        <v>1980</v>
      </c>
      <c r="AE263" s="118" t="n">
        <v>1985</v>
      </c>
      <c r="AF263" s="118" t="n">
        <v>1990</v>
      </c>
      <c r="AG263" s="118" t="n">
        <v>1995</v>
      </c>
      <c r="AH263" s="118" t="n">
        <v>2000</v>
      </c>
      <c r="AI263" s="118" t="n">
        <v>2005</v>
      </c>
      <c r="AJ263" s="118" t="n">
        <v>2010</v>
      </c>
      <c r="AK263" s="118" t="n">
        <v>2015</v>
      </c>
      <c r="AL263" s="118" t="n">
        <v>2020</v>
      </c>
      <c r="AM263" s="118" t="n">
        <v>2025</v>
      </c>
      <c r="AN263" s="118" t="n">
        <v>2030</v>
      </c>
      <c r="AO263" s="118" t="n">
        <v>2035</v>
      </c>
      <c r="AP263" s="118" t="n">
        <v>2040</v>
      </c>
      <c r="AQ263" s="118" t="n">
        <v>2045</v>
      </c>
      <c r="AR263" s="119" t="n">
        <v>2050</v>
      </c>
      <c r="AS263" s="11"/>
    </row>
    <row r="264" s="3" customFormat="true" ht="11.25" hidden="false" customHeight="false" outlineLevel="0" collapsed="false">
      <c r="B264" s="47"/>
      <c r="C264" s="47"/>
      <c r="D264" s="47"/>
      <c r="E264" s="47"/>
      <c r="F264" s="47"/>
      <c r="G264" s="47"/>
      <c r="H264" s="47"/>
      <c r="I264" s="47"/>
      <c r="K264" s="84" t="n">
        <f aca="false">K$266*K272/100</f>
        <v>34.1651395732635</v>
      </c>
      <c r="L264" s="84" t="n">
        <f aca="false">L$266*L272/100</f>
        <v>84.0573643381732</v>
      </c>
      <c r="M264" s="84" t="n">
        <f aca="false">M$266*M272/100</f>
        <v>147.672897120306</v>
      </c>
      <c r="N264" s="84" t="n">
        <f aca="false">N$266*N272/100</f>
        <v>162.214948939077</v>
      </c>
      <c r="O264" s="84" t="n">
        <f aca="false">O$266*O272/100</f>
        <v>197.289051929436</v>
      </c>
      <c r="P264" s="84" t="n">
        <f aca="false">P$266*P272/100</f>
        <v>184.331674657137</v>
      </c>
      <c r="Q264" s="84" t="n">
        <f aca="false">Q$266*Q272/100</f>
        <v>168.447972751614</v>
      </c>
      <c r="R264" s="84" t="n">
        <f aca="false">R$266*R272/100</f>
        <v>156.232562702531</v>
      </c>
      <c r="S264" s="28" t="s">
        <v>84</v>
      </c>
      <c r="T264" s="13"/>
      <c r="U264" s="111" t="str">
        <f aca="false">CONCATENATE(A245," Your forecast")</f>
        <v> Uso de energia nuclear: Sua previsão</v>
      </c>
      <c r="Z264" s="113"/>
      <c r="AA264" s="117" t="str">
        <f aca="false">CONCATENATE(A250," (0 - ",W277," Mtoe / yr)")</f>
        <v> Consumo de energia (0 - 6500 Mtoe / ano)</v>
      </c>
      <c r="AB264" s="120" t="n">
        <f aca="false">B250/$W277</f>
        <v>0.0312318855384615</v>
      </c>
      <c r="AC264" s="120" t="n">
        <f aca="false">C250/$W277</f>
        <v>0.0486149154692308</v>
      </c>
      <c r="AD264" s="120" t="n">
        <f aca="false">D250/$W277</f>
        <v>0.0650388112307692</v>
      </c>
      <c r="AE264" s="120" t="n">
        <f aca="false">E250/$W277</f>
        <v>0.0816486759892308</v>
      </c>
      <c r="AF264" s="120" t="n">
        <f aca="false">F250/$W277</f>
        <v>0.106515625857333</v>
      </c>
      <c r="AG264" s="120" t="n">
        <f aca="false">G250/$W277</f>
        <v>0.142819305184315</v>
      </c>
      <c r="AH264" s="120" t="n">
        <f aca="false">H250/$W277</f>
        <v>0.162211735907318</v>
      </c>
      <c r="AI264" s="120" t="n">
        <f aca="false">I250/$W277</f>
        <v>0.263849152778368</v>
      </c>
      <c r="AJ264" s="120" t="n">
        <f aca="false">J250/$W277</f>
        <v>0.37838251490452</v>
      </c>
      <c r="AK264" s="120" t="n">
        <f aca="false">K250/$W277</f>
        <v>0.525617531896362</v>
      </c>
      <c r="AL264" s="120" t="n">
        <f aca="false">L250/$W277</f>
        <v>0.681846004557424</v>
      </c>
      <c r="AM264" s="120" t="n">
        <f aca="false">M250/$W277</f>
        <v>0.806705881384038</v>
      </c>
      <c r="AN264" s="120" t="n">
        <f aca="false">N250/$W277</f>
        <v>0.893820435319586</v>
      </c>
      <c r="AO264" s="120" t="n">
        <f aca="false">O250/$W277</f>
        <v>0.938898740649734</v>
      </c>
      <c r="AP264" s="120" t="n">
        <f aca="false">P250/$W277</f>
        <v>0.93586318388286</v>
      </c>
      <c r="AQ264" s="120" t="n">
        <f aca="false">Q250/$W277</f>
        <v>0.914000034350724</v>
      </c>
      <c r="AR264" s="120" t="n">
        <f aca="false">R250/$W277</f>
        <v>0.849553895658704</v>
      </c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G265" s="47"/>
      <c r="H265" s="47"/>
      <c r="I265" s="47"/>
      <c r="K265" s="84" t="n">
        <f aca="false">K$266*K271/100</f>
        <v>341.651395732635</v>
      </c>
      <c r="L265" s="84" t="n">
        <f aca="false">L$266*L271/100</f>
        <v>504.344186029039</v>
      </c>
      <c r="M265" s="84" t="n">
        <f aca="false">M$266*M271/100</f>
        <v>738.36448560153</v>
      </c>
      <c r="N265" s="84" t="n">
        <f aca="false">N$266*N271/100</f>
        <v>973.289693634464</v>
      </c>
      <c r="O265" s="84" t="n">
        <f aca="false">O$266*O271/100</f>
        <v>1240.10261212788</v>
      </c>
      <c r="P265" s="84" t="n">
        <f aca="false">P$266*P271/100</f>
        <v>1452.31016396532</v>
      </c>
      <c r="Q265" s="84" t="n">
        <f aca="false">Q$266*Q271/100</f>
        <v>1684.47972751614</v>
      </c>
      <c r="R265" s="84" t="n">
        <f aca="false">R$266*R271/100</f>
        <v>1864.71123225602</v>
      </c>
      <c r="S265" s="28" t="s">
        <v>84</v>
      </c>
      <c r="T265" s="13"/>
      <c r="U265" s="111" t="str">
        <f aca="false">CONCATENATE(A249," Your forecast")</f>
        <v> Uso de energias renováveis: Sua previsão</v>
      </c>
      <c r="Z265" s="113"/>
      <c r="AA265" s="117" t="str">
        <f aca="false">CONCATENATE(A241," (0 - ",W278," T$ / yr)")</f>
        <v> PIB da China (0 - 45 trilhões de dólares/ano)</v>
      </c>
      <c r="AB265" s="120" t="n">
        <f aca="false">B241/$W278</f>
        <v>0.00778086464788846</v>
      </c>
      <c r="AC265" s="120" t="n">
        <f aca="false">C241/$W278</f>
        <v>0.0105038889227101</v>
      </c>
      <c r="AD265" s="120" t="n">
        <f aca="false">D241/$W278</f>
        <v>0.0156480867636802</v>
      </c>
      <c r="AE265" s="120" t="n">
        <f aca="false">E241/$W278</f>
        <v>0.0253013168760939</v>
      </c>
      <c r="AF265" s="120" t="n">
        <f aca="false">F241/$W278</f>
        <v>0.0352507057573548</v>
      </c>
      <c r="AG265" s="120" t="n">
        <f aca="false">G241/$W278</f>
        <v>0.0614505070589668</v>
      </c>
      <c r="AH265" s="120" t="n">
        <f aca="false">H241/$W278</f>
        <v>0.0855391458308049</v>
      </c>
      <c r="AI265" s="120" t="n">
        <f aca="false">I241/$W278</f>
        <v>0.142041031205721</v>
      </c>
      <c r="AJ265" s="120" t="n">
        <f aca="false">J241/$W278</f>
        <v>0.212458558995284</v>
      </c>
      <c r="AK265" s="120" t="n">
        <f aca="false">K241/$W278</f>
        <v>0.310662912488906</v>
      </c>
      <c r="AL265" s="120" t="n">
        <f aca="false">L241/$W278</f>
        <v>0.42421132796032</v>
      </c>
      <c r="AM265" s="120" t="n">
        <f aca="false">M241/$W278</f>
        <v>0.55765894828644</v>
      </c>
      <c r="AN265" s="120" t="n">
        <f aca="false">N241/$W278</f>
        <v>0.686532691391645</v>
      </c>
      <c r="AO265" s="120" t="n">
        <f aca="false">O241/$W278</f>
        <v>0.779628966263612</v>
      </c>
      <c r="AP265" s="120" t="n">
        <f aca="false">P241/$W278</f>
        <v>0.840117129897688</v>
      </c>
      <c r="AQ265" s="120" t="n">
        <f aca="false">Q241/$W278</f>
        <v>0.887017026961971</v>
      </c>
      <c r="AR265" s="120" t="n">
        <f aca="false">R241/$W278</f>
        <v>0.879438357344868</v>
      </c>
      <c r="AS265" s="11"/>
    </row>
    <row r="266" s="3" customFormat="true" ht="11.25" hidden="false" customHeight="false" outlineLevel="0" collapsed="false">
      <c r="B266" s="47"/>
      <c r="C266" s="47"/>
      <c r="D266" s="47"/>
      <c r="E266" s="47"/>
      <c r="F266" s="47"/>
      <c r="G266" s="47"/>
      <c r="H266" s="47"/>
      <c r="I266" s="47"/>
      <c r="K266" s="84" t="n">
        <f aca="false">K104*K267</f>
        <v>3416.51395732635</v>
      </c>
      <c r="L266" s="84" t="n">
        <f aca="false">L104*L267</f>
        <v>4288.6410376619</v>
      </c>
      <c r="M266" s="84" t="n">
        <f aca="false">M104*M267</f>
        <v>5022.88765715327</v>
      </c>
      <c r="N266" s="84" t="n">
        <f aca="false">N104*N267</f>
        <v>5517.51527003664</v>
      </c>
      <c r="O266" s="84" t="n">
        <f aca="false">O104*O267</f>
        <v>5751.86740319055</v>
      </c>
      <c r="P266" s="84" t="n">
        <f aca="false">P104*P267</f>
        <v>5699.80441116688</v>
      </c>
      <c r="Q266" s="84" t="n">
        <f aca="false">Q104*Q267</f>
        <v>5544.69956391092</v>
      </c>
      <c r="R266" s="84" t="n">
        <f aca="false">R104*R267</f>
        <v>5142.61233385554</v>
      </c>
      <c r="S266" s="28" t="s">
        <v>84</v>
      </c>
      <c r="T266" s="13"/>
      <c r="U266" s="111" t="str">
        <f aca="false">CONCATENATE(A250," Your forecast")</f>
        <v> Consumo de energia: Sua previsão</v>
      </c>
      <c r="Z266" s="113"/>
      <c r="AA266" s="117" t="str">
        <f aca="false">CONCATENATE(A251," (0 - ",W279," toe / M$)")</f>
        <v> Intensidade energética (0 - 700 toe / M$)</v>
      </c>
      <c r="AB266" s="120" t="n">
        <f aca="false">B251/$W279</f>
        <v>0.828272317447358</v>
      </c>
      <c r="AC266" s="120" t="n">
        <f aca="false">C251/$W279</f>
        <v>0.955041442043474</v>
      </c>
      <c r="AD266" s="120" t="n">
        <f aca="false">D251/$W279</f>
        <v>0.857658018008634</v>
      </c>
      <c r="AE266" s="120" t="n">
        <f aca="false">E251/$W279</f>
        <v>0.66589970681567</v>
      </c>
      <c r="AF266" s="120" t="n">
        <f aca="false">F251/$W279</f>
        <v>0.623517015822128</v>
      </c>
      <c r="AG266" s="120" t="n">
        <f aca="false">G251/$W279</f>
        <v>0.479583516664053</v>
      </c>
      <c r="AH266" s="120" t="n">
        <f aca="false">H251/$W279</f>
        <v>0.391309296344971</v>
      </c>
      <c r="AI266" s="120" t="n">
        <f aca="false">I251/$W279</f>
        <v>0.383305181675799</v>
      </c>
      <c r="AJ266" s="120" t="n">
        <f aca="false">J251/$W279</f>
        <v>0.367501935512503</v>
      </c>
      <c r="AK266" s="120" t="n">
        <f aca="false">K251/$W279</f>
        <v>0.349126838736878</v>
      </c>
      <c r="AL266" s="120" t="n">
        <f aca="false">L251/$W279</f>
        <v>0.331670496800034</v>
      </c>
      <c r="AM266" s="120" t="n">
        <f aca="false">M251/$W279</f>
        <v>0.298503447120031</v>
      </c>
      <c r="AN266" s="120" t="n">
        <f aca="false">N251/$W279</f>
        <v>0.268653102408028</v>
      </c>
      <c r="AO266" s="120" t="n">
        <f aca="false">O251/$W279</f>
        <v>0.248504119727426</v>
      </c>
      <c r="AP266" s="120" t="n">
        <f aca="false">P251/$W279</f>
        <v>0.229866310747869</v>
      </c>
      <c r="AQ266" s="120" t="n">
        <f aca="false">Q251/$W279</f>
        <v>0.212626337441779</v>
      </c>
      <c r="AR266" s="120" t="n">
        <f aca="false">R251/$W279</f>
        <v>0.199337191351667</v>
      </c>
      <c r="AS266" s="11"/>
    </row>
    <row r="267" s="3" customFormat="true" ht="11.25" hidden="false" customHeight="false" outlineLevel="0" collapsed="false">
      <c r="B267" s="47"/>
      <c r="C267" s="47"/>
      <c r="D267" s="47"/>
      <c r="E267" s="47"/>
      <c r="F267" s="47"/>
      <c r="G267" s="47"/>
      <c r="H267" s="47"/>
      <c r="I267" s="47"/>
      <c r="K267" s="84" t="n">
        <f aca="false">J251*(1+K268/100*5)</f>
        <v>244.388787115815</v>
      </c>
      <c r="L267" s="84" t="n">
        <f aca="false">K267*(1+L268/100*5)</f>
        <v>232.41373654714</v>
      </c>
      <c r="M267" s="84" t="n">
        <f aca="false">L267*(1+M268/100*5)</f>
        <v>209.63719036552</v>
      </c>
      <c r="N267" s="84" t="n">
        <f aca="false">M267*(1+N268/100*5)</f>
        <v>189.092745709699</v>
      </c>
      <c r="O267" s="84" t="n">
        <f aca="false">N267*(1+O268/100*5)</f>
        <v>175.194428900036</v>
      </c>
      <c r="P267" s="84" t="n">
        <f aca="false">O267*(1+P268/100*5)</f>
        <v>162.317638375884</v>
      </c>
      <c r="Q267" s="84" t="n">
        <f aca="false">P267*(1+Q268/100*5)</f>
        <v>150.387291955256</v>
      </c>
      <c r="R267" s="84" t="n">
        <f aca="false">Q267*(1+R268/100*5)</f>
        <v>141.176070322997</v>
      </c>
      <c r="S267" s="28" t="s">
        <v>95</v>
      </c>
      <c r="T267" s="13"/>
      <c r="U267" s="111" t="str">
        <f aca="false">CONCATENATE(A251," Your forecast")</f>
        <v> Intensidade energética Sua previsão</v>
      </c>
      <c r="Z267" s="113"/>
      <c r="AA267" s="117" t="str">
        <f aca="false">CONCATENATE(A252," (0 - ",W292*(-1),"*(-1) % / yr)")</f>
        <v> Crescimento da intensidade energética (0 - 0*(-1) % / ano)</v>
      </c>
      <c r="AB267" s="120"/>
      <c r="AC267" s="120" t="n">
        <f aca="false">C252/1</f>
        <v>3.06104941396096</v>
      </c>
      <c r="AD267" s="120" t="n">
        <f aca="false">D252/1</f>
        <v>-2.03935493786471</v>
      </c>
      <c r="AE267" s="120" t="n">
        <f aca="false">E252/1</f>
        <v>-4.47167302506426</v>
      </c>
      <c r="AF267" s="120" t="n">
        <f aca="false">F252/1</f>
        <v>-1.27294517657069</v>
      </c>
      <c r="AG267" s="120" t="n">
        <f aca="false">G252/1</f>
        <v>-4.61682666248631</v>
      </c>
      <c r="AH267" s="120" t="n">
        <f aca="false">H252/1</f>
        <v>-3.68128666861242</v>
      </c>
      <c r="AI267" s="120" t="n">
        <f aca="false">I252/1</f>
        <v>-0.409094020711188</v>
      </c>
      <c r="AJ267" s="120" t="n">
        <f aca="false">J252/1</f>
        <v>-0.824577747381591</v>
      </c>
      <c r="AK267" s="120" t="n">
        <f aca="false">K252/1</f>
        <v>-1</v>
      </c>
      <c r="AL267" s="120" t="n">
        <f aca="false">L252/1</f>
        <v>-1</v>
      </c>
      <c r="AM267" s="120" t="n">
        <f aca="false">M252/1</f>
        <v>-2</v>
      </c>
      <c r="AN267" s="120" t="n">
        <f aca="false">N252/1</f>
        <v>-2</v>
      </c>
      <c r="AO267" s="120" t="n">
        <f aca="false">O252/1</f>
        <v>-1.5</v>
      </c>
      <c r="AP267" s="120" t="n">
        <f aca="false">P252/1</f>
        <v>-1.5</v>
      </c>
      <c r="AQ267" s="120" t="n">
        <f aca="false">Q252/1</f>
        <v>-1.5</v>
      </c>
      <c r="AR267" s="120" t="n">
        <f aca="false">R252/1</f>
        <v>-1.25</v>
      </c>
      <c r="AS267" s="11"/>
    </row>
    <row r="268" s="3" customFormat="true" ht="11.25" hidden="false" customHeight="false" outlineLevel="0" collapsed="false">
      <c r="B268" s="47"/>
      <c r="C268" s="47"/>
      <c r="D268" s="47"/>
      <c r="E268" s="47"/>
      <c r="F268" s="47"/>
      <c r="G268" s="47"/>
      <c r="H268" s="47"/>
      <c r="I268" s="47"/>
      <c r="K268" s="83" t="n">
        <f aca="false">K252</f>
        <v>-1</v>
      </c>
      <c r="L268" s="83" t="n">
        <f aca="false">L252*0.98</f>
        <v>-0.98</v>
      </c>
      <c r="M268" s="83" t="n">
        <f aca="false">M252*0.98</f>
        <v>-1.96</v>
      </c>
      <c r="N268" s="83" t="n">
        <f aca="false">N252*0.98</f>
        <v>-1.96</v>
      </c>
      <c r="O268" s="83" t="n">
        <f aca="false">O252*0.98</f>
        <v>-1.47</v>
      </c>
      <c r="P268" s="83" t="n">
        <f aca="false">P252*0.98</f>
        <v>-1.47</v>
      </c>
      <c r="Q268" s="83" t="n">
        <f aca="false">Q252*0.98</f>
        <v>-1.47</v>
      </c>
      <c r="R268" s="83" t="n">
        <f aca="false">R252*0.98</f>
        <v>-1.225</v>
      </c>
      <c r="S268" s="28" t="s">
        <v>25</v>
      </c>
      <c r="T268" s="13"/>
      <c r="U268" s="111" t="str">
        <f aca="false">CONCATENATE(A252," Your forecast")</f>
        <v> Crescimento da intensidade energética: sua previsão</v>
      </c>
      <c r="Z268" s="113"/>
      <c r="AA268" s="11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121"/>
      <c r="AS268" s="11"/>
    </row>
    <row r="269" s="3" customFormat="true" ht="11.25" hidden="false" customHeight="false" outlineLevel="0" collapsed="false">
      <c r="B269" s="47"/>
      <c r="C269" s="47"/>
      <c r="D269" s="47"/>
      <c r="E269" s="47"/>
      <c r="F269" s="47"/>
      <c r="G269" s="47"/>
      <c r="H269" s="47"/>
      <c r="I269" s="47"/>
      <c r="K269" s="83" t="n">
        <f aca="false">K253</f>
        <v>17</v>
      </c>
      <c r="L269" s="83" t="n">
        <f aca="false">L253*0.98</f>
        <v>14.7</v>
      </c>
      <c r="M269" s="83" t="n">
        <f aca="false">M253*0.98</f>
        <v>13.72</v>
      </c>
      <c r="N269" s="83" t="n">
        <f aca="false">N253*0.98</f>
        <v>11.76</v>
      </c>
      <c r="O269" s="83" t="n">
        <f aca="false">O253*0.98</f>
        <v>10.78</v>
      </c>
      <c r="P269" s="83" t="n">
        <f aca="false">P253*0.98</f>
        <v>9.8</v>
      </c>
      <c r="Q269" s="83" t="n">
        <f aca="false">Q253*0.98</f>
        <v>8.82</v>
      </c>
      <c r="R269" s="83" t="n">
        <f aca="false">R253*0.98</f>
        <v>6.86</v>
      </c>
      <c r="S269" s="28" t="s">
        <v>44</v>
      </c>
      <c r="T269" s="13"/>
      <c r="U269" s="111" t="str">
        <f aca="false">CONCATENATE(A253," Your forecast")</f>
        <v> % de petróleo Sua previsão</v>
      </c>
      <c r="Z269" s="113"/>
      <c r="AA269" s="122" t="s">
        <v>7</v>
      </c>
      <c r="AB269" s="118" t="n">
        <v>1970</v>
      </c>
      <c r="AC269" s="118" t="n">
        <v>1975</v>
      </c>
      <c r="AD269" s="118" t="n">
        <v>1980</v>
      </c>
      <c r="AE269" s="118" t="n">
        <v>1985</v>
      </c>
      <c r="AF269" s="118" t="n">
        <v>1990</v>
      </c>
      <c r="AG269" s="118" t="n">
        <v>1995</v>
      </c>
      <c r="AH269" s="118" t="n">
        <v>2000</v>
      </c>
      <c r="AI269" s="118" t="n">
        <v>2005</v>
      </c>
      <c r="AJ269" s="118" t="n">
        <v>2010</v>
      </c>
      <c r="AK269" s="118" t="n">
        <v>2015</v>
      </c>
      <c r="AL269" s="118" t="n">
        <v>2020</v>
      </c>
      <c r="AM269" s="118" t="n">
        <v>2025</v>
      </c>
      <c r="AN269" s="118" t="n">
        <v>2030</v>
      </c>
      <c r="AO269" s="118" t="n">
        <v>2035</v>
      </c>
      <c r="AP269" s="118" t="n">
        <v>2040</v>
      </c>
      <c r="AQ269" s="118" t="n">
        <v>2045</v>
      </c>
      <c r="AR269" s="119" t="n">
        <v>2050</v>
      </c>
      <c r="AS269" s="11"/>
    </row>
    <row r="270" s="3" customFormat="true" ht="11.25" hidden="false" customHeight="false" outlineLevel="0" collapsed="false">
      <c r="B270" s="47"/>
      <c r="C270" s="47"/>
      <c r="D270" s="47"/>
      <c r="E270" s="47"/>
      <c r="F270" s="47"/>
      <c r="G270" s="47"/>
      <c r="H270" s="47"/>
      <c r="I270" s="47"/>
      <c r="K270" s="83" t="n">
        <f aca="false">K254</f>
        <v>6</v>
      </c>
      <c r="L270" s="83" t="n">
        <f aca="false">L254*0.98</f>
        <v>8.82</v>
      </c>
      <c r="M270" s="83" t="n">
        <f aca="false">M254*0.98</f>
        <v>10.29</v>
      </c>
      <c r="N270" s="83" t="n">
        <f aca="false">N254*0.98</f>
        <v>11.76</v>
      </c>
      <c r="O270" s="83" t="n">
        <f aca="false">O254*0.98</f>
        <v>12.74</v>
      </c>
      <c r="P270" s="83" t="n">
        <f aca="false">P254*0.98</f>
        <v>13.23</v>
      </c>
      <c r="Q270" s="83" t="n">
        <f aca="false">Q254*0.98</f>
        <v>13.72</v>
      </c>
      <c r="R270" s="83" t="n">
        <f aca="false">R254*0.98</f>
        <v>12.74</v>
      </c>
      <c r="S270" s="28" t="s">
        <v>44</v>
      </c>
      <c r="T270" s="13"/>
      <c r="U270" s="111" t="str">
        <f aca="false">CONCATENATE(A254," Your forecast")</f>
        <v> % de gás Sua previsão</v>
      </c>
      <c r="Z270" s="113"/>
      <c r="AA270" s="122" t="str">
        <f aca="false">CONCATENATE(J145," (0 - ",W281," T$ / yr)")</f>
        <v> PIB da China calculado a partir da sua previsão (0 - 45 trilhões de dólares/ano)</v>
      </c>
      <c r="AB270" s="98"/>
      <c r="AC270" s="98"/>
      <c r="AD270" s="98"/>
      <c r="AE270" s="98"/>
      <c r="AF270" s="98"/>
      <c r="AG270" s="98"/>
      <c r="AH270" s="98"/>
      <c r="AI270" s="98"/>
      <c r="AJ270" s="120"/>
      <c r="AK270" s="120" t="n">
        <f aca="false">K145/$W281</f>
        <v>0.310662912488906</v>
      </c>
      <c r="AL270" s="120" t="n">
        <f aca="false">L145/$W281</f>
        <v>0.410058095472917</v>
      </c>
      <c r="AM270" s="120" t="n">
        <f aca="false">M145/$W281</f>
        <v>0.532442385436948</v>
      </c>
      <c r="AN270" s="120" t="n">
        <f aca="false">N145/$W281</f>
        <v>0.648419641827485</v>
      </c>
      <c r="AO270" s="120" t="n">
        <f aca="false">O145/$W281</f>
        <v>0.729585275222358</v>
      </c>
      <c r="AP270" s="120" t="n">
        <f aca="false">P145/$W281</f>
        <v>0.780336145322896</v>
      </c>
      <c r="AQ270" s="120" t="n">
        <f aca="false">Q145/$W281</f>
        <v>0.819321528187014</v>
      </c>
      <c r="AR270" s="120" t="n">
        <f aca="false">R145/$W281</f>
        <v>0.809487569842516</v>
      </c>
      <c r="AS270" s="11"/>
    </row>
    <row r="271" s="3" customFormat="true" ht="11.25" hidden="false" customHeight="false" outlineLevel="0" collapsed="false">
      <c r="B271" s="47"/>
      <c r="C271" s="47"/>
      <c r="D271" s="47"/>
      <c r="E271" s="47"/>
      <c r="F271" s="47"/>
      <c r="G271" s="47"/>
      <c r="H271" s="47"/>
      <c r="I271" s="47"/>
      <c r="K271" s="83" t="n">
        <f aca="false">K255</f>
        <v>10</v>
      </c>
      <c r="L271" s="83" t="n">
        <f aca="false">L255*0.98</f>
        <v>11.76</v>
      </c>
      <c r="M271" s="83" t="n">
        <f aca="false">M255*0.98</f>
        <v>14.7</v>
      </c>
      <c r="N271" s="83" t="n">
        <f aca="false">N255*0.98</f>
        <v>17.64</v>
      </c>
      <c r="O271" s="83" t="n">
        <f aca="false">O255*0.98</f>
        <v>21.56</v>
      </c>
      <c r="P271" s="83" t="n">
        <f aca="false">P255*0.98</f>
        <v>25.48</v>
      </c>
      <c r="Q271" s="83" t="n">
        <f aca="false">Q255*0.98</f>
        <v>30.38</v>
      </c>
      <c r="R271" s="83" t="n">
        <f aca="false">R255*0.98</f>
        <v>36.26</v>
      </c>
      <c r="S271" s="28" t="s">
        <v>44</v>
      </c>
      <c r="T271" s="13"/>
      <c r="U271" s="111" t="str">
        <f aca="false">CONCATENATE(A255," Your forecast")</f>
        <v> % de energias renováveis Sua previsão</v>
      </c>
      <c r="Z271" s="113"/>
      <c r="AA271" s="122" t="str">
        <f aca="false">CONCATENATE(A250," (0 - ",W280," Mtoe / yr), Your forecast")</f>
        <v> Consumo de energia (0 - 6500 Mtoe/ano), sua previsão</v>
      </c>
      <c r="AB271" s="98"/>
      <c r="AC271" s="98"/>
      <c r="AD271" s="98"/>
      <c r="AE271" s="98"/>
      <c r="AF271" s="98"/>
      <c r="AG271" s="98"/>
      <c r="AH271" s="98"/>
      <c r="AI271" s="98"/>
      <c r="AJ271" s="120"/>
      <c r="AK271" s="120" t="n">
        <f aca="false">K266/$W280</f>
        <v>0.525617531896362</v>
      </c>
      <c r="AL271" s="120" t="n">
        <f aca="false">L266/$W280</f>
        <v>0.659790928871062</v>
      </c>
      <c r="AM271" s="120" t="n">
        <f aca="false">M266/$W280</f>
        <v>0.772751947254349</v>
      </c>
      <c r="AN271" s="120" t="n">
        <f aca="false">N266/$W280</f>
        <v>0.84884850308256</v>
      </c>
      <c r="AO271" s="120" t="n">
        <f aca="false">O266/$W280</f>
        <v>0.884902677413931</v>
      </c>
      <c r="AP271" s="120" t="n">
        <f aca="false">P266/$W280</f>
        <v>0.876892986333365</v>
      </c>
      <c r="AQ271" s="120" t="n">
        <f aca="false">Q266/$W280</f>
        <v>0.853030702140142</v>
      </c>
      <c r="AR271" s="120" t="n">
        <f aca="false">R266/$W280</f>
        <v>0.791171128285468</v>
      </c>
      <c r="AS271" s="11"/>
    </row>
    <row r="272" s="3" customFormat="true" ht="11.25" hidden="false" customHeight="false" outlineLevel="0" collapsed="false">
      <c r="B272" s="47"/>
      <c r="C272" s="47"/>
      <c r="D272" s="47"/>
      <c r="E272" s="47"/>
      <c r="F272" s="47"/>
      <c r="G272" s="47"/>
      <c r="H272" s="47"/>
      <c r="I272" s="47"/>
      <c r="K272" s="83" t="n">
        <f aca="false">K256</f>
        <v>1</v>
      </c>
      <c r="L272" s="83" t="n">
        <f aca="false">L256*0.98</f>
        <v>1.96</v>
      </c>
      <c r="M272" s="83" t="n">
        <f aca="false">M256*0.98</f>
        <v>2.94</v>
      </c>
      <c r="N272" s="83" t="n">
        <f aca="false">N256*0.98</f>
        <v>2.94</v>
      </c>
      <c r="O272" s="83" t="n">
        <f aca="false">O256*0.98</f>
        <v>3.43</v>
      </c>
      <c r="P272" s="83" t="n">
        <f aca="false">P256*0.98</f>
        <v>3.234</v>
      </c>
      <c r="Q272" s="83" t="n">
        <f aca="false">Q256*0.98</f>
        <v>3.038</v>
      </c>
      <c r="R272" s="83" t="n">
        <f aca="false">R256*0.98</f>
        <v>3.038</v>
      </c>
      <c r="S272" s="28" t="s">
        <v>44</v>
      </c>
      <c r="T272" s="13"/>
      <c r="U272" s="111" t="str">
        <f aca="false">CONCATENATE(A256," Your forecast")</f>
        <v> % nuclear Sua previsão</v>
      </c>
      <c r="Z272" s="113"/>
      <c r="AA272" s="122" t="str">
        <f aca="false">CONCATENATE(A251," (0 - ",W282," toe / M$), Your forecast")</f>
        <v>Intensidade energética (0 - 700 toe / M$), Sua previsão</v>
      </c>
      <c r="AB272" s="98"/>
      <c r="AC272" s="98"/>
      <c r="AD272" s="98"/>
      <c r="AE272" s="98"/>
      <c r="AF272" s="98"/>
      <c r="AG272" s="98"/>
      <c r="AH272" s="98"/>
      <c r="AI272" s="98"/>
      <c r="AJ272" s="98"/>
      <c r="AK272" s="120" t="n">
        <f aca="false">K267/$W282</f>
        <v>0.349126838736878</v>
      </c>
      <c r="AL272" s="120" t="n">
        <f aca="false">L267/$W282</f>
        <v>0.332019623638771</v>
      </c>
      <c r="AM272" s="120" t="n">
        <f aca="false">M267/$W282</f>
        <v>0.299481700522172</v>
      </c>
      <c r="AN272" s="120" t="n">
        <f aca="false">N267/$W282</f>
        <v>0.270132493870999</v>
      </c>
      <c r="AO272" s="120" t="n">
        <f aca="false">O267/$W282</f>
        <v>0.25027775557148</v>
      </c>
      <c r="AP272" s="120" t="n">
        <f aca="false">P267/$W282</f>
        <v>0.231882340536977</v>
      </c>
      <c r="AQ272" s="120" t="n">
        <f aca="false">Q267/$W282</f>
        <v>0.214838988507509</v>
      </c>
      <c r="AR272" s="120" t="n">
        <f aca="false">R267/$W282</f>
        <v>0.201680100461424</v>
      </c>
      <c r="AS272" s="11"/>
    </row>
    <row r="273" s="3" customFormat="true" ht="11.25" hidden="false" customHeight="false" outlineLevel="0" collapsed="false">
      <c r="B273" s="47"/>
      <c r="C273" s="47"/>
      <c r="D273" s="47"/>
      <c r="E273" s="47"/>
      <c r="F273" s="47"/>
      <c r="G273" s="47"/>
      <c r="H273" s="47"/>
      <c r="I273" s="47"/>
      <c r="K273" s="124" t="n">
        <f aca="false">100-SUM(K269:K272)</f>
        <v>66</v>
      </c>
      <c r="L273" s="124" t="n">
        <f aca="false">100-SUM(L269:L272)</f>
        <v>62.76</v>
      </c>
      <c r="M273" s="124" t="n">
        <f aca="false">100-SUM(M269:M272)</f>
        <v>58.35</v>
      </c>
      <c r="N273" s="124" t="n">
        <f aca="false">100-SUM(N269:N272)</f>
        <v>55.9</v>
      </c>
      <c r="O273" s="124" t="n">
        <f aca="false">100-SUM(O269:O272)</f>
        <v>51.49</v>
      </c>
      <c r="P273" s="124" t="n">
        <f aca="false">100-SUM(P269:P272)</f>
        <v>48.256</v>
      </c>
      <c r="Q273" s="124" t="n">
        <f aca="false">100-SUM(Q269:Q272)</f>
        <v>44.042</v>
      </c>
      <c r="R273" s="124" t="n">
        <f aca="false">100-SUM(R269:R272)</f>
        <v>41.102</v>
      </c>
      <c r="S273" s="28" t="s">
        <v>44</v>
      </c>
      <c r="T273" s="13"/>
      <c r="U273" s="111" t="str">
        <f aca="false">CONCATENATE(A257," Your forecast")</f>
        <v> % carvão Sua previsão</v>
      </c>
      <c r="Z273" s="113"/>
      <c r="AA273" s="122"/>
      <c r="AB273" s="98"/>
      <c r="AC273" s="98"/>
      <c r="AD273" s="98"/>
      <c r="AE273" s="98"/>
      <c r="AF273" s="98"/>
      <c r="AG273" s="98"/>
      <c r="AH273" s="98"/>
      <c r="AI273" s="98"/>
      <c r="AS273" s="11"/>
    </row>
    <row r="274" s="3" customFormat="true" ht="11.25" hidden="false" customHeight="false" outlineLevel="0" collapsed="false">
      <c r="B274" s="47"/>
      <c r="C274" s="47"/>
      <c r="D274" s="47"/>
      <c r="E274" s="47"/>
      <c r="F274" s="47"/>
      <c r="G274" s="107"/>
      <c r="H274" s="107"/>
      <c r="I274" s="107"/>
      <c r="J274" s="107"/>
      <c r="K274" s="125" t="s">
        <v>103</v>
      </c>
      <c r="L274" s="107"/>
      <c r="M274" s="107"/>
      <c r="N274" s="107"/>
      <c r="O274" s="107"/>
      <c r="P274" s="107"/>
      <c r="Q274" s="107"/>
      <c r="R274" s="107"/>
      <c r="T274" s="13"/>
      <c r="V274" s="3" t="s">
        <v>35</v>
      </c>
      <c r="Z274" s="113"/>
      <c r="AA274" s="122"/>
      <c r="AB274" s="98"/>
      <c r="AC274" s="98"/>
      <c r="AD274" s="98"/>
      <c r="AE274" s="98"/>
      <c r="AF274" s="98"/>
      <c r="AG274" s="98"/>
      <c r="AH274" s="98"/>
      <c r="AI274" s="98"/>
      <c r="AS274" s="11"/>
    </row>
    <row r="275" s="3" customFormat="true" ht="28.3" hidden="false" customHeight="false" outlineLevel="0" collapsed="false">
      <c r="B275" s="47"/>
      <c r="C275" s="47"/>
      <c r="D275" s="47"/>
      <c r="E275" s="47"/>
      <c r="F275" s="47"/>
      <c r="T275" s="13"/>
      <c r="U275" s="55" t="s">
        <v>37</v>
      </c>
      <c r="V275" s="54" t="s">
        <v>38</v>
      </c>
      <c r="W275" s="54" t="s">
        <v>39</v>
      </c>
      <c r="X275" s="55"/>
      <c r="Y275" s="55"/>
      <c r="Z275" s="113"/>
      <c r="AA275" s="122"/>
      <c r="AB275" s="98"/>
      <c r="AC275" s="98"/>
      <c r="AD275" s="98"/>
      <c r="AE275" s="98"/>
      <c r="AF275" s="98"/>
      <c r="AG275" s="98"/>
      <c r="AH275" s="98"/>
      <c r="AI275" s="98"/>
      <c r="AS275" s="11"/>
    </row>
    <row r="276" s="3" customFormat="true" ht="11.25" hidden="false" customHeight="false" outlineLevel="0" collapsed="false">
      <c r="B276" s="47"/>
      <c r="C276" s="47"/>
      <c r="D276" s="47"/>
      <c r="E276" s="47"/>
      <c r="F276" s="47"/>
      <c r="T276" s="13"/>
      <c r="V276" s="96" t="s">
        <v>104</v>
      </c>
      <c r="W276" s="96" t="s">
        <v>105</v>
      </c>
      <c r="Z276" s="113"/>
      <c r="AA276" s="126"/>
      <c r="AB276" s="127"/>
      <c r="AC276" s="127"/>
      <c r="AD276" s="127"/>
      <c r="AE276" s="127"/>
      <c r="AF276" s="127"/>
      <c r="AG276" s="127"/>
      <c r="AH276" s="127"/>
      <c r="AI276" s="127"/>
      <c r="AS276" s="11"/>
    </row>
    <row r="277" customFormat="false" ht="11.25" hidden="false" customHeight="false" outlineLevel="0" collapsed="false">
      <c r="B277" s="107"/>
      <c r="C277" s="107"/>
      <c r="D277" s="107"/>
      <c r="E277" s="107"/>
      <c r="F277" s="107"/>
      <c r="T277" s="13"/>
      <c r="U277" s="128" t="str">
        <f aca="false">AA264</f>
        <v> Consumo de energia (0 - 6500 Mtoe / ano)</v>
      </c>
      <c r="V277" s="129" t="n">
        <v>6500</v>
      </c>
      <c r="W277" s="70" t="n">
        <f aca="false">W280</f>
        <v>6500</v>
      </c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customFormat="false" ht="11.25" hidden="false" customHeight="false" outlineLevel="0" collapsed="false"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T278" s="13"/>
      <c r="U278" s="128" t="str">
        <f aca="false">AA265</f>
        <v> PIB da China (0 - 45 trilhões de dólares/ano)</v>
      </c>
      <c r="V278" s="129" t="n">
        <v>45</v>
      </c>
      <c r="W278" s="70" t="n">
        <f aca="false">W281</f>
        <v>45</v>
      </c>
    </row>
    <row r="279" customFormat="false" ht="11.25" hidden="false" customHeight="false" outlineLevel="0" collapsed="false"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T279" s="13"/>
      <c r="U279" s="128" t="str">
        <f aca="false">AA266</f>
        <v> Intensidade energética (0 - 700 toe / M$)</v>
      </c>
      <c r="V279" s="129" t="n">
        <v>700</v>
      </c>
      <c r="W279" s="70" t="n">
        <f aca="false">W282</f>
        <v>700</v>
      </c>
    </row>
    <row r="280" customFormat="false" ht="11.25" hidden="false" customHeight="false" outlineLevel="0" collapsed="false"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T280" s="13"/>
      <c r="U280" s="130" t="str">
        <f aca="false">AA271</f>
        <v> Consumo de energia (0 - 6500 Mtoe/ano), sua previsão</v>
      </c>
      <c r="W280" s="4" t="n">
        <v>6500</v>
      </c>
    </row>
    <row r="281" customFormat="false" ht="11.25" hidden="false" customHeight="false" outlineLevel="0" collapsed="false"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T281" s="13"/>
      <c r="U281" s="130" t="str">
        <f aca="false">AA270</f>
        <v> PIB da China calculado a partir da sua previsão (0 - 45 trilhões de dólares/ano)</v>
      </c>
      <c r="W281" s="4" t="n">
        <v>45</v>
      </c>
    </row>
    <row r="282" customFormat="false" ht="11.25" hidden="false" customHeight="false" outlineLevel="0" collapsed="false"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T282" s="13"/>
      <c r="U282" s="130" t="str">
        <f aca="false">AA272</f>
        <v> Intensidade energética (0 - 700 toe / M$), Sua previsão</v>
      </c>
      <c r="W282" s="4" t="n">
        <v>700</v>
      </c>
    </row>
    <row r="283" customFormat="false" ht="11.25" hidden="false" customHeight="false" outlineLevel="0" collapsed="false"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T283" s="13"/>
    </row>
    <row r="284" customFormat="false" ht="11.25" hidden="false" customHeight="false" outlineLevel="0" collapsed="false"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T284" s="13"/>
    </row>
    <row r="285" s="3" customFormat="true" ht="11.25" hidden="false" customHeight="false" outlineLevel="0" collapsed="false"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T285" s="13"/>
    </row>
    <row r="286" s="3" customFormat="true" ht="11.25" hidden="false" customHeight="false" outlineLevel="0" collapsed="false"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T286" s="13"/>
    </row>
    <row r="287" s="3" customFormat="true" ht="11.25" hidden="false" customHeight="false" outlineLevel="0" collapsed="false"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T287" s="13"/>
    </row>
    <row r="288" s="3" customFormat="true" ht="11.25" hidden="false" customHeight="false" outlineLevel="0" collapsed="false">
      <c r="T288" s="13"/>
    </row>
    <row r="289" s="3" customFormat="true" ht="11.25" hidden="false" customHeight="false" outlineLevel="0" collapsed="false">
      <c r="T289" s="13"/>
    </row>
    <row r="290" s="3" customFormat="true" ht="11.25" hidden="false" customHeight="false" outlineLevel="0" collapsed="false">
      <c r="T290" s="13"/>
    </row>
    <row r="291" s="3" customFormat="true" ht="11.25" hidden="false" customHeight="false" outlineLevel="0" collapsed="false">
      <c r="T291" s="13"/>
    </row>
    <row r="292" customFormat="false" ht="11.25" hidden="false" customHeight="false" outlineLevel="0" collapsed="false">
      <c r="T292" s="13"/>
    </row>
    <row r="293" customFormat="false" ht="11.25" hidden="false" customHeight="false" outlineLevel="0" collapsed="false">
      <c r="T293" s="13"/>
    </row>
    <row r="294" s="3" customFormat="true" ht="11.25" hidden="false" customHeight="false" outlineLevel="0" collapsed="false">
      <c r="T294" s="13"/>
    </row>
    <row r="295" s="3" customFormat="true" ht="11.25" hidden="false" customHeight="false" outlineLevel="0" collapsed="false">
      <c r="S295" s="50"/>
      <c r="T295" s="13"/>
      <c r="U295" s="50"/>
    </row>
    <row r="296" s="3" customFormat="true" ht="11.25" hidden="false" customHeight="false" outlineLevel="0" collapsed="false">
      <c r="T296" s="13"/>
    </row>
    <row r="297" s="3" customFormat="true" ht="11.25" hidden="false" customHeight="false" outlineLevel="0" collapsed="false">
      <c r="T297" s="13"/>
    </row>
    <row r="298" customFormat="false" ht="11.25" hidden="false" customHeight="false" outlineLevel="0" collapsed="false">
      <c r="T298" s="13"/>
    </row>
    <row r="299" customFormat="false" ht="11.25" hidden="false" customHeight="false" outlineLevel="0" collapsed="false">
      <c r="T299" s="13"/>
    </row>
    <row r="300" customFormat="false" ht="12.65" hidden="false" customHeight="false" outlineLevel="0" collapsed="false">
      <c r="A300" s="61" t="s">
        <v>106</v>
      </c>
      <c r="T300" s="13"/>
    </row>
    <row r="301" customFormat="false" ht="12.65" hidden="false" customHeight="false" outlineLevel="0" collapsed="false">
      <c r="A301" s="23" t="str">
        <f aca="false">CONCATENATE(A300,". Shares of total energy use - ",A5," 1970 to 2050")</f>
        <v> Gráfico 7. Participação no consumo total de energia - China, de 1970 a 2050</v>
      </c>
      <c r="T301" s="13"/>
      <c r="V301" s="95"/>
    </row>
    <row r="302" customFormat="false" ht="12.65" hidden="false" customHeight="false" outlineLevel="0" collapsed="false">
      <c r="T302" s="13"/>
      <c r="V302" s="95"/>
      <c r="AA302" s="52"/>
    </row>
    <row r="303" customFormat="false" ht="12.65" hidden="false" customHeight="false" outlineLevel="0" collapsed="false">
      <c r="T303" s="13"/>
      <c r="V303" s="95"/>
      <c r="AB303" s="131"/>
      <c r="AC303" s="131"/>
      <c r="AD303" s="131"/>
      <c r="AE303" s="131"/>
      <c r="AF303" s="131"/>
      <c r="AG303" s="131"/>
      <c r="AH303" s="131"/>
      <c r="AI303" s="131"/>
      <c r="AJ303" s="131"/>
    </row>
    <row r="304" customFormat="false" ht="12.65" hidden="false" customHeight="false" outlineLevel="0" collapsed="false">
      <c r="T304" s="13"/>
      <c r="V304" s="95"/>
      <c r="AB304" s="131"/>
      <c r="AC304" s="131"/>
      <c r="AD304" s="131"/>
      <c r="AE304" s="131"/>
      <c r="AF304" s="131"/>
      <c r="AG304" s="131"/>
      <c r="AH304" s="131"/>
      <c r="AI304" s="131"/>
      <c r="AJ304" s="131"/>
    </row>
    <row r="305" customFormat="false" ht="12.65" hidden="false" customHeight="false" outlineLevel="0" collapsed="false">
      <c r="T305" s="13"/>
      <c r="V305" s="95"/>
      <c r="AB305" s="131"/>
      <c r="AC305" s="131"/>
      <c r="AD305" s="131"/>
      <c r="AE305" s="131"/>
      <c r="AF305" s="131"/>
      <c r="AG305" s="131"/>
      <c r="AH305" s="131"/>
      <c r="AI305" s="131"/>
      <c r="AJ305" s="131"/>
    </row>
    <row r="306" customFormat="false" ht="12.65" hidden="false" customHeight="false" outlineLevel="0" collapsed="false">
      <c r="T306" s="13"/>
      <c r="V306" s="95"/>
      <c r="AB306" s="131"/>
      <c r="AC306" s="131"/>
      <c r="AD306" s="131"/>
      <c r="AE306" s="131"/>
      <c r="AF306" s="131"/>
      <c r="AG306" s="131"/>
      <c r="AH306" s="131"/>
      <c r="AI306" s="131"/>
      <c r="AJ306" s="131"/>
    </row>
    <row r="307" customFormat="false" ht="12.65" hidden="false" customHeight="false" outlineLevel="0" collapsed="false">
      <c r="T307" s="13"/>
      <c r="V307" s="95"/>
      <c r="AB307" s="131"/>
      <c r="AC307" s="131"/>
      <c r="AD307" s="131"/>
      <c r="AE307" s="131"/>
      <c r="AF307" s="131"/>
      <c r="AG307" s="131"/>
      <c r="AH307" s="131"/>
      <c r="AI307" s="131"/>
      <c r="AJ307" s="131"/>
    </row>
    <row r="308" customFormat="false" ht="12.65" hidden="false" customHeight="false" outlineLevel="0" collapsed="false">
      <c r="T308" s="13"/>
      <c r="V308" s="95"/>
      <c r="AB308" s="131"/>
      <c r="AC308" s="131"/>
      <c r="AD308" s="131"/>
      <c r="AE308" s="131"/>
      <c r="AF308" s="131"/>
      <c r="AG308" s="131"/>
      <c r="AH308" s="131"/>
      <c r="AI308" s="131"/>
      <c r="AJ308" s="131"/>
    </row>
    <row r="309" customFormat="false" ht="12.65" hidden="false" customHeight="false" outlineLevel="0" collapsed="false">
      <c r="T309" s="13"/>
      <c r="V309" s="95"/>
      <c r="AB309" s="131"/>
      <c r="AC309" s="131"/>
      <c r="AD309" s="131"/>
      <c r="AE309" s="131"/>
      <c r="AF309" s="131"/>
      <c r="AG309" s="131"/>
      <c r="AH309" s="131"/>
      <c r="AI309" s="131"/>
      <c r="AJ309" s="131"/>
    </row>
    <row r="310" customFormat="false" ht="12.65" hidden="false" customHeight="false" outlineLevel="0" collapsed="false">
      <c r="T310" s="13"/>
      <c r="V310" s="95"/>
      <c r="AB310" s="131"/>
      <c r="AC310" s="131"/>
      <c r="AD310" s="131"/>
      <c r="AE310" s="131"/>
      <c r="AF310" s="131"/>
      <c r="AG310" s="131"/>
      <c r="AH310" s="131"/>
      <c r="AI310" s="131"/>
      <c r="AJ310" s="131"/>
    </row>
    <row r="311" customFormat="false" ht="12.65" hidden="false" customHeight="false" outlineLevel="0" collapsed="false">
      <c r="T311" s="13"/>
      <c r="V311" s="95"/>
      <c r="AB311" s="131"/>
      <c r="AC311" s="131"/>
      <c r="AD311" s="131"/>
      <c r="AE311" s="131"/>
      <c r="AF311" s="131"/>
      <c r="AG311" s="131"/>
      <c r="AH311" s="131"/>
      <c r="AI311" s="131"/>
      <c r="AJ311" s="131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T314" s="13"/>
      <c r="V314" s="95"/>
    </row>
    <row r="315" customFormat="false" ht="12.65" hidden="false" customHeight="false" outlineLevel="0" collapsed="false">
      <c r="T315" s="13"/>
      <c r="V315" s="95"/>
    </row>
    <row r="316" customFormat="false" ht="12.65" hidden="false" customHeight="false" outlineLevel="0" collapsed="false">
      <c r="T316" s="13"/>
      <c r="V316" s="95"/>
    </row>
    <row r="317" customFormat="false" ht="12.65" hidden="false" customHeight="false" outlineLevel="0" collapsed="false">
      <c r="T317" s="13"/>
      <c r="V317" s="95"/>
    </row>
    <row r="318" customFormat="false" ht="12.65" hidden="false" customHeight="false" outlineLevel="0" collapsed="false">
      <c r="T318" s="13"/>
      <c r="V318" s="95"/>
    </row>
    <row r="319" customFormat="false" ht="12.65" hidden="false" customHeight="false" outlineLevel="0" collapsed="false">
      <c r="T319" s="13"/>
      <c r="V319" s="95"/>
    </row>
    <row r="320" customFormat="false" ht="12.65" hidden="false" customHeight="false" outlineLevel="0" collapsed="false">
      <c r="T320" s="13"/>
      <c r="V320" s="95"/>
    </row>
    <row r="321" customFormat="false" ht="12.65" hidden="false" customHeight="false" outlineLevel="0" collapsed="false">
      <c r="T321" s="13"/>
      <c r="V321" s="95"/>
    </row>
    <row r="322" customFormat="false" ht="12.65" hidden="false" customHeight="false" outlineLevel="0" collapsed="false">
      <c r="T322" s="13"/>
      <c r="V322" s="95"/>
    </row>
    <row r="323" customFormat="false" ht="12.65" hidden="false" customHeight="false" outlineLevel="0" collapsed="false">
      <c r="T323" s="13"/>
      <c r="V323" s="95"/>
    </row>
    <row r="324" customFormat="false" ht="12.65" hidden="false" customHeight="false" outlineLevel="0" collapsed="false">
      <c r="T324" s="13"/>
      <c r="V324" s="95"/>
    </row>
    <row r="325" customFormat="false" ht="12.65" hidden="false" customHeight="false" outlineLevel="0" collapsed="false">
      <c r="A325" s="61" t="s">
        <v>107</v>
      </c>
      <c r="T325" s="13"/>
      <c r="V325" s="95"/>
    </row>
    <row r="326" customFormat="false" ht="12.65" hidden="false" customHeight="false" outlineLevel="0" collapsed="false">
      <c r="A326" s="23" t="str">
        <f aca="false">CONCATENATE(A325,". Energy usages (Mtoe/yr) - ",A5," 1970 to 2050")</f>
        <v> Gráfico 8. Consumo de energia (Mtoe/ano) - China, 1970 a 2050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T326" s="13"/>
    </row>
    <row r="327" customFormat="false" ht="11.25" hidden="false" customHeight="false" outlineLevel="0" collapsed="false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T334" s="13"/>
    </row>
    <row r="335" customFormat="false" ht="11.25" hidden="false" customHeight="false" outlineLevel="0" collapsed="false">
      <c r="A335" s="132"/>
      <c r="B335" s="131"/>
      <c r="C335" s="131"/>
      <c r="D335" s="131"/>
      <c r="E335" s="131"/>
      <c r="F335" s="131"/>
      <c r="G335" s="131"/>
      <c r="H335" s="131"/>
      <c r="I335" s="131"/>
      <c r="T335" s="13"/>
    </row>
    <row r="336" customFormat="false" ht="11.25" hidden="false" customHeight="false" outlineLevel="0" collapsed="false">
      <c r="A336" s="132"/>
      <c r="B336" s="131"/>
      <c r="C336" s="131"/>
      <c r="D336" s="131"/>
      <c r="E336" s="131"/>
      <c r="F336" s="131"/>
      <c r="G336" s="131"/>
      <c r="H336" s="131"/>
      <c r="I336" s="131"/>
      <c r="T336" s="13"/>
    </row>
    <row r="337" customFormat="false" ht="11.25" hidden="false" customHeight="false" outlineLevel="0" collapsed="false">
      <c r="A337" s="132"/>
      <c r="B337" s="131"/>
      <c r="C337" s="131"/>
      <c r="D337" s="131"/>
      <c r="E337" s="131"/>
      <c r="F337" s="131"/>
      <c r="G337" s="131"/>
      <c r="H337" s="131"/>
      <c r="I337" s="131"/>
      <c r="T337" s="13"/>
    </row>
    <row r="338" customFormat="false" ht="11.25" hidden="false" customHeight="false" outlineLevel="0" collapsed="false">
      <c r="A338" s="132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T338" s="13"/>
    </row>
    <row r="339" customFormat="false" ht="11.25" hidden="false" customHeight="false" outlineLevel="0" collapsed="false">
      <c r="A339" s="132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T339" s="13"/>
    </row>
    <row r="340" customFormat="false" ht="11.25" hidden="false" customHeight="false" outlineLevel="0" collapsed="false">
      <c r="A340" s="132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T340" s="13"/>
    </row>
    <row r="341" customFormat="false" ht="11.25" hidden="false" customHeight="false" outlineLevel="0" collapsed="false">
      <c r="A341" s="132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T341" s="13"/>
    </row>
    <row r="342" customFormat="false" ht="11.25" hidden="false" customHeight="false" outlineLevel="0" collapsed="false">
      <c r="A342" s="132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T342" s="13"/>
    </row>
    <row r="343" customFormat="false" ht="11.25" hidden="false" customHeight="false" outlineLevel="0" collapsed="false">
      <c r="A343" s="132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T343" s="13"/>
    </row>
    <row r="344" customFormat="false" ht="11.25" hidden="false" customHeight="false" outlineLevel="0" collapsed="false">
      <c r="A344" s="132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T344" s="13"/>
    </row>
    <row r="345" customFormat="false" ht="11.25" hidden="false" customHeight="false" outlineLevel="0" collapsed="false">
      <c r="A345" s="132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T345" s="13"/>
    </row>
    <row r="346" customFormat="false" ht="11.25" hidden="false" customHeight="false" outlineLevel="0" collapsed="false">
      <c r="T346" s="13"/>
    </row>
    <row r="347" customFormat="false" ht="12.65" hidden="false" customHeight="false" outlineLevel="0" collapsed="false">
      <c r="T347" s="13"/>
      <c r="V347" s="95"/>
      <c r="AC347" s="95"/>
    </row>
    <row r="348" customFormat="false" ht="12.65" hidden="false" customHeight="false" outlineLevel="0" collapsed="false">
      <c r="B348" s="95"/>
      <c r="T348" s="13"/>
    </row>
    <row r="349" customFormat="false" ht="12.65" hidden="false" customHeight="false" outlineLevel="0" collapsed="false">
      <c r="B349" s="95"/>
      <c r="T349" s="13"/>
    </row>
    <row r="350" customFormat="false" ht="12.65" hidden="false" customHeight="false" outlineLevel="0" collapsed="false">
      <c r="B350" s="95"/>
      <c r="T350" s="13"/>
    </row>
    <row r="351" customFormat="false" ht="12.65" hidden="false" customHeight="false" outlineLevel="0" collapsed="false">
      <c r="B351" s="95"/>
      <c r="T351" s="13"/>
    </row>
    <row r="352" customFormat="false" ht="12.65" hidden="false" customHeight="false" outlineLevel="0" collapsed="false">
      <c r="B352" s="95"/>
      <c r="T352" s="13"/>
    </row>
    <row r="353" customFormat="false" ht="11.25" hidden="false" customHeight="false" outlineLevel="0" collapsed="false">
      <c r="T353" s="13"/>
    </row>
    <row r="354" customFormat="false" ht="12.65" hidden="false" customHeight="false" outlineLevel="0" collapsed="false">
      <c r="A354" s="61" t="s">
        <v>108</v>
      </c>
      <c r="T354" s="13"/>
    </row>
    <row r="355" customFormat="false" ht="12.65" hidden="false" customHeight="false" outlineLevel="0" collapsed="false">
      <c r="A355" s="23" t="str">
        <f aca="false">CONCATENATE(A354,". CO2 Emissions from Energy Use - ",A5," 1970 to 2050")</f>
        <v> Gráfico 9. Emissões de CO2 provenientes do uso de energia - China, de 1970 a 2050</v>
      </c>
      <c r="T355" s="13"/>
    </row>
    <row r="356" customFormat="fals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  <c r="U356" s="103" t="s">
        <v>109</v>
      </c>
    </row>
    <row r="357" customFormat="false" ht="11.25" hidden="false" customHeight="false" outlineLevel="0" collapsed="false">
      <c r="A357" s="63" t="s">
        <v>110</v>
      </c>
      <c r="B357" s="62" t="n">
        <v>780.153</v>
      </c>
      <c r="C357" s="62" t="n">
        <v>1156.81866666667</v>
      </c>
      <c r="D357" s="62" t="n">
        <v>1484.24833333333</v>
      </c>
      <c r="E357" s="62" t="n">
        <v>1990.12</v>
      </c>
      <c r="F357" s="62" t="n">
        <v>2489.212</v>
      </c>
      <c r="G357" s="62" t="n">
        <v>3352.844</v>
      </c>
      <c r="H357" s="62" t="n">
        <v>3447.08466666667</v>
      </c>
      <c r="I357" s="62" t="n">
        <v>5831.87366666667</v>
      </c>
      <c r="J357" s="62" t="n">
        <v>7071.18133333333</v>
      </c>
      <c r="K357" s="27" t="n">
        <f aca="false">K365*44/12</f>
        <v>10889.1426721732</v>
      </c>
      <c r="L357" s="27" t="n">
        <f aca="false">L365*44/12</f>
        <v>13458.2781218176</v>
      </c>
      <c r="M357" s="27" t="n">
        <f aca="false">M365*44/12</f>
        <v>15018.4372755992</v>
      </c>
      <c r="N357" s="27" t="n">
        <f aca="false">N365*44/12</f>
        <v>15920.4969232032</v>
      </c>
      <c r="O357" s="27" t="n">
        <f aca="false">O365*44/12</f>
        <v>15606.6376405428</v>
      </c>
      <c r="P357" s="27" t="n">
        <f aca="false">P365*44/12</f>
        <v>14662.664787072</v>
      </c>
      <c r="Q357" s="27" t="n">
        <f aca="false">Q365*44/12</f>
        <v>13216.5752075091</v>
      </c>
      <c r="R357" s="27" t="n">
        <f aca="false">R365*44/12</f>
        <v>11202.4973274371</v>
      </c>
      <c r="S357" s="28" t="str">
        <f aca="false"> EUA!S357</f>
        <v> MtCO2 / ano</v>
      </c>
      <c r="T357" s="13"/>
      <c r="U357" s="103" t="s">
        <v>85</v>
      </c>
    </row>
    <row r="358" customFormat="false" ht="11.25" hidden="false" customHeight="false" outlineLevel="0" collapsed="false">
      <c r="A358" s="63" t="str">
        <f aca="false">A250</f>
        <v> Consumo de energia</v>
      </c>
      <c r="B358" s="26" t="n">
        <f aca="false">B250</f>
        <v>203.007256</v>
      </c>
      <c r="C358" s="26" t="n">
        <f aca="false">C250</f>
        <v>315.99695055</v>
      </c>
      <c r="D358" s="26" t="n">
        <f aca="false">D250</f>
        <v>422.752273</v>
      </c>
      <c r="E358" s="26" t="n">
        <f aca="false">E250</f>
        <v>530.71639393</v>
      </c>
      <c r="F358" s="26" t="n">
        <f aca="false">F250</f>
        <v>692.351568072667</v>
      </c>
      <c r="G358" s="26" t="n">
        <f aca="false">G250</f>
        <v>928.325483698048</v>
      </c>
      <c r="H358" s="26" t="n">
        <f aca="false">H250</f>
        <v>1054.37628339757</v>
      </c>
      <c r="I358" s="26" t="n">
        <f aca="false">I250</f>
        <v>1715.01949305939</v>
      </c>
      <c r="J358" s="26" t="n">
        <f aca="false">J250</f>
        <v>2459.48634687938</v>
      </c>
      <c r="K358" s="27" t="n">
        <f aca="false">K250</f>
        <v>3416.51395732635</v>
      </c>
      <c r="L358" s="27" t="n">
        <f aca="false">L250</f>
        <v>4431.99902962325</v>
      </c>
      <c r="M358" s="27" t="n">
        <f aca="false">M250</f>
        <v>5243.58822899625</v>
      </c>
      <c r="N358" s="27" t="n">
        <f aca="false">N250</f>
        <v>5809.83282957731</v>
      </c>
      <c r="O358" s="27" t="n">
        <f aca="false">O250</f>
        <v>6102.84181422327</v>
      </c>
      <c r="P358" s="27" t="n">
        <f aca="false">P250</f>
        <v>6083.11069523859</v>
      </c>
      <c r="Q358" s="27" t="n">
        <f aca="false">Q250</f>
        <v>5941.00022327971</v>
      </c>
      <c r="R358" s="27" t="n">
        <f aca="false">R250</f>
        <v>5522.10032178158</v>
      </c>
      <c r="S358" s="28" t="str">
        <f aca="false"> EUA!S358</f>
        <v> Mtoe / ano</v>
      </c>
      <c r="T358" s="13"/>
    </row>
    <row r="359" customFormat="false" ht="11.25" hidden="false" customHeight="false" outlineLevel="0" collapsed="false">
      <c r="A359" s="63" t="str">
        <f aca="false">A134</f>
        <v> PIB da China</v>
      </c>
      <c r="B359" s="133" t="n">
        <f aca="false">B134</f>
        <v>0.350138909154981</v>
      </c>
      <c r="C359" s="133" t="n">
        <f aca="false">C134</f>
        <v>0.472675001521954</v>
      </c>
      <c r="D359" s="133" t="n">
        <f aca="false">D134</f>
        <v>0.704163904365608</v>
      </c>
      <c r="E359" s="133" t="n">
        <f aca="false">E134</f>
        <v>1.13855925942422</v>
      </c>
      <c r="F359" s="133" t="n">
        <f aca="false">F134</f>
        <v>1.58628175908096</v>
      </c>
      <c r="G359" s="133" t="n">
        <f aca="false">G134</f>
        <v>2.76527281765351</v>
      </c>
      <c r="H359" s="133" t="n">
        <f aca="false">H134</f>
        <v>3.84926156238622</v>
      </c>
      <c r="I359" s="133" t="n">
        <f aca="false">I134</f>
        <v>6.39184640425745</v>
      </c>
      <c r="J359" s="133" t="n">
        <f aca="false">J134</f>
        <v>9.5606351547878</v>
      </c>
      <c r="K359" s="134" t="n">
        <f aca="false">K134</f>
        <v>13.9798310620007</v>
      </c>
      <c r="L359" s="134" t="n">
        <f aca="false">L134</f>
        <v>19.0895097582144</v>
      </c>
      <c r="M359" s="134" t="n">
        <f aca="false">M134</f>
        <v>25.0946526728898</v>
      </c>
      <c r="N359" s="134" t="n">
        <f aca="false">N134</f>
        <v>30.893971112624</v>
      </c>
      <c r="O359" s="134" t="n">
        <f aca="false">O134</f>
        <v>35.0833034818626</v>
      </c>
      <c r="P359" s="134" t="n">
        <f aca="false">P134</f>
        <v>37.8052708453959</v>
      </c>
      <c r="Q359" s="134" t="n">
        <f aca="false">Q134</f>
        <v>39.9157662132887</v>
      </c>
      <c r="R359" s="134" t="n">
        <f aca="false">R134</f>
        <v>39.5747260805191</v>
      </c>
      <c r="S359" s="28" t="str">
        <f aca="false"> EUA!S359</f>
        <v> T$ / ano</v>
      </c>
      <c r="T359" s="13"/>
    </row>
    <row r="360" customFormat="false" ht="11.25" hidden="false" customHeight="false" outlineLevel="0" collapsed="false">
      <c r="A360" s="63" t="s">
        <v>112</v>
      </c>
      <c r="B360" s="135" t="n">
        <f aca="false">B255</f>
        <v>2.679214579404</v>
      </c>
      <c r="C360" s="135" t="n">
        <f aca="false">C255</f>
        <v>3.12281494578493</v>
      </c>
      <c r="D360" s="135" t="n">
        <f aca="false">D255</f>
        <v>3.11624581140927</v>
      </c>
      <c r="E360" s="135" t="n">
        <f aca="false">E255</f>
        <v>3.9390153081944</v>
      </c>
      <c r="F360" s="135" t="n">
        <f aca="false">F255</f>
        <v>4.14239175084188</v>
      </c>
      <c r="G360" s="135" t="n">
        <f aca="false">G255</f>
        <v>4.73193232163133</v>
      </c>
      <c r="H360" s="135" t="n">
        <f aca="false">H255</f>
        <v>4.84382649940817</v>
      </c>
      <c r="I360" s="135" t="n">
        <f aca="false">I255</f>
        <v>5.3327475029807</v>
      </c>
      <c r="J360" s="135" t="n">
        <f aca="false">J255</f>
        <v>7.18272394334942</v>
      </c>
      <c r="K360" s="136" t="n">
        <f aca="false">K255</f>
        <v>10</v>
      </c>
      <c r="L360" s="136" t="n">
        <f aca="false">L255</f>
        <v>12</v>
      </c>
      <c r="M360" s="136" t="n">
        <f aca="false">M255</f>
        <v>15</v>
      </c>
      <c r="N360" s="136" t="n">
        <f aca="false">N255</f>
        <v>18</v>
      </c>
      <c r="O360" s="136" t="n">
        <f aca="false">O255</f>
        <v>22</v>
      </c>
      <c r="P360" s="136" t="n">
        <f aca="false">P255</f>
        <v>26</v>
      </c>
      <c r="Q360" s="136" t="n">
        <f aca="false">Q255</f>
        <v>31</v>
      </c>
      <c r="R360" s="136" t="n">
        <f aca="false">R255</f>
        <v>37</v>
      </c>
      <c r="S360" s="28" t="str">
        <f aca="false"> EUA!S360</f>
        <v> %</v>
      </c>
      <c r="T360" s="13"/>
    </row>
    <row r="361" customFormat="false" ht="11.25" hidden="false" customHeight="false" outlineLevel="0" collapsed="false">
      <c r="A361" s="63" t="s">
        <v>113</v>
      </c>
      <c r="B361" s="75" t="n">
        <f aca="false">B357/B358</f>
        <v>3.84298086369878</v>
      </c>
      <c r="C361" s="75" t="n">
        <f aca="false">C357/C358</f>
        <v>3.66085389322016</v>
      </c>
      <c r="D361" s="75" t="n">
        <f aca="false">D357/D358</f>
        <v>3.51091745243753</v>
      </c>
      <c r="E361" s="75" t="n">
        <f aca="false">E357/E358</f>
        <v>3.74987474056151</v>
      </c>
      <c r="F361" s="75" t="n">
        <f aca="false">F357/F358</f>
        <v>3.59530058829699</v>
      </c>
      <c r="G361" s="75" t="n">
        <f aca="false">G357/G358</f>
        <v>3.61171168827954</v>
      </c>
      <c r="H361" s="75" t="n">
        <f aca="false">H357/H358</f>
        <v>3.26931164987794</v>
      </c>
      <c r="I361" s="75" t="n">
        <f aca="false">I357/I358</f>
        <v>3.40047077614452</v>
      </c>
      <c r="J361" s="75" t="n">
        <f aca="false">J357/J358</f>
        <v>2.875064276045</v>
      </c>
      <c r="K361" s="75" t="n">
        <f aca="false">K357/K358</f>
        <v>3.18720860156961</v>
      </c>
      <c r="L361" s="75" t="n">
        <f aca="false">L357/L358</f>
        <v>3.03661576454849</v>
      </c>
      <c r="M361" s="75" t="n">
        <f aca="false">M357/M358</f>
        <v>2.86415267937127</v>
      </c>
      <c r="N361" s="75" t="n">
        <f aca="false">N357/N358</f>
        <v>2.74026764456173</v>
      </c>
      <c r="O361" s="75" t="n">
        <f aca="false">O357/O358</f>
        <v>2.55727382678836</v>
      </c>
      <c r="P361" s="75" t="n">
        <f aca="false">P357/P358</f>
        <v>2.41038927641886</v>
      </c>
      <c r="Q361" s="75" t="n">
        <f aca="false">Q357/Q358</f>
        <v>2.22463805938269</v>
      </c>
      <c r="R361" s="75" t="n">
        <f aca="false">R357/R358</f>
        <v>2.02866602825912</v>
      </c>
      <c r="S361" s="28" t="str">
        <f aca="false"> EUA!S361</f>
        <v> tCO2 / toe</v>
      </c>
      <c r="T361" s="13"/>
    </row>
    <row r="362" customFormat="false" ht="11.25" hidden="false" customHeight="false" outlineLevel="0" collapsed="false">
      <c r="A362" s="63" t="s">
        <v>115</v>
      </c>
      <c r="K362" s="27" t="n">
        <f aca="false">K242*$D$375</f>
        <v>461.825544570722</v>
      </c>
      <c r="L362" s="27" t="n">
        <f aca="false">L242*$D$375</f>
        <v>528.611669231415</v>
      </c>
      <c r="M362" s="27" t="n">
        <f aca="false">M242*$D$375</f>
        <v>583.717140001049</v>
      </c>
      <c r="N362" s="27" t="n">
        <f aca="false">N242*$D$375</f>
        <v>554.358502241712</v>
      </c>
      <c r="O362" s="27" t="n">
        <f aca="false">O242*$D$375</f>
        <v>533.790239964723</v>
      </c>
      <c r="P362" s="27" t="n">
        <f aca="false">P242*$D$375</f>
        <v>483.694946266401</v>
      </c>
      <c r="Q362" s="27" t="n">
        <f aca="false">Q242*$D$375</f>
        <v>425.155604584921</v>
      </c>
      <c r="R362" s="27" t="n">
        <f aca="false">R242*$D$375</f>
        <v>307.360576942771</v>
      </c>
      <c r="S362" s="28" t="str">
        <f aca="false"> EUA!S362</f>
        <v> MtC / ano</v>
      </c>
      <c r="T362" s="13"/>
      <c r="U362" s="41"/>
      <c r="V362" s="41"/>
      <c r="W362" s="41"/>
      <c r="X362" s="41"/>
      <c r="Y362" s="41"/>
    </row>
    <row r="363" customFormat="false" ht="11.25" hidden="false" customHeight="false" outlineLevel="0" collapsed="false">
      <c r="A363" s="63" t="s">
        <v>117</v>
      </c>
      <c r="K363" s="27" t="n">
        <f aca="false">K243*$C$375</f>
        <v>117.74747420372</v>
      </c>
      <c r="L363" s="27" t="n">
        <f aca="false">L243*$C$375</f>
        <v>229.118056268617</v>
      </c>
      <c r="M363" s="27" t="n">
        <f aca="false">M243*$C$375</f>
        <v>316.253273225529</v>
      </c>
      <c r="N363" s="27" t="n">
        <f aca="false">N243*$C$375</f>
        <v>400.462664442867</v>
      </c>
      <c r="O363" s="27" t="n">
        <f aca="false">O243*$C$375</f>
        <v>455.714257029593</v>
      </c>
      <c r="P363" s="27" t="n">
        <f aca="false">P243*$C$375</f>
        <v>471.711688984183</v>
      </c>
      <c r="Q363" s="27" t="n">
        <f aca="false">Q243*$C$375</f>
        <v>477.754465019708</v>
      </c>
      <c r="R363" s="27" t="n">
        <f aca="false">R243*$C$375</f>
        <v>412.3488568094</v>
      </c>
      <c r="S363" s="28" t="str">
        <f aca="false"> EUA!S363</f>
        <v> MtC / ano</v>
      </c>
      <c r="T363" s="13"/>
      <c r="U363" s="41"/>
      <c r="V363" s="41"/>
      <c r="W363" s="41"/>
      <c r="X363" s="41"/>
      <c r="Y363" s="41"/>
    </row>
    <row r="364" customFormat="false" ht="11.25" hidden="false" customHeight="false" outlineLevel="0" collapsed="false">
      <c r="A364" s="63" t="s">
        <v>118</v>
      </c>
      <c r="K364" s="27" t="n">
        <f aca="false">K244*$E$375</f>
        <v>2390.19316454552</v>
      </c>
      <c r="L364" s="27" t="n">
        <f aca="false">L244*$E$375</f>
        <v>2912.7097622684</v>
      </c>
      <c r="M364" s="27" t="n">
        <f aca="false">M244*$E$375</f>
        <v>3195.96702557321</v>
      </c>
      <c r="N364" s="27" t="n">
        <f aca="false">N244*$E$375</f>
        <v>3387.13253964357</v>
      </c>
      <c r="O364" s="27" t="n">
        <f aca="false">O244*$E$375</f>
        <v>3266.85122315372</v>
      </c>
      <c r="P364" s="27" t="n">
        <f aca="false">P244*$E$375</f>
        <v>3043.50194304177</v>
      </c>
      <c r="Q364" s="27" t="n">
        <f aca="false">Q244*$E$375</f>
        <v>2701.61044153421</v>
      </c>
      <c r="R364" s="27" t="n">
        <f aca="false">R244*$E$375</f>
        <v>2335.5171100943</v>
      </c>
      <c r="S364" s="28" t="str">
        <f aca="false"> EUA!S364</f>
        <v> MtC / ano</v>
      </c>
      <c r="T364" s="13"/>
      <c r="U364" s="41"/>
      <c r="V364" s="41"/>
      <c r="W364" s="41"/>
      <c r="X364" s="41"/>
      <c r="Y364" s="41"/>
    </row>
    <row r="365" customFormat="false" ht="11.25" hidden="false" customHeight="false" outlineLevel="0" collapsed="false">
      <c r="A365" s="63" t="s">
        <v>119</v>
      </c>
      <c r="K365" s="27" t="n">
        <f aca="false">SUM(K362:K364)</f>
        <v>2969.76618331996</v>
      </c>
      <c r="L365" s="27" t="n">
        <f aca="false">SUM(L362:L364)</f>
        <v>3670.43948776843</v>
      </c>
      <c r="M365" s="27" t="n">
        <f aca="false">SUM(M362:M364)</f>
        <v>4095.93743879979</v>
      </c>
      <c r="N365" s="27" t="n">
        <f aca="false">SUM(N362:N364)</f>
        <v>4341.95370632815</v>
      </c>
      <c r="O365" s="27" t="n">
        <f aca="false">SUM(O362:O364)</f>
        <v>4256.35572014803</v>
      </c>
      <c r="P365" s="27" t="n">
        <f aca="false">SUM(P362:P364)</f>
        <v>3998.90857829236</v>
      </c>
      <c r="Q365" s="27" t="n">
        <f aca="false">SUM(Q362:Q364)</f>
        <v>3604.52051113884</v>
      </c>
      <c r="R365" s="27" t="n">
        <f aca="false">SUM(R362:R364)</f>
        <v>3055.22654384647</v>
      </c>
      <c r="S365" s="28" t="str">
        <f aca="false"> EUA!S365</f>
        <v> MtC / ano</v>
      </c>
      <c r="T365" s="13"/>
      <c r="U365" s="41"/>
      <c r="V365" s="41"/>
      <c r="W365" s="41"/>
      <c r="X365" s="41"/>
      <c r="Y365" s="41"/>
    </row>
    <row r="366" customFormat="false" ht="12.65" hidden="false" customHeight="false" outlineLevel="0" collapsed="false">
      <c r="A366" s="23" t="s">
        <v>7</v>
      </c>
      <c r="S366" s="41"/>
      <c r="T366" s="13"/>
      <c r="U366" s="41"/>
      <c r="V366" s="41"/>
      <c r="W366" s="41"/>
      <c r="X366" s="41"/>
      <c r="Y366" s="41"/>
    </row>
    <row r="367" s="3" customFormat="true" ht="11.25" hidden="false" customHeight="false" outlineLevel="0" collapsed="false">
      <c r="B367" s="24" t="n">
        <v>1970</v>
      </c>
      <c r="C367" s="24" t="n">
        <v>1975</v>
      </c>
      <c r="D367" s="24" t="n">
        <v>1980</v>
      </c>
      <c r="E367" s="24" t="n">
        <v>1985</v>
      </c>
      <c r="F367" s="24" t="n">
        <v>1990</v>
      </c>
      <c r="G367" s="24" t="n">
        <v>1995</v>
      </c>
      <c r="H367" s="24" t="n">
        <v>2000</v>
      </c>
      <c r="I367" s="24" t="n">
        <v>2005</v>
      </c>
      <c r="J367" s="24" t="n">
        <v>2010</v>
      </c>
      <c r="K367" s="24" t="n">
        <v>2015</v>
      </c>
      <c r="L367" s="24" t="n">
        <v>2020</v>
      </c>
      <c r="M367" s="24" t="n">
        <v>2025</v>
      </c>
      <c r="N367" s="24" t="n">
        <v>2030</v>
      </c>
      <c r="O367" s="24" t="n">
        <v>2035</v>
      </c>
      <c r="P367" s="24" t="n">
        <v>2040</v>
      </c>
      <c r="Q367" s="24" t="n">
        <v>2045</v>
      </c>
      <c r="R367" s="24" t="n">
        <v>2050</v>
      </c>
      <c r="S367" s="25" t="s">
        <v>15</v>
      </c>
      <c r="T367" s="13"/>
      <c r="U367" s="41"/>
      <c r="V367" s="41"/>
      <c r="W367" s="41"/>
      <c r="X367" s="41"/>
      <c r="Y367" s="41"/>
    </row>
    <row r="368" s="3" customFormat="true" ht="11.25" hidden="false" customHeight="false" outlineLevel="0" collapsed="false">
      <c r="G368" s="8"/>
      <c r="H368" s="8"/>
      <c r="I368" s="8"/>
      <c r="J368" s="37" t="str">
        <f aca="false">CONCATENATE(A357," Your forecast")</f>
        <v> Emissões de CO2: Sua previsão</v>
      </c>
      <c r="K368" s="84" t="n">
        <f aca="false">K373/12*44</f>
        <v>10889.1426721732</v>
      </c>
      <c r="L368" s="84" t="n">
        <f aca="false">L373/12*44</f>
        <v>13095.8662471122</v>
      </c>
      <c r="M368" s="84" t="n">
        <f aca="false">M373/12*44</f>
        <v>14489.0365991374</v>
      </c>
      <c r="N368" s="84" t="n">
        <f aca="false">N373/12*44</f>
        <v>15245.9740550571</v>
      </c>
      <c r="O368" s="84" t="n">
        <f aca="false">O373/12*44</f>
        <v>14862.029792171</v>
      </c>
      <c r="P368" s="84" t="n">
        <f aca="false">P373/12*44</f>
        <v>13907.0372779824</v>
      </c>
      <c r="Q368" s="84" t="n">
        <f aca="false">Q373/12*44</f>
        <v>12519.2586635991</v>
      </c>
      <c r="R368" s="84" t="n">
        <f aca="false">R373/12*44</f>
        <v>10623.7424781868</v>
      </c>
      <c r="S368" s="28" t="str">
        <f aca="false"> EUA!S368</f>
        <v> MtCO2 / ano</v>
      </c>
      <c r="T368" s="13"/>
      <c r="U368" s="41"/>
      <c r="V368" s="41"/>
      <c r="W368" s="41"/>
      <c r="X368" s="41"/>
      <c r="Y368" s="41"/>
    </row>
    <row r="369" s="3" customFormat="true" ht="11.25" hidden="false" customHeight="false" outlineLevel="0" collapsed="false">
      <c r="G369" s="8"/>
      <c r="H369" s="8"/>
      <c r="I369" s="8"/>
      <c r="J369" s="37" t="str">
        <f aca="false">CONCATENATE(A361," Your forecast")</f>
        <v> Intensidade climática Sua previsão</v>
      </c>
      <c r="K369" s="137" t="n">
        <f aca="false">K368/K266</f>
        <v>3.18720860156961</v>
      </c>
      <c r="L369" s="137" t="n">
        <f aca="false">L368/L266</f>
        <v>3.05361678259086</v>
      </c>
      <c r="M369" s="137" t="n">
        <f aca="false">M368/M266</f>
        <v>2.88460295911717</v>
      </c>
      <c r="N369" s="137" t="n">
        <f aca="false">N368/N266</f>
        <v>2.76319562500383</v>
      </c>
      <c r="O369" s="137" t="n">
        <f aca="false">O368/O266</f>
        <v>2.58386168358593</v>
      </c>
      <c r="P369" s="137" t="n">
        <f aca="false">P368/P266</f>
        <v>2.43991482422382</v>
      </c>
      <c r="Q369" s="137" t="n">
        <f aca="false">Q368/Q266</f>
        <v>2.25787863152837</v>
      </c>
      <c r="R369" s="137" t="n">
        <f aca="false">R368/R266</f>
        <v>2.06582604102727</v>
      </c>
      <c r="S369" s="28" t="str">
        <f aca="false"> EUA!S369</f>
        <v> tCO2 / toe</v>
      </c>
      <c r="T369" s="13"/>
      <c r="U369" s="41"/>
      <c r="V369" s="41"/>
      <c r="W369" s="41"/>
      <c r="X369" s="41"/>
      <c r="Y369" s="41"/>
    </row>
    <row r="370" s="3" customFormat="true" ht="11.25" hidden="false" customHeight="false" outlineLevel="0" collapsed="false">
      <c r="G370" s="8"/>
      <c r="H370" s="8"/>
      <c r="I370" s="8"/>
      <c r="J370" s="37" t="str">
        <f aca="false">CONCATENATE(A362," Your forecast")</f>
        <v> Emissões de CO2 provenientes do petróleo: Sua previsão</v>
      </c>
      <c r="K370" s="84" t="n">
        <f aca="false">K261*$D$375</f>
        <v>461.825544570722</v>
      </c>
      <c r="L370" s="84" t="n">
        <f aca="false">L261*$D$375</f>
        <v>501.282867809789</v>
      </c>
      <c r="M370" s="84" t="n">
        <f aca="false">M261*$D$375</f>
        <v>547.965740241677</v>
      </c>
      <c r="N370" s="84" t="n">
        <f aca="false">N261*$D$375</f>
        <v>515.937025917406</v>
      </c>
      <c r="O370" s="84" t="n">
        <f aca="false">O261*$D$375</f>
        <v>493.030125859393</v>
      </c>
      <c r="P370" s="84" t="n">
        <f aca="false">P261*$D$375</f>
        <v>444.152242492543</v>
      </c>
      <c r="Q370" s="84" t="n">
        <f aca="false">Q261*$D$375</f>
        <v>388.85925039643</v>
      </c>
      <c r="R370" s="84" t="n">
        <f aca="false">R261*$D$375</f>
        <v>280.513478166683</v>
      </c>
      <c r="S370" s="28" t="str">
        <f aca="false"> EUA!S370</f>
        <v> MtC / ano</v>
      </c>
      <c r="T370" s="13"/>
      <c r="U370" s="41"/>
      <c r="V370" s="41"/>
      <c r="W370" s="41"/>
      <c r="X370" s="41"/>
      <c r="Y370" s="41"/>
    </row>
    <row r="371" s="3" customFormat="true" ht="11.25" hidden="false" customHeight="false" outlineLevel="0" collapsed="false">
      <c r="G371" s="8"/>
      <c r="H371" s="8"/>
      <c r="I371" s="8"/>
      <c r="J371" s="37" t="str">
        <f aca="false">CONCATENATE(A363," Your forecast")</f>
        <v> Emissões de CO2 provenientes do gás: Sua previsão</v>
      </c>
      <c r="K371" s="84" t="n">
        <f aca="false">K262*$C$375</f>
        <v>117.74747420372</v>
      </c>
      <c r="L371" s="84" t="n">
        <f aca="false">L262*$C$375</f>
        <v>217.272835615471</v>
      </c>
      <c r="M371" s="84" t="n">
        <f aca="false">M262*$C$375</f>
        <v>296.883451060849</v>
      </c>
      <c r="N371" s="84" t="n">
        <f aca="false">N262*$C$375</f>
        <v>372.707400081555</v>
      </c>
      <c r="O371" s="84" t="n">
        <f aca="false">O262*$C$375</f>
        <v>420.916009093888</v>
      </c>
      <c r="P371" s="84" t="n">
        <f aca="false">P262*$C$375</f>
        <v>433.148632396251</v>
      </c>
      <c r="Q371" s="84" t="n">
        <f aca="false">Q262*$C$375</f>
        <v>436.967644640336</v>
      </c>
      <c r="R371" s="84" t="n">
        <f aca="false">R262*$C$375</f>
        <v>376.331321317104</v>
      </c>
      <c r="S371" s="28" t="str">
        <f aca="false"> EUA!S371</f>
        <v> MtC / ano</v>
      </c>
      <c r="T371" s="13"/>
      <c r="V371" s="41"/>
      <c r="W371" s="41"/>
      <c r="X371" s="41"/>
      <c r="Y371" s="41"/>
    </row>
    <row r="372" s="3" customFormat="true" ht="11.25" hidden="false" customHeight="false" outlineLevel="0" collapsed="false">
      <c r="G372" s="8"/>
      <c r="H372" s="8"/>
      <c r="I372" s="8"/>
      <c r="J372" s="37" t="str">
        <f aca="false">CONCATENATE(A364," Your forecast")</f>
        <v> Emissões de CO2 provenientes do carvão: Sua previsão</v>
      </c>
      <c r="K372" s="84" t="n">
        <f aca="false">K263*$E$375</f>
        <v>2390.19316454552</v>
      </c>
      <c r="L372" s="84" t="n">
        <f aca="false">L263*$E$375</f>
        <v>2853.04418215081</v>
      </c>
      <c r="M372" s="84" t="n">
        <f aca="false">M263*$E$375</f>
        <v>3106.70624482587</v>
      </c>
      <c r="N372" s="84" t="n">
        <f aca="false">N263*$E$375</f>
        <v>3269.34849810751</v>
      </c>
      <c r="O372" s="84" t="n">
        <f aca="false">O263*$E$375</f>
        <v>3139.33471745698</v>
      </c>
      <c r="P372" s="84" t="n">
        <f aca="false">P263*$E$375</f>
        <v>2915.52747365185</v>
      </c>
      <c r="Q372" s="84" t="n">
        <f aca="false">Q263*$E$375</f>
        <v>2588.51637685391</v>
      </c>
      <c r="R372" s="84" t="n">
        <f aca="false">R263*$E$375</f>
        <v>2240.53951274898</v>
      </c>
      <c r="S372" s="28" t="str">
        <f aca="false"> EUA!S372</f>
        <v> MtC / ano</v>
      </c>
      <c r="T372" s="13"/>
      <c r="V372" s="41"/>
      <c r="W372" s="41"/>
      <c r="X372" s="41"/>
      <c r="Y372" s="41"/>
    </row>
    <row r="373" s="3" customFormat="true" ht="11.25" hidden="false" customHeight="false" outlineLevel="0" collapsed="false">
      <c r="F373" s="8"/>
      <c r="G373" s="8"/>
      <c r="H373" s="8"/>
      <c r="I373" s="8"/>
      <c r="J373" s="37" t="str">
        <f aca="false">CONCATENATE(A365," Your forecast")</f>
        <v>Emissões de CO2 provenientes de carvão, petróleo e gás: sua previsão</v>
      </c>
      <c r="K373" s="84" t="n">
        <f aca="false">SUM(K370:K372)</f>
        <v>2969.76618331996</v>
      </c>
      <c r="L373" s="84" t="n">
        <f aca="false">SUM(L370:L372)</f>
        <v>3571.59988557607</v>
      </c>
      <c r="M373" s="84" t="n">
        <f aca="false">SUM(M370:M372)</f>
        <v>3951.55543612839</v>
      </c>
      <c r="N373" s="84" t="n">
        <f aca="false">SUM(N370:N372)</f>
        <v>4157.99292410647</v>
      </c>
      <c r="O373" s="84" t="n">
        <f aca="false">SUM(O370:O372)</f>
        <v>4053.28085241027</v>
      </c>
      <c r="P373" s="84" t="n">
        <f aca="false">SUM(P370:P372)</f>
        <v>3792.82834854064</v>
      </c>
      <c r="Q373" s="84" t="n">
        <f aca="false">SUM(Q370:Q372)</f>
        <v>3414.34327189067</v>
      </c>
      <c r="R373" s="84" t="n">
        <f aca="false">SUM(R370:R372)</f>
        <v>2897.38431223277</v>
      </c>
      <c r="S373" s="28" t="str">
        <f aca="false"> EUA!S373</f>
        <v> MtC / ano</v>
      </c>
      <c r="T373" s="13"/>
      <c r="V373" s="41"/>
      <c r="W373" s="41"/>
      <c r="X373" s="15" t="s">
        <v>33</v>
      </c>
      <c r="Y373" s="41"/>
    </row>
    <row r="374" customFormat="false" ht="11.25" hidden="false" customHeight="false" outlineLevel="0" collapsed="false">
      <c r="C374" s="15" t="s">
        <v>120</v>
      </c>
      <c r="D374" s="15" t="s">
        <v>121</v>
      </c>
      <c r="E374" s="15" t="s">
        <v>122</v>
      </c>
      <c r="S374" s="41"/>
      <c r="T374" s="13"/>
      <c r="V374" s="3" t="s">
        <v>35</v>
      </c>
    </row>
    <row r="375" customFormat="false" ht="28.3" hidden="false" customHeight="false" outlineLevel="0" collapsed="false">
      <c r="B375" s="15" t="s">
        <v>123</v>
      </c>
      <c r="C375" s="32" t="n">
        <v>0.574403596153046</v>
      </c>
      <c r="D375" s="32" t="n">
        <v>0.795144080881188</v>
      </c>
      <c r="E375" s="32" t="n">
        <v>1.06</v>
      </c>
      <c r="F375" s="3" t="s">
        <v>124</v>
      </c>
      <c r="H375" s="156" t="str">
        <f aca="false"> EUA!H375</f>
        <v> Unidades: tC / dedo do pé</v>
      </c>
      <c r="S375" s="41"/>
      <c r="T375" s="13"/>
      <c r="U375" s="55" t="s">
        <v>37</v>
      </c>
      <c r="V375" s="54" t="s">
        <v>38</v>
      </c>
      <c r="W375" s="54" t="s">
        <v>39</v>
      </c>
      <c r="X375" s="55"/>
      <c r="Y375" s="55"/>
    </row>
    <row r="376" s="3" customFormat="true" ht="11.25" hidden="false" customHeight="false" outlineLevel="0" collapsed="false">
      <c r="T376" s="13"/>
      <c r="U376" s="15" t="str">
        <f aca="false">AA381</f>
        <v> Emissões de CO2 (0 - 16 MtCO2 / ano)</v>
      </c>
      <c r="V376" s="25" t="n">
        <v>16000</v>
      </c>
      <c r="W376" s="70" t="n">
        <f aca="false">W380</f>
        <v>16000</v>
      </c>
    </row>
    <row r="377" s="3" customFormat="true" ht="11.25" hidden="false" customHeight="false" outlineLevel="0" collapsed="false">
      <c r="T377" s="13"/>
      <c r="U377" s="15" t="str">
        <f aca="false">AA382</f>
        <v> Consumo de energia (0 - 6,2 Mtoe/ano)</v>
      </c>
      <c r="V377" s="25" t="n">
        <v>6200</v>
      </c>
      <c r="W377" s="70" t="n">
        <f aca="false">W381</f>
        <v>6200</v>
      </c>
    </row>
    <row r="378" s="3" customFormat="true" ht="11.25" hidden="false" customHeight="false" outlineLevel="0" collapsed="false">
      <c r="T378" s="13"/>
      <c r="U378" s="15" t="str">
        <f aca="false">AA383</f>
        <v> Intensidade climática (0 - 4 tCO2 / toe)</v>
      </c>
      <c r="V378" s="25" t="n">
        <v>4</v>
      </c>
      <c r="W378" s="70" t="n">
        <f aca="false">W382</f>
        <v>4</v>
      </c>
    </row>
    <row r="379" s="3" customFormat="true" ht="11.25" hidden="false" customHeight="false" outlineLevel="0" collapsed="false">
      <c r="T379" s="13"/>
      <c r="U379" s="15" t="str">
        <f aca="false">AA384</f>
        <v> Fração renovável (0 - 40%)</v>
      </c>
      <c r="V379" s="25" t="n">
        <v>40</v>
      </c>
      <c r="W379" s="70" t="n">
        <f aca="false">W383</f>
        <v>40</v>
      </c>
      <c r="AA379" s="52" t="s">
        <v>36</v>
      </c>
    </row>
    <row r="380" s="3" customFormat="true" ht="15" hidden="false" customHeight="false" outlineLevel="0" collapsed="false">
      <c r="T380" s="13"/>
      <c r="U380" s="37" t="str">
        <f aca="false">AA386</f>
        <v> Emissões de CO2 (0 - 16 MtCO2/ano), sua previsão</v>
      </c>
      <c r="W380" s="4" t="n">
        <v>16000</v>
      </c>
      <c r="AA380" s="16"/>
      <c r="AB380" s="24" t="n">
        <v>1970</v>
      </c>
      <c r="AC380" s="24" t="n">
        <v>1975</v>
      </c>
      <c r="AD380" s="24" t="n">
        <v>1980</v>
      </c>
      <c r="AE380" s="24" t="n">
        <v>1985</v>
      </c>
      <c r="AF380" s="24" t="n">
        <v>1990</v>
      </c>
      <c r="AG380" s="24" t="n">
        <v>1995</v>
      </c>
      <c r="AH380" s="24" t="n">
        <v>2000</v>
      </c>
      <c r="AI380" s="24" t="n">
        <v>2005</v>
      </c>
      <c r="AJ380" s="24" t="n">
        <v>2010</v>
      </c>
      <c r="AK380" s="24" t="n">
        <v>2015</v>
      </c>
      <c r="AL380" s="24" t="n">
        <v>2020</v>
      </c>
      <c r="AM380" s="24" t="n">
        <v>2025</v>
      </c>
      <c r="AN380" s="24" t="n">
        <v>2030</v>
      </c>
      <c r="AO380" s="24" t="n">
        <v>2035</v>
      </c>
      <c r="AP380" s="24" t="n">
        <v>2040</v>
      </c>
      <c r="AQ380" s="24" t="n">
        <v>2045</v>
      </c>
      <c r="AR380" s="24" t="n">
        <v>2050</v>
      </c>
    </row>
    <row r="381" s="3" customFormat="true" ht="11.25" hidden="false" customHeight="false" outlineLevel="0" collapsed="false">
      <c r="T381" s="13"/>
      <c r="U381" s="37" t="str">
        <f aca="false">AA387</f>
        <v> Consumo de energia (0 - 6,2 Mtoe/ano), sua previsão</v>
      </c>
      <c r="W381" s="4" t="n">
        <v>6200</v>
      </c>
      <c r="AA381" s="29" t="str">
        <f aca="false">CONCATENATE(A357," (0 - ",W376/1000," MtCO2 / yr)")</f>
        <v> Emissões de CO2 (0 - 16 MtCO2 / ano)</v>
      </c>
      <c r="AB381" s="57" t="n">
        <f aca="false">B357/$W376</f>
        <v>0.0487595625</v>
      </c>
      <c r="AC381" s="57" t="n">
        <f aca="false">C357/$W376</f>
        <v>0.0723011666666667</v>
      </c>
      <c r="AD381" s="57" t="n">
        <f aca="false">D357/$W376</f>
        <v>0.0927655208333333</v>
      </c>
      <c r="AE381" s="57" t="n">
        <f aca="false">E357/$W376</f>
        <v>0.1243825</v>
      </c>
      <c r="AF381" s="57" t="n">
        <f aca="false">F357/$W376</f>
        <v>0.15557575</v>
      </c>
      <c r="AG381" s="57" t="n">
        <f aca="false">G357/$W376</f>
        <v>0.20955275</v>
      </c>
      <c r="AH381" s="57" t="n">
        <f aca="false">H357/$W376</f>
        <v>0.215442791666667</v>
      </c>
      <c r="AI381" s="57" t="n">
        <f aca="false">I357/$W376</f>
        <v>0.364492104166667</v>
      </c>
      <c r="AJ381" s="57" t="n">
        <f aca="false">J357/$W376</f>
        <v>0.441948833333333</v>
      </c>
      <c r="AK381" s="57" t="n">
        <f aca="false">K357/$W376</f>
        <v>0.680571417010824</v>
      </c>
      <c r="AL381" s="57" t="n">
        <f aca="false">L357/$W376</f>
        <v>0.8411423826136</v>
      </c>
      <c r="AM381" s="57" t="n">
        <f aca="false">M357/$W376</f>
        <v>0.938652329724952</v>
      </c>
      <c r="AN381" s="57" t="n">
        <f aca="false">N357/$W376</f>
        <v>0.995031057700201</v>
      </c>
      <c r="AO381" s="57" t="n">
        <f aca="false">O357/$W376</f>
        <v>0.975414852533924</v>
      </c>
      <c r="AP381" s="57" t="n">
        <f aca="false">P357/$W376</f>
        <v>0.916416549191998</v>
      </c>
      <c r="AQ381" s="57" t="n">
        <f aca="false">Q357/$W376</f>
        <v>0.826035950469318</v>
      </c>
      <c r="AR381" s="57" t="n">
        <f aca="false">R357/$W376</f>
        <v>0.700156082964816</v>
      </c>
    </row>
    <row r="382" s="3" customFormat="true" ht="11.25" hidden="false" customHeight="false" outlineLevel="0" collapsed="false">
      <c r="T382" s="13"/>
      <c r="U382" s="37" t="str">
        <f aca="false">AA388</f>
        <v> Intensidade climática (0 - 4 tCO2/tep), Sua previsão</v>
      </c>
      <c r="W382" s="4" t="n">
        <v>4</v>
      </c>
      <c r="AA382" s="29" t="str">
        <f aca="false">CONCATENATE(A358," (0 - ",W377/1000," Mtoe / yr)")</f>
        <v> Consumo de energia (0 - 6,2 Mtoe/ano)</v>
      </c>
      <c r="AB382" s="57" t="n">
        <f aca="false">B358/$W377</f>
        <v>0.0327431058064516</v>
      </c>
      <c r="AC382" s="57" t="n">
        <f aca="false">C358/$W377</f>
        <v>0.0509672500887097</v>
      </c>
      <c r="AD382" s="57" t="n">
        <f aca="false">D358/$W377</f>
        <v>0.068185850483871</v>
      </c>
      <c r="AE382" s="57" t="n">
        <f aca="false">E358/$W377</f>
        <v>0.0855994183758065</v>
      </c>
      <c r="AF382" s="57" t="n">
        <f aca="false">F358/$W377</f>
        <v>0.111669607753656</v>
      </c>
      <c r="AG382" s="57" t="n">
        <f aca="false">G358/$W377</f>
        <v>0.149729916725492</v>
      </c>
      <c r="AH382" s="57" t="n">
        <f aca="false">H358/$W377</f>
        <v>0.170060690870575</v>
      </c>
      <c r="AI382" s="57" t="n">
        <f aca="false">I358/$W377</f>
        <v>0.276616047267644</v>
      </c>
      <c r="AJ382" s="57" t="n">
        <f aca="false">J358/$W377</f>
        <v>0.396691346270868</v>
      </c>
      <c r="AK382" s="57" t="n">
        <f aca="false">K358/$W377</f>
        <v>0.551050638278444</v>
      </c>
      <c r="AL382" s="57" t="n">
        <f aca="false">L358/$W377</f>
        <v>0.714838553165041</v>
      </c>
      <c r="AM382" s="57" t="n">
        <f aca="false">M358/$W377</f>
        <v>0.845740036934879</v>
      </c>
      <c r="AN382" s="57" t="n">
        <f aca="false">N358/$W377</f>
        <v>0.937069811222146</v>
      </c>
      <c r="AO382" s="57" t="n">
        <f aca="false">O358/$W377</f>
        <v>0.984329324874721</v>
      </c>
      <c r="AP382" s="57" t="n">
        <f aca="false">P358/$W377</f>
        <v>0.981146886328805</v>
      </c>
      <c r="AQ382" s="57" t="n">
        <f aca="false">Q358/$W377</f>
        <v>0.958225842464469</v>
      </c>
      <c r="AR382" s="57" t="n">
        <f aca="false">R358/$W377</f>
        <v>0.890661342222835</v>
      </c>
    </row>
    <row r="383" s="3" customFormat="true" ht="11.25" hidden="false" customHeight="false" outlineLevel="0" collapsed="false">
      <c r="T383" s="13"/>
      <c r="U383" s="37" t="str">
        <f aca="false">AA389</f>
        <v> Fração renovável (0 - 40%), Sua previsão</v>
      </c>
      <c r="W383" s="4" t="n">
        <v>40</v>
      </c>
      <c r="AA383" s="29" t="str">
        <f aca="false">CONCATENATE(A361," (0 - ",W378," tCO2 / toe)")</f>
        <v> Intensidade climática (0 - 4 tCO2 / toe)</v>
      </c>
      <c r="AB383" s="57" t="n">
        <f aca="false">B361/$W378</f>
        <v>0.960745215924696</v>
      </c>
      <c r="AC383" s="57" t="n">
        <f aca="false">C361/$W378</f>
        <v>0.915213473305041</v>
      </c>
      <c r="AD383" s="57" t="n">
        <f aca="false">D361/$W378</f>
        <v>0.877729363109381</v>
      </c>
      <c r="AE383" s="57" t="n">
        <f aca="false">E361/$W378</f>
        <v>0.937468685140378</v>
      </c>
      <c r="AF383" s="57" t="n">
        <f aca="false">F361/$W378</f>
        <v>0.898825147074247</v>
      </c>
      <c r="AG383" s="57" t="n">
        <f aca="false">G361/$W378</f>
        <v>0.902927922069886</v>
      </c>
      <c r="AH383" s="57" t="n">
        <f aca="false">H361/$W378</f>
        <v>0.817327912469485</v>
      </c>
      <c r="AI383" s="57" t="n">
        <f aca="false">I361/$W378</f>
        <v>0.850117694036131</v>
      </c>
      <c r="AJ383" s="57" t="n">
        <f aca="false">J361/$W378</f>
        <v>0.718766069011251</v>
      </c>
      <c r="AK383" s="57" t="n">
        <f aca="false">K361/$W378</f>
        <v>0.796802150392403</v>
      </c>
      <c r="AL383" s="57" t="n">
        <f aca="false">L361/$W378</f>
        <v>0.759153941137123</v>
      </c>
      <c r="AM383" s="57" t="n">
        <f aca="false">M361/$W378</f>
        <v>0.716038169842816</v>
      </c>
      <c r="AN383" s="57" t="n">
        <f aca="false">N361/$W378</f>
        <v>0.685066911140433</v>
      </c>
      <c r="AO383" s="57" t="n">
        <f aca="false">O361/$W378</f>
        <v>0.639318456697091</v>
      </c>
      <c r="AP383" s="57" t="n">
        <f aca="false">P361/$W378</f>
        <v>0.602597319104715</v>
      </c>
      <c r="AQ383" s="57" t="n">
        <f aca="false">Q361/$W378</f>
        <v>0.556159514845672</v>
      </c>
      <c r="AR383" s="57" t="n">
        <f aca="false">R361/$W378</f>
        <v>0.507166507064781</v>
      </c>
    </row>
    <row r="384" s="3" customFormat="true" ht="11.25" hidden="false" customHeight="false" outlineLevel="0" collapsed="false">
      <c r="T384" s="13"/>
      <c r="AA384" s="29" t="str">
        <f aca="false">CONCATENATE(A360," (0 - ",W379," %)")</f>
        <v> Fração renovável (0 - 40%)</v>
      </c>
      <c r="AB384" s="57" t="n">
        <f aca="false">B360/$W379</f>
        <v>0.0669803644851</v>
      </c>
      <c r="AC384" s="57" t="n">
        <f aca="false">C360/$W379</f>
        <v>0.0780703736446231</v>
      </c>
      <c r="AD384" s="57" t="n">
        <f aca="false">D360/$W379</f>
        <v>0.0779061452852319</v>
      </c>
      <c r="AE384" s="57" t="n">
        <f aca="false">E360/$W379</f>
        <v>0.09847538270486</v>
      </c>
      <c r="AF384" s="57" t="n">
        <f aca="false">F360/$W379</f>
        <v>0.103559793771047</v>
      </c>
      <c r="AG384" s="57" t="n">
        <f aca="false">G360/$W379</f>
        <v>0.118298308040783</v>
      </c>
      <c r="AH384" s="57" t="n">
        <f aca="false">H360/$W379</f>
        <v>0.121095662485204</v>
      </c>
      <c r="AI384" s="57" t="n">
        <f aca="false">I360/$W379</f>
        <v>0.133318687574517</v>
      </c>
      <c r="AJ384" s="57" t="n">
        <f aca="false">J360/$W379</f>
        <v>0.179568098583736</v>
      </c>
      <c r="AK384" s="57" t="n">
        <f aca="false">K360/$W379</f>
        <v>0.25</v>
      </c>
      <c r="AL384" s="57" t="n">
        <f aca="false">L360/$W379</f>
        <v>0.3</v>
      </c>
      <c r="AM384" s="57" t="n">
        <f aca="false">M360/$W379</f>
        <v>0.375</v>
      </c>
      <c r="AN384" s="57" t="n">
        <f aca="false">N360/$W379</f>
        <v>0.45</v>
      </c>
      <c r="AO384" s="57" t="n">
        <f aca="false">O360/$W379</f>
        <v>0.55</v>
      </c>
      <c r="AP384" s="57" t="n">
        <f aca="false">P360/$W379</f>
        <v>0.65</v>
      </c>
      <c r="AQ384" s="57" t="n">
        <f aca="false">Q360/$W379</f>
        <v>0.775</v>
      </c>
      <c r="AR384" s="57" t="n">
        <f aca="false">R360/$W379</f>
        <v>0.925</v>
      </c>
    </row>
    <row r="385" s="3" customFormat="true" ht="11.25" hidden="false" customHeight="false" outlineLevel="0" collapsed="false">
      <c r="T385" s="13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="3" customFormat="true" ht="11.25" hidden="false" customHeight="false" outlineLevel="0" collapsed="false">
      <c r="T386" s="13"/>
      <c r="AA386" s="29" t="str">
        <f aca="false">CONCATENATE(A357," (0 - ",W380/1000," MtCO2 / yr), Your forecast")</f>
        <v> Emissões de CO2 (0 - 16 MtCO2/ano), sua previsão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57" t="n">
        <f aca="false">K368/$W380</f>
        <v>0.680571417010824</v>
      </c>
      <c r="AL386" s="57" t="n">
        <f aca="false">L368/$W380</f>
        <v>0.818491640444515</v>
      </c>
      <c r="AM386" s="57" t="n">
        <f aca="false">M368/$W380</f>
        <v>0.90556478744609</v>
      </c>
      <c r="AN386" s="57" t="n">
        <f aca="false">N368/$W380</f>
        <v>0.952873378441067</v>
      </c>
      <c r="AO386" s="57" t="n">
        <f aca="false">O368/$W380</f>
        <v>0.928876862010686</v>
      </c>
      <c r="AP386" s="57" t="n">
        <f aca="false">P368/$W380</f>
        <v>0.869189829873897</v>
      </c>
      <c r="AQ386" s="57" t="n">
        <f aca="false">Q368/$W380</f>
        <v>0.782453666474946</v>
      </c>
      <c r="AR386" s="57" t="n">
        <f aca="false">R368/$W380</f>
        <v>0.663983904886676</v>
      </c>
    </row>
    <row r="387" s="3" customFormat="true" ht="11.25" hidden="false" customHeight="false" outlineLevel="0" collapsed="false">
      <c r="T387" s="13"/>
      <c r="AA387" s="29" t="str">
        <f aca="false">CONCATENATE(A358," (0 - ",W381/1000," Mtoe / yr), Your forecast")</f>
        <v> Consumo de energia (0 - 6,2 Mtoe/ano), sua previsão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57" t="n">
        <f aca="false">K266/$W381</f>
        <v>0.551050638278444</v>
      </c>
      <c r="AL387" s="57" t="n">
        <f aca="false">L266/$W381</f>
        <v>0.691716296397081</v>
      </c>
      <c r="AM387" s="57" t="n">
        <f aca="false">M266/$W381</f>
        <v>0.810143170508591</v>
      </c>
      <c r="AN387" s="57" t="n">
        <f aca="false">N266/$W381</f>
        <v>0.889921817747846</v>
      </c>
      <c r="AO387" s="57" t="n">
        <f aca="false">O266/$W381</f>
        <v>0.927720548901702</v>
      </c>
      <c r="AP387" s="57" t="n">
        <f aca="false">P266/$W381</f>
        <v>0.91932329212369</v>
      </c>
      <c r="AQ387" s="57" t="n">
        <f aca="false">Q266/$W381</f>
        <v>0.894306381275955</v>
      </c>
      <c r="AR387" s="57" t="n">
        <f aca="false">R266/$W381</f>
        <v>0.829453602234765</v>
      </c>
    </row>
    <row r="388" s="3" customFormat="true" ht="11.25" hidden="false" customHeight="false" outlineLevel="0" collapsed="false">
      <c r="S388" s="41"/>
      <c r="T388" s="13"/>
      <c r="U388" s="41"/>
      <c r="AA388" s="29" t="str">
        <f aca="false">CONCATENATE(A361," (0 - ",W382,"  tCO2 / toe), Your forecast")</f>
        <v> Intensidade climática (0 - 4 tCO2/tep), Sua previsão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57" t="n">
        <f aca="false">K369/$W382</f>
        <v>0.796802150392403</v>
      </c>
      <c r="AL388" s="57" t="n">
        <f aca="false">L369/$W382</f>
        <v>0.763404195647714</v>
      </c>
      <c r="AM388" s="57" t="n">
        <f aca="false">M369/$W382</f>
        <v>0.721150739779294</v>
      </c>
      <c r="AN388" s="57" t="n">
        <f aca="false">N369/$W382</f>
        <v>0.690798906250957</v>
      </c>
      <c r="AO388" s="57" t="n">
        <f aca="false">O369/$W382</f>
        <v>0.645965420896483</v>
      </c>
      <c r="AP388" s="57" t="n">
        <f aca="false">P369/$W382</f>
        <v>0.609978706055954</v>
      </c>
      <c r="AQ388" s="57" t="n">
        <f aca="false">Q369/$W382</f>
        <v>0.564469657882092</v>
      </c>
      <c r="AR388" s="57" t="n">
        <f aca="false">R369/$W382</f>
        <v>0.516456510256819</v>
      </c>
    </row>
    <row r="389" s="3" customFormat="true" ht="11.25" hidden="false" customHeight="false" outlineLevel="0" collapsed="false">
      <c r="S389" s="41"/>
      <c r="T389" s="13"/>
      <c r="U389" s="41"/>
      <c r="AA389" s="29" t="str">
        <f aca="false">CONCATENATE(A360," (0 - ",W383," %), Your forecast")</f>
        <v> Fração renovável (0 - 40%), Sua previsão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57" t="n">
        <f aca="false">K271/$W383</f>
        <v>0.25</v>
      </c>
      <c r="AL389" s="57" t="n">
        <f aca="false">L271/$W383</f>
        <v>0.294</v>
      </c>
      <c r="AM389" s="57" t="n">
        <f aca="false">M271/$W383</f>
        <v>0.3675</v>
      </c>
      <c r="AN389" s="57" t="n">
        <f aca="false">N271/$W383</f>
        <v>0.441</v>
      </c>
      <c r="AO389" s="57" t="n">
        <f aca="false">O271/$W383</f>
        <v>0.539</v>
      </c>
      <c r="AP389" s="57" t="n">
        <f aca="false">P271/$W383</f>
        <v>0.637</v>
      </c>
      <c r="AQ389" s="57" t="n">
        <f aca="false">Q271/$W383</f>
        <v>0.7595</v>
      </c>
      <c r="AR389" s="57" t="n">
        <f aca="false">R271/$W383</f>
        <v>0.9065</v>
      </c>
    </row>
    <row r="390" s="3" customFormat="true" ht="11.25" hidden="false" customHeight="false" outlineLevel="0" collapsed="false">
      <c r="S390" s="41"/>
      <c r="T390" s="13"/>
      <c r="U390" s="41"/>
    </row>
    <row r="391" s="3" customFormat="true" ht="11.25" hidden="false" customHeight="false" outlineLevel="0" collapsed="false">
      <c r="S391" s="41"/>
      <c r="T391" s="13"/>
      <c r="U391" s="41"/>
    </row>
    <row r="392" customFormat="false" ht="11.25" hidden="false" customHeight="false" outlineLevel="0" collapsed="false">
      <c r="S392" s="41"/>
      <c r="T392" s="13"/>
      <c r="U392" s="41"/>
    </row>
    <row r="393" customFormat="false" ht="11.25" hidden="false" customHeight="false" outlineLevel="0" collapsed="false">
      <c r="K393" s="36"/>
      <c r="T393" s="13"/>
    </row>
    <row r="394" customFormat="false" ht="11.25" hidden="false" customHeight="false" outlineLevel="0" collapsed="false">
      <c r="T394" s="13"/>
    </row>
    <row r="395" customFormat="false" ht="11.25" hidden="false" customHeight="false" outlineLevel="0" collapsed="false">
      <c r="T395" s="13"/>
    </row>
    <row r="396" customFormat="false" ht="11.25" hidden="false" customHeight="false" outlineLevel="0" collapsed="false">
      <c r="T396" s="13"/>
    </row>
    <row r="397" customFormat="false" ht="11.25" hidden="false" customHeight="false" outlineLevel="0" collapsed="false">
      <c r="T397" s="13"/>
    </row>
    <row r="398" s="35" customFormat="true" ht="13.8" hidden="false" customHeight="false" outlineLevel="0" collapsed="false">
      <c r="A398" s="73"/>
      <c r="T398" s="13"/>
    </row>
    <row r="399" s="35" customFormat="true" ht="13.8" hidden="false" customHeight="false" outlineLevel="0" collapsed="false">
      <c r="A399" s="73"/>
      <c r="T399" s="13"/>
    </row>
    <row r="400" customFormat="false" ht="11.25" hidden="false" customHeight="false" outlineLevel="0" collapsed="false">
      <c r="T400" s="13"/>
    </row>
    <row r="401" customFormat="false" ht="11.25" hidden="false" customHeight="false" outlineLevel="0" collapsed="false">
      <c r="T401" s="13"/>
    </row>
    <row r="402" customFormat="false" ht="11.25" hidden="false" customHeight="false" outlineLevel="0" collapsed="false">
      <c r="T402" s="13"/>
    </row>
    <row r="403" customFormat="false" ht="11.25" hidden="false" customHeight="false" outlineLevel="0" collapsed="false">
      <c r="T403" s="13"/>
    </row>
    <row r="404" customFormat="false" ht="12.65" hidden="false" customHeight="false" outlineLevel="0" collapsed="false">
      <c r="A404" s="61" t="s">
        <v>126</v>
      </c>
      <c r="T404" s="13"/>
    </row>
    <row r="405" customFormat="false" ht="12.65" hidden="false" customHeight="false" outlineLevel="0" collapsed="false">
      <c r="A405" s="23" t="str">
        <f aca="false">CONCATENATE(A404,". Climate Change - ",A5," 1970 to 2050")</f>
        <v> Gráfico 10. Mudanças Climáticas - China de 1970 a 2050</v>
      </c>
      <c r="D405" s="51" t="s">
        <v>127</v>
      </c>
      <c r="T405" s="13"/>
    </row>
    <row r="406" customFormat="false" ht="12.65" hidden="false" customHeight="false" outlineLevel="0" collapsed="false">
      <c r="A406" s="23"/>
      <c r="D406" s="51"/>
      <c r="T406" s="13"/>
    </row>
    <row r="407" customFormat="false" ht="12.65" hidden="false" customHeight="false" outlineLevel="0" collapsed="false">
      <c r="A407" s="23"/>
      <c r="D407" s="51"/>
      <c r="T407" s="13"/>
    </row>
    <row r="408" customFormat="false" ht="12.65" hidden="false" customHeight="false" outlineLevel="0" collapsed="false">
      <c r="A408" s="23"/>
      <c r="D408" s="51"/>
      <c r="T408" s="13"/>
    </row>
    <row r="409" customFormat="false" ht="12.65" hidden="false" customHeight="false" outlineLevel="0" collapsed="false">
      <c r="A409" s="61" t="s">
        <v>128</v>
      </c>
      <c r="T409" s="13"/>
    </row>
    <row r="410" customFormat="false" ht="12.65" hidden="false" customHeight="false" outlineLevel="0" collapsed="false">
      <c r="A410" s="23" t="str">
        <f aca="false">CONCATENATE(A409,". Food Production - ",A5," 1970 to 2050")</f>
        <v> Gráfico 11. Produção de Alimentos - China, de 1970 a 2050</v>
      </c>
      <c r="T410" s="13"/>
    </row>
    <row r="411" customFormat="false" ht="13.8" hidden="false" customHeight="false" outlineLevel="0" collapsed="false">
      <c r="B411" s="24" t="n">
        <v>1970</v>
      </c>
      <c r="C411" s="24" t="n">
        <v>1975</v>
      </c>
      <c r="D411" s="24" t="n">
        <v>1980</v>
      </c>
      <c r="E411" s="24" t="n">
        <v>1985</v>
      </c>
      <c r="F411" s="24" t="n">
        <v>1990</v>
      </c>
      <c r="G411" s="24" t="n">
        <v>1995</v>
      </c>
      <c r="H411" s="24" t="n">
        <v>2000</v>
      </c>
      <c r="I411" s="24" t="n">
        <v>2005</v>
      </c>
      <c r="J411" s="24" t="n">
        <v>2010</v>
      </c>
      <c r="K411" s="24" t="n">
        <v>2015</v>
      </c>
      <c r="L411" s="24" t="n">
        <v>2020</v>
      </c>
      <c r="M411" s="24" t="n">
        <v>2025</v>
      </c>
      <c r="N411" s="24" t="n">
        <v>2030</v>
      </c>
      <c r="O411" s="24" t="n">
        <v>2035</v>
      </c>
      <c r="P411" s="24" t="n">
        <v>2040</v>
      </c>
      <c r="Q411" s="24" t="n">
        <v>2045</v>
      </c>
      <c r="R411" s="24" t="n">
        <v>2050</v>
      </c>
      <c r="S411" s="25" t="s">
        <v>15</v>
      </c>
      <c r="T411" s="13"/>
      <c r="X411" s="138"/>
    </row>
    <row r="412" customFormat="false" ht="11.25" hidden="false" customHeight="false" outlineLevel="0" collapsed="false">
      <c r="A412" s="63" t="s">
        <v>130</v>
      </c>
      <c r="B412" s="62" t="n">
        <v>471.754001</v>
      </c>
      <c r="C412" s="62" t="n">
        <v>545.185751</v>
      </c>
      <c r="D412" s="62" t="n">
        <v>607.532617</v>
      </c>
      <c r="E412" s="62" t="n">
        <v>713.895713</v>
      </c>
      <c r="F412" s="62" t="n">
        <v>863.233377</v>
      </c>
      <c r="G412" s="62" t="n">
        <v>1029.433475</v>
      </c>
      <c r="H412" s="62" t="n">
        <v>1202.063313</v>
      </c>
      <c r="I412" s="62" t="n">
        <v>1372.426851</v>
      </c>
      <c r="J412" s="62" t="n">
        <v>1537.403733</v>
      </c>
      <c r="K412" s="27" t="n">
        <f aca="false">K413*K414</f>
        <v>1700</v>
      </c>
      <c r="L412" s="27" t="n">
        <f aca="false">L413*L414</f>
        <v>1800</v>
      </c>
      <c r="M412" s="27" t="n">
        <f aca="false">M413*M414</f>
        <v>1900</v>
      </c>
      <c r="N412" s="27" t="n">
        <f aca="false">N413*N414</f>
        <v>1960</v>
      </c>
      <c r="O412" s="27" t="n">
        <f aca="false">O413*O414</f>
        <v>2000</v>
      </c>
      <c r="P412" s="27" t="n">
        <f aca="false">P413*P414</f>
        <v>2000</v>
      </c>
      <c r="Q412" s="27" t="n">
        <f aca="false">Q413*Q414</f>
        <v>1960</v>
      </c>
      <c r="R412" s="27" t="n">
        <f aca="false">R413*R414</f>
        <v>1900</v>
      </c>
      <c r="S412" s="76" t="s">
        <v>131</v>
      </c>
      <c r="T412" s="13"/>
      <c r="U412" s="103" t="s">
        <v>129</v>
      </c>
    </row>
    <row r="413" customFormat="false" ht="11.25" hidden="false" customHeight="false" outlineLevel="0" collapsed="false">
      <c r="A413" s="63" t="s">
        <v>132</v>
      </c>
      <c r="B413" s="62" t="n">
        <v>163.717454</v>
      </c>
      <c r="C413" s="62" t="n">
        <v>166.596031</v>
      </c>
      <c r="D413" s="62" t="n">
        <v>162.594615</v>
      </c>
      <c r="E413" s="62" t="n">
        <v>157.861838</v>
      </c>
      <c r="F413" s="62" t="n">
        <v>167.973979</v>
      </c>
      <c r="G413" s="62" t="n">
        <v>173.677172</v>
      </c>
      <c r="H413" s="62" t="n">
        <v>180.051663</v>
      </c>
      <c r="I413" s="62" t="n">
        <v>182.232161</v>
      </c>
      <c r="J413" s="62" t="n">
        <v>192.954958</v>
      </c>
      <c r="K413" s="139" t="n">
        <v>200</v>
      </c>
      <c r="L413" s="139" t="n">
        <v>200</v>
      </c>
      <c r="M413" s="139" t="n">
        <v>200</v>
      </c>
      <c r="N413" s="139" t="n">
        <v>200</v>
      </c>
      <c r="O413" s="139" t="n">
        <v>200</v>
      </c>
      <c r="P413" s="139" t="n">
        <v>200</v>
      </c>
      <c r="Q413" s="139" t="n">
        <v>200</v>
      </c>
      <c r="R413" s="139" t="n">
        <v>200</v>
      </c>
      <c r="S413" s="140" t="s">
        <v>133</v>
      </c>
      <c r="T413" s="13"/>
      <c r="U413" s="103" t="s">
        <v>85</v>
      </c>
    </row>
    <row r="414" customFormat="false" ht="11.25" hidden="false" customHeight="false" outlineLevel="0" collapsed="false">
      <c r="A414" s="63" t="s">
        <v>134</v>
      </c>
      <c r="B414" s="75" t="n">
        <f aca="false">B412/B413</f>
        <v>2.88151317696402</v>
      </c>
      <c r="C414" s="75" t="n">
        <f aca="false">C412/C413</f>
        <v>3.27250143792441</v>
      </c>
      <c r="D414" s="75" t="n">
        <f aca="false">D412/D413</f>
        <v>3.73648670344956</v>
      </c>
      <c r="E414" s="75" t="n">
        <f aca="false">E412/E413</f>
        <v>4.52228177528251</v>
      </c>
      <c r="F414" s="75" t="n">
        <f aca="false">F412/F413</f>
        <v>5.1390898884404</v>
      </c>
      <c r="G414" s="75" t="n">
        <f aca="false">G412/G413</f>
        <v>5.92728142187852</v>
      </c>
      <c r="H414" s="75" t="n">
        <f aca="false">H412/H413</f>
        <v>6.67621333217011</v>
      </c>
      <c r="I414" s="75" t="n">
        <f aca="false">I412/I413</f>
        <v>7.53120000042144</v>
      </c>
      <c r="J414" s="75" t="n">
        <f aca="false">J412/J413</f>
        <v>7.96768193435071</v>
      </c>
      <c r="K414" s="33" t="n">
        <v>8.5</v>
      </c>
      <c r="L414" s="33" t="n">
        <v>9</v>
      </c>
      <c r="M414" s="33" t="n">
        <v>9.5</v>
      </c>
      <c r="N414" s="33" t="n">
        <v>9.8</v>
      </c>
      <c r="O414" s="33" t="n">
        <v>10</v>
      </c>
      <c r="P414" s="33" t="n">
        <v>10</v>
      </c>
      <c r="Q414" s="33" t="n">
        <v>9.8</v>
      </c>
      <c r="R414" s="33" t="n">
        <v>9.5</v>
      </c>
      <c r="S414" s="140" t="s">
        <v>135</v>
      </c>
      <c r="T414" s="13"/>
      <c r="U414" s="141"/>
      <c r="W414" s="142"/>
      <c r="X414" s="142"/>
      <c r="Y414" s="142"/>
    </row>
    <row r="415" customFormat="false" ht="11.25" hidden="false" customHeight="false" outlineLevel="0" collapsed="false">
      <c r="A415" s="63" t="s">
        <v>136</v>
      </c>
      <c r="B415" s="143" t="n">
        <f aca="false">B412/B9</f>
        <v>0.576130442485628</v>
      </c>
      <c r="C415" s="143" t="n">
        <f aca="false">C412/C9</f>
        <v>0.592822363737771</v>
      </c>
      <c r="D415" s="143" t="n">
        <f aca="false">D412/D9</f>
        <v>0.614618913705847</v>
      </c>
      <c r="E415" s="143" t="n">
        <f aca="false">E412/E9</f>
        <v>0.672034635880933</v>
      </c>
      <c r="F415" s="143" t="n">
        <f aca="false">F412/F9</f>
        <v>0.749758353636007</v>
      </c>
      <c r="G415" s="143" t="n">
        <f aca="false">G412/G9</f>
        <v>0.843431969344397</v>
      </c>
      <c r="H415" s="143" t="n">
        <f aca="false">H412/H9</f>
        <v>0.941810898263979</v>
      </c>
      <c r="I415" s="143" t="n">
        <f aca="false">I412/I9</f>
        <v>1.04376209665915</v>
      </c>
      <c r="J415" s="143" t="n">
        <f aca="false">J412/J9</f>
        <v>1.1397192270768</v>
      </c>
      <c r="K415" s="143" t="n">
        <f aca="false">K412/K9</f>
        <v>1.24477013320298</v>
      </c>
      <c r="L415" s="143" t="n">
        <f aca="false">L412/L9</f>
        <v>1.31439338722404</v>
      </c>
      <c r="M415" s="143" t="n">
        <f aca="false">M412/M9</f>
        <v>1.39572033268821</v>
      </c>
      <c r="N415" s="143" t="n">
        <f aca="false">N412/N9</f>
        <v>1.45944830550446</v>
      </c>
      <c r="O415" s="143" t="n">
        <f aca="false">O412/O9</f>
        <v>1.52288212211159</v>
      </c>
      <c r="P415" s="143" t="n">
        <f aca="false">P412/P9</f>
        <v>1.5709774705945</v>
      </c>
      <c r="Q415" s="143" t="n">
        <f aca="false">Q412/Q9</f>
        <v>1.60196884727182</v>
      </c>
      <c r="R415" s="143" t="n">
        <f aca="false">R412/R9</f>
        <v>1.6300682855309</v>
      </c>
      <c r="S415" s="76" t="s">
        <v>137</v>
      </c>
      <c r="T415" s="13"/>
      <c r="U415" s="142"/>
      <c r="W415" s="144"/>
      <c r="X415" s="144"/>
      <c r="Y415" s="144"/>
    </row>
    <row r="416" customFormat="false" ht="13.8" hidden="false" customHeight="false" outlineLevel="0" collapsed="false">
      <c r="A416" s="63" t="s">
        <v>139</v>
      </c>
      <c r="B416" s="47"/>
      <c r="C416" s="31" t="n">
        <f aca="false">(C412-B412)/B412*100/5</f>
        <v>3.11313734888705</v>
      </c>
      <c r="D416" s="31" t="n">
        <f aca="false">(D412-C412)/C412*100/5</f>
        <v>2.28717885181852</v>
      </c>
      <c r="E416" s="31" t="n">
        <f aca="false">(E412-D412)/D412*100/5</f>
        <v>3.50147771572238</v>
      </c>
      <c r="F416" s="31" t="n">
        <f aca="false">(F412-E412)/E412*100/5</f>
        <v>4.18373892098159</v>
      </c>
      <c r="G416" s="31" t="n">
        <f aca="false">(G412-F412)/F412*100/5</f>
        <v>3.85064114591111</v>
      </c>
      <c r="H416" s="31" t="n">
        <f aca="false">(H412-G412)/G412*100/5</f>
        <v>3.35388040494798</v>
      </c>
      <c r="I416" s="31" t="n">
        <f aca="false">(I412-H412)/H412*100/5</f>
        <v>2.8345185508544</v>
      </c>
      <c r="J416" s="31" t="n">
        <f aca="false">(J412-I412)/I412*100/5</f>
        <v>2.4041628430658</v>
      </c>
      <c r="K416" s="31" t="n">
        <f aca="false">(K412-J412)/J412*100/5</f>
        <v>2.11520583058191</v>
      </c>
      <c r="L416" s="31" t="n">
        <f aca="false">(L412-K412)/K412*100/5</f>
        <v>1.17647058823529</v>
      </c>
      <c r="M416" s="31" t="n">
        <f aca="false">(M412-L412)/L412*100/5</f>
        <v>1.11111111111111</v>
      </c>
      <c r="N416" s="31" t="n">
        <f aca="false">(N412-M412)/M412*100/5</f>
        <v>0.631578947368424</v>
      </c>
      <c r="O416" s="31" t="n">
        <f aca="false">(O412-N412)/N412*100/5</f>
        <v>0.40816326530612</v>
      </c>
      <c r="P416" s="31" t="n">
        <f aca="false">(P412-O412)/O412*100/5</f>
        <v>0</v>
      </c>
      <c r="Q416" s="31" t="n">
        <f aca="false">(Q412-P412)/P412*100/5</f>
        <v>-0.399999999999998</v>
      </c>
      <c r="R416" s="31" t="n">
        <f aca="false">(R412-Q412)/Q412*100/5</f>
        <v>-0.612244897959186</v>
      </c>
      <c r="S416" s="76" t="s">
        <v>25</v>
      </c>
      <c r="T416" s="13"/>
      <c r="U416" s="144" t="s">
        <v>138</v>
      </c>
      <c r="W416" s="145"/>
      <c r="X416" s="145"/>
      <c r="Y416" s="145"/>
    </row>
    <row r="417" customFormat="false" ht="11.25" hidden="false" customHeight="false" outlineLevel="0" collapsed="false">
      <c r="A417" s="63" t="s">
        <v>141</v>
      </c>
      <c r="B417" s="47"/>
      <c r="C417" s="31" t="n">
        <f aca="false">(C413-B413)/B413*100/5</f>
        <v>0.351651815938942</v>
      </c>
      <c r="D417" s="31" t="n">
        <f aca="false">(D413-C413)/C413*100/5</f>
        <v>-0.480373509018352</v>
      </c>
      <c r="E417" s="31" t="n">
        <f aca="false">(E413-D413)/D413*100/5</f>
        <v>-0.582156672285856</v>
      </c>
      <c r="F417" s="31" t="n">
        <f aca="false">(F413-E413)/E413*100/5</f>
        <v>1.2811381304201</v>
      </c>
      <c r="G417" s="31" t="n">
        <f aca="false">(G413-F413)/F413*100/5</f>
        <v>0.679056724613281</v>
      </c>
      <c r="H417" s="31" t="n">
        <f aca="false">(H413-G413)/G413*100/5</f>
        <v>0.734062044722835</v>
      </c>
      <c r="I417" s="31" t="n">
        <f aca="false">(I413-H413)/H413*100/5</f>
        <v>0.242208037811903</v>
      </c>
      <c r="J417" s="31" t="n">
        <f aca="false">(J413-I413)/I413*100/5</f>
        <v>1.17682816701054</v>
      </c>
      <c r="K417" s="31" t="n">
        <f aca="false">(K413-J413)/J413*100/5</f>
        <v>0.730226584797059</v>
      </c>
      <c r="L417" s="31" t="n">
        <f aca="false">(L413-K413)/K413*100/5</f>
        <v>0</v>
      </c>
      <c r="M417" s="31" t="n">
        <f aca="false">(M413-L413)/L413*100/5</f>
        <v>0</v>
      </c>
      <c r="N417" s="31" t="n">
        <f aca="false">(N413-M413)/M413*100/5</f>
        <v>0</v>
      </c>
      <c r="O417" s="31" t="n">
        <f aca="false">(O413-N413)/N413*100/5</f>
        <v>0</v>
      </c>
      <c r="P417" s="31" t="n">
        <f aca="false">(P413-O413)/O413*100/5</f>
        <v>0</v>
      </c>
      <c r="Q417" s="31" t="n">
        <f aca="false">(Q413-P413)/P413*100/5</f>
        <v>0</v>
      </c>
      <c r="R417" s="31" t="n">
        <f aca="false">(R413-Q413)/Q413*100/5</f>
        <v>0</v>
      </c>
      <c r="S417" s="76" t="s">
        <v>25</v>
      </c>
      <c r="T417" s="13"/>
      <c r="U417" s="144" t="s">
        <v>140</v>
      </c>
      <c r="V417" s="41"/>
    </row>
    <row r="418" customFormat="false" ht="12.65" hidden="false" customHeight="false" outlineLevel="0" collapsed="false">
      <c r="A418" s="23" t="s">
        <v>7</v>
      </c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T418" s="13"/>
    </row>
    <row r="419" customFormat="false" ht="11.25" hidden="false" customHeight="false" outlineLevel="0" collapsed="false">
      <c r="B419" s="24" t="n">
        <v>1970</v>
      </c>
      <c r="C419" s="24" t="n">
        <v>1975</v>
      </c>
      <c r="D419" s="24" t="n">
        <v>1980</v>
      </c>
      <c r="E419" s="24" t="n">
        <v>1985</v>
      </c>
      <c r="F419" s="24" t="n">
        <v>1990</v>
      </c>
      <c r="G419" s="24" t="n">
        <v>1995</v>
      </c>
      <c r="H419" s="24" t="n">
        <v>2000</v>
      </c>
      <c r="I419" s="24" t="n">
        <v>2005</v>
      </c>
      <c r="J419" s="24" t="n">
        <v>2010</v>
      </c>
      <c r="K419" s="24" t="n">
        <v>2015</v>
      </c>
      <c r="L419" s="24" t="n">
        <v>2020</v>
      </c>
      <c r="M419" s="24" t="n">
        <v>2025</v>
      </c>
      <c r="N419" s="24" t="n">
        <v>2030</v>
      </c>
      <c r="O419" s="24" t="n">
        <v>2035</v>
      </c>
      <c r="P419" s="24" t="n">
        <v>2040</v>
      </c>
      <c r="Q419" s="24" t="n">
        <v>2045</v>
      </c>
      <c r="R419" s="24" t="n">
        <v>2050</v>
      </c>
      <c r="S419" s="25" t="s">
        <v>15</v>
      </c>
      <c r="T419" s="13"/>
    </row>
    <row r="420" s="3" customFormat="true" ht="11.25" hidden="false" customHeight="false" outlineLevel="0" collapsed="false">
      <c r="J420" s="146" t="str">
        <f aca="false">CONCATENATE(A412,", Your forecast")</f>
        <v> Produção de alimentos, sua previsão</v>
      </c>
      <c r="K420" s="84" t="n">
        <f aca="false">K421*K422</f>
        <v>1700</v>
      </c>
      <c r="L420" s="84" t="n">
        <f aca="false">L421*L422</f>
        <v>1728.72</v>
      </c>
      <c r="M420" s="84" t="n">
        <f aca="false">M421*M422</f>
        <v>1824.76</v>
      </c>
      <c r="N420" s="84" t="n">
        <f aca="false">N421*N422</f>
        <v>1882.384</v>
      </c>
      <c r="O420" s="84" t="n">
        <f aca="false">O421*O422</f>
        <v>1920.8</v>
      </c>
      <c r="P420" s="84" t="n">
        <f aca="false">P421*P422</f>
        <v>1920.8</v>
      </c>
      <c r="Q420" s="84" t="n">
        <f aca="false">Q421*Q422</f>
        <v>1882.384</v>
      </c>
      <c r="R420" s="84" t="n">
        <f aca="false">R421*R422</f>
        <v>1824.76</v>
      </c>
      <c r="S420" s="76" t="str">
        <f aca="false">S412</f>
        <v> Monte</v>
      </c>
      <c r="T420" s="13"/>
      <c r="AA420" s="52" t="s">
        <v>36</v>
      </c>
    </row>
    <row r="421" s="3" customFormat="true" ht="15" hidden="false" customHeight="false" outlineLevel="0" collapsed="false">
      <c r="H421" s="5"/>
      <c r="I421" s="5"/>
      <c r="J421" s="147" t="str">
        <f aca="false">CONCATENATE(A413,", Your forecast")</f>
        <v> Terra cultivada, sua previsão</v>
      </c>
      <c r="K421" s="68" t="n">
        <f aca="false">K413</f>
        <v>200</v>
      </c>
      <c r="L421" s="68" t="n">
        <f aca="false">L413*0.98</f>
        <v>196</v>
      </c>
      <c r="M421" s="68" t="n">
        <f aca="false">M413*0.98</f>
        <v>196</v>
      </c>
      <c r="N421" s="68" t="n">
        <f aca="false">N413*0.98</f>
        <v>196</v>
      </c>
      <c r="O421" s="68" t="n">
        <f aca="false">O413*0.98</f>
        <v>196</v>
      </c>
      <c r="P421" s="68" t="n">
        <f aca="false">P413*0.98</f>
        <v>196</v>
      </c>
      <c r="Q421" s="68" t="n">
        <f aca="false">Q413*0.98</f>
        <v>196</v>
      </c>
      <c r="R421" s="68" t="n">
        <f aca="false">R413*0.98</f>
        <v>196</v>
      </c>
      <c r="S421" s="76" t="str">
        <f aca="false">S413</f>
        <v>Mha</v>
      </c>
      <c r="T421" s="13"/>
      <c r="AA421" s="16"/>
      <c r="AB421" s="24" t="n">
        <v>1970</v>
      </c>
      <c r="AC421" s="24" t="n">
        <v>1975</v>
      </c>
      <c r="AD421" s="24" t="n">
        <v>1980</v>
      </c>
      <c r="AE421" s="24" t="n">
        <v>1985</v>
      </c>
      <c r="AF421" s="24" t="n">
        <v>1990</v>
      </c>
      <c r="AG421" s="24" t="n">
        <v>1995</v>
      </c>
      <c r="AH421" s="24" t="n">
        <v>2000</v>
      </c>
      <c r="AI421" s="24" t="n">
        <v>2005</v>
      </c>
      <c r="AJ421" s="24" t="n">
        <v>2010</v>
      </c>
      <c r="AK421" s="24" t="n">
        <v>2015</v>
      </c>
      <c r="AL421" s="24" t="n">
        <v>2020</v>
      </c>
      <c r="AM421" s="24" t="n">
        <v>2025</v>
      </c>
      <c r="AN421" s="24" t="n">
        <v>2030</v>
      </c>
      <c r="AO421" s="24" t="n">
        <v>2035</v>
      </c>
      <c r="AP421" s="24" t="n">
        <v>2040</v>
      </c>
      <c r="AQ421" s="24" t="n">
        <v>2045</v>
      </c>
      <c r="AR421" s="24" t="n">
        <v>2050</v>
      </c>
    </row>
    <row r="422" s="3" customFormat="true" ht="11.25" hidden="false" customHeight="false" outlineLevel="0" collapsed="false">
      <c r="H422" s="5"/>
      <c r="I422" s="5"/>
      <c r="J422" s="147" t="str">
        <f aca="false">CONCATENATE(A414,", Your forecast")</f>
        <v> Rendimento bruto, sua previsão</v>
      </c>
      <c r="K422" s="68" t="n">
        <f aca="false">K414</f>
        <v>8.5</v>
      </c>
      <c r="L422" s="39" t="n">
        <f aca="false">L414*0.98</f>
        <v>8.82</v>
      </c>
      <c r="M422" s="39" t="n">
        <f aca="false">M414*0.98</f>
        <v>9.31</v>
      </c>
      <c r="N422" s="39" t="n">
        <f aca="false">N414*0.98</f>
        <v>9.604</v>
      </c>
      <c r="O422" s="39" t="n">
        <f aca="false">O414*0.98</f>
        <v>9.8</v>
      </c>
      <c r="P422" s="39" t="n">
        <f aca="false">P414*0.98</f>
        <v>9.8</v>
      </c>
      <c r="Q422" s="39" t="n">
        <f aca="false">Q414*0.98</f>
        <v>9.604</v>
      </c>
      <c r="R422" s="39" t="n">
        <f aca="false">R414*0.98</f>
        <v>9.31</v>
      </c>
      <c r="S422" s="76" t="str">
        <f aca="false">S414</f>
        <v> t / ha</v>
      </c>
      <c r="T422" s="13"/>
      <c r="AA422" s="148" t="str">
        <f aca="false">CONCATENATE("Food production (0 - ",W428," Mt / yr)")</f>
        <v> Produção de alimentos (0 - 2200 Mt/ano)</v>
      </c>
      <c r="AB422" s="57" t="n">
        <f aca="false">B412/$W428</f>
        <v>0.214433636818182</v>
      </c>
      <c r="AC422" s="57" t="n">
        <f aca="false">C412/$W428</f>
        <v>0.247811705</v>
      </c>
      <c r="AD422" s="57" t="n">
        <f aca="false">D412/$W428</f>
        <v>0.276151189545455</v>
      </c>
      <c r="AE422" s="57" t="n">
        <f aca="false">E412/$W428</f>
        <v>0.324498051363636</v>
      </c>
      <c r="AF422" s="57" t="n">
        <f aca="false">F412/$W428</f>
        <v>0.392378807727273</v>
      </c>
      <c r="AG422" s="57" t="n">
        <f aca="false">G412/$W428</f>
        <v>0.467924306818182</v>
      </c>
      <c r="AH422" s="57" t="n">
        <f aca="false">H412/$W428</f>
        <v>0.546392415</v>
      </c>
      <c r="AI422" s="57" t="n">
        <f aca="false">I412/$W428</f>
        <v>0.623830386818182</v>
      </c>
      <c r="AJ422" s="57" t="n">
        <f aca="false">J412/$W428</f>
        <v>0.698819878636364</v>
      </c>
      <c r="AK422" s="57" t="n">
        <f aca="false">K412/$W428</f>
        <v>0.772727272727273</v>
      </c>
      <c r="AL422" s="57" t="n">
        <f aca="false">L412/$W428</f>
        <v>0.818181818181818</v>
      </c>
      <c r="AM422" s="57" t="n">
        <f aca="false">M412/$W428</f>
        <v>0.863636363636364</v>
      </c>
      <c r="AN422" s="57" t="n">
        <f aca="false">N412/$W428</f>
        <v>0.890909090909091</v>
      </c>
      <c r="AO422" s="57" t="n">
        <f aca="false">O412/$W428</f>
        <v>0.909090909090909</v>
      </c>
      <c r="AP422" s="57" t="n">
        <f aca="false">P412/$W428</f>
        <v>0.909090909090909</v>
      </c>
      <c r="AQ422" s="57" t="n">
        <f aca="false">Q412/$W428</f>
        <v>0.890909090909091</v>
      </c>
      <c r="AR422" s="57" t="n">
        <f aca="false">R412/$W428</f>
        <v>0.863636363636364</v>
      </c>
    </row>
    <row r="423" s="3" customFormat="true" ht="11.25" hidden="false" customHeight="false" outlineLevel="0" collapsed="false">
      <c r="G423" s="8"/>
      <c r="H423" s="8"/>
      <c r="I423" s="8"/>
      <c r="J423" s="146" t="str">
        <f aca="false">CONCATENATE(A415,", Your forecast")</f>
        <v> Alimentação por pessoa, sua previsão</v>
      </c>
      <c r="K423" s="149" t="n">
        <f aca="false">K420/K17</f>
        <v>1.24477013320298</v>
      </c>
      <c r="L423" s="149" t="n">
        <f aca="false">L420/L17</f>
        <v>1.26241234447844</v>
      </c>
      <c r="M423" s="149" t="n">
        <f aca="false">M420/M17</f>
        <v>1.34036253957209</v>
      </c>
      <c r="N423" s="149" t="n">
        <f aca="false">N420/N17</f>
        <v>1.40118038982301</v>
      </c>
      <c r="O423" s="149" t="n">
        <f aca="false">O420/O17</f>
        <v>1.46142122050953</v>
      </c>
      <c r="P423" s="149" t="n">
        <f aca="false">P420/P17</f>
        <v>1.50662388581423</v>
      </c>
      <c r="Q423" s="149" t="n">
        <f aca="false">Q420/Q17</f>
        <v>1.53510112537012</v>
      </c>
      <c r="R423" s="149" t="n">
        <f aca="false">R420/R17</f>
        <v>1.56047738091239</v>
      </c>
      <c r="S423" s="76" t="str">
        <f aca="false">S415</f>
        <v> t / pessoa-ano</v>
      </c>
      <c r="T423" s="13"/>
      <c r="AA423" s="148" t="str">
        <f aca="false">CONCATENATE("Cultivated land (0 - ",W429," Mha)")</f>
        <v> Terra cultivada (0 - 220 milhões de hectares)</v>
      </c>
      <c r="AB423" s="57" t="n">
        <f aca="false">B413/$W429</f>
        <v>0.744170245454546</v>
      </c>
      <c r="AC423" s="57" t="n">
        <f aca="false">C413/$W429</f>
        <v>0.757254686363637</v>
      </c>
      <c r="AD423" s="57" t="n">
        <f aca="false">D413/$W429</f>
        <v>0.739066431818182</v>
      </c>
      <c r="AE423" s="57" t="n">
        <f aca="false">E413/$W429</f>
        <v>0.717553809090909</v>
      </c>
      <c r="AF423" s="57" t="n">
        <f aca="false">F413/$W429</f>
        <v>0.763518086363636</v>
      </c>
      <c r="AG423" s="57" t="n">
        <f aca="false">G413/$W429</f>
        <v>0.789441690909091</v>
      </c>
      <c r="AH423" s="57" t="n">
        <f aca="false">H413/$W429</f>
        <v>0.81841665</v>
      </c>
      <c r="AI423" s="57" t="n">
        <f aca="false">I413/$W429</f>
        <v>0.828328004545455</v>
      </c>
      <c r="AJ423" s="57" t="n">
        <f aca="false">J413/$W429</f>
        <v>0.877067990909091</v>
      </c>
      <c r="AK423" s="57" t="n">
        <f aca="false">K413/$W429</f>
        <v>0.909090909090909</v>
      </c>
      <c r="AL423" s="57" t="n">
        <f aca="false">L413/$W429</f>
        <v>0.909090909090909</v>
      </c>
      <c r="AM423" s="57" t="n">
        <f aca="false">M413/$W429</f>
        <v>0.909090909090909</v>
      </c>
      <c r="AN423" s="57" t="n">
        <f aca="false">N413/$W429</f>
        <v>0.909090909090909</v>
      </c>
      <c r="AO423" s="57" t="n">
        <f aca="false">O413/$W429</f>
        <v>0.909090909090909</v>
      </c>
      <c r="AP423" s="57" t="n">
        <f aca="false">P413/$W429</f>
        <v>0.909090909090909</v>
      </c>
      <c r="AQ423" s="57" t="n">
        <f aca="false">Q413/$W429</f>
        <v>0.909090909090909</v>
      </c>
      <c r="AR423" s="57" t="n">
        <f aca="false">R413/$W429</f>
        <v>0.909090909090909</v>
      </c>
    </row>
    <row r="424" s="3" customFormat="true" ht="11.25" hidden="false" customHeight="false" outlineLevel="0" collapsed="false">
      <c r="G424" s="8"/>
      <c r="H424" s="8"/>
      <c r="I424" s="8"/>
      <c r="J424" s="146" t="str">
        <f aca="false">CONCATENATE(A416,", Your forecast")</f>
        <v> Crescimento na produção de alimentos, sua previsão</v>
      </c>
      <c r="K424" s="91" t="n">
        <f aca="false">(K420-J412)/J412*100/5</f>
        <v>2.11520583058191</v>
      </c>
      <c r="L424" s="91" t="n">
        <f aca="false">(L420-K420)/K420*100/5</f>
        <v>0.337882352941177</v>
      </c>
      <c r="M424" s="91" t="n">
        <f aca="false">(M420-L420)/L420*100/5</f>
        <v>1.11111111111111</v>
      </c>
      <c r="N424" s="91" t="n">
        <f aca="false">(N420-M420)/M420*100/5</f>
        <v>0.631578947368424</v>
      </c>
      <c r="O424" s="91" t="n">
        <f aca="false">(O420-N420)/N420*100/5</f>
        <v>0.408163265306122</v>
      </c>
      <c r="P424" s="91" t="n">
        <f aca="false">(P420-O420)/O420*100/5</f>
        <v>0</v>
      </c>
      <c r="Q424" s="91" t="n">
        <f aca="false">(Q420-P420)/P420*100/5</f>
        <v>-0.399999999999999</v>
      </c>
      <c r="R424" s="91" t="n">
        <f aca="false">(R420-Q420)/Q420*100/5</f>
        <v>-0.612244897959186</v>
      </c>
      <c r="S424" s="76" t="str">
        <f aca="false">S416</f>
        <v> % por ano</v>
      </c>
      <c r="T424" s="13"/>
      <c r="AA424" s="148" t="str">
        <f aca="false">CONCATENATE("Gross yield (0 - ",W430," t / ha-yr)")</f>
        <v> Rendimento bruto (0 - 10 t / ha-ano)</v>
      </c>
      <c r="AB424" s="57" t="n">
        <f aca="false">B414/$W430</f>
        <v>0.288151317696402</v>
      </c>
      <c r="AC424" s="57" t="n">
        <f aca="false">C414/$W430</f>
        <v>0.327250143792441</v>
      </c>
      <c r="AD424" s="57" t="n">
        <f aca="false">D414/$W430</f>
        <v>0.373648670344956</v>
      </c>
      <c r="AE424" s="57" t="n">
        <f aca="false">E414/$W430</f>
        <v>0.452228177528251</v>
      </c>
      <c r="AF424" s="57" t="n">
        <f aca="false">F414/$W430</f>
        <v>0.51390898884404</v>
      </c>
      <c r="AG424" s="57" t="n">
        <f aca="false">G414/$W430</f>
        <v>0.592728142187852</v>
      </c>
      <c r="AH424" s="57" t="n">
        <f aca="false">H414/$W430</f>
        <v>0.667621333217011</v>
      </c>
      <c r="AI424" s="57" t="n">
        <f aca="false">I414/$W430</f>
        <v>0.753120000042144</v>
      </c>
      <c r="AJ424" s="57" t="n">
        <f aca="false">J414/$W430</f>
        <v>0.796768193435071</v>
      </c>
      <c r="AK424" s="57" t="n">
        <f aca="false">K414/$W430</f>
        <v>0.85</v>
      </c>
      <c r="AL424" s="57" t="n">
        <f aca="false">L414/$W430</f>
        <v>0.9</v>
      </c>
      <c r="AM424" s="57" t="n">
        <f aca="false">M414/$W430</f>
        <v>0.95</v>
      </c>
      <c r="AN424" s="57" t="n">
        <f aca="false">N414/$W430</f>
        <v>0.98</v>
      </c>
      <c r="AO424" s="57" t="n">
        <f aca="false">O414/$W430</f>
        <v>1</v>
      </c>
      <c r="AP424" s="57" t="n">
        <f aca="false">P414/$W430</f>
        <v>1</v>
      </c>
      <c r="AQ424" s="57" t="n">
        <f aca="false">Q414/$W430</f>
        <v>0.98</v>
      </c>
      <c r="AR424" s="57" t="n">
        <f aca="false">R414/$W430</f>
        <v>0.95</v>
      </c>
    </row>
    <row r="425" s="3" customFormat="true" ht="11.25" hidden="false" customHeight="false" outlineLevel="0" collapsed="false">
      <c r="G425" s="8"/>
      <c r="H425" s="8"/>
      <c r="I425" s="8"/>
      <c r="J425" s="146" t="str">
        <f aca="false">CONCATENATE(A417,", Your forecast")</f>
        <v> Crescimento das terras cultivadas, sua previsão</v>
      </c>
      <c r="K425" s="91" t="n">
        <f aca="false">(K421-J413)/J413*100/5</f>
        <v>0.730226584797059</v>
      </c>
      <c r="L425" s="91" t="n">
        <f aca="false">(L421-K421)/K421*100/5</f>
        <v>-0.4</v>
      </c>
      <c r="M425" s="91" t="n">
        <f aca="false">(M421-L421)/L421*100/5</f>
        <v>0</v>
      </c>
      <c r="N425" s="91" t="n">
        <f aca="false">(N421-M421)/M421*100/5</f>
        <v>0</v>
      </c>
      <c r="O425" s="91" t="n">
        <f aca="false">(O421-N421)/N421*100/5</f>
        <v>0</v>
      </c>
      <c r="P425" s="91" t="n">
        <f aca="false">(P421-O421)/O421*100/5</f>
        <v>0</v>
      </c>
      <c r="Q425" s="91" t="n">
        <f aca="false">(Q421-P421)/P421*100/5</f>
        <v>0</v>
      </c>
      <c r="R425" s="91" t="n">
        <f aca="false">(R421-Q421)/Q421*100/5</f>
        <v>0</v>
      </c>
      <c r="S425" s="76" t="str">
        <f aca="false">S417</f>
        <v> % por ano</v>
      </c>
      <c r="T425" s="13"/>
      <c r="X425" s="15" t="s">
        <v>33</v>
      </c>
      <c r="AA425" s="148" t="str">
        <f aca="false">CONCATENATE("Food per person (0 - ",W431," t / person - yr)")</f>
        <v> Alimento por pessoa (0 - 2 t / pessoa - ano)</v>
      </c>
      <c r="AB425" s="57" t="n">
        <f aca="false">B415/$W431</f>
        <v>0.288065221242814</v>
      </c>
      <c r="AC425" s="57" t="n">
        <f aca="false">C415/$W431</f>
        <v>0.296411181868885</v>
      </c>
      <c r="AD425" s="57" t="n">
        <f aca="false">D415/$W431</f>
        <v>0.307309456852923</v>
      </c>
      <c r="AE425" s="57" t="n">
        <f aca="false">E415/$W431</f>
        <v>0.336017317940467</v>
      </c>
      <c r="AF425" s="57" t="n">
        <f aca="false">F415/$W431</f>
        <v>0.374879176818003</v>
      </c>
      <c r="AG425" s="57" t="n">
        <f aca="false">G415/$W431</f>
        <v>0.421715984672198</v>
      </c>
      <c r="AH425" s="57" t="n">
        <f aca="false">H415/$W431</f>
        <v>0.47090544913199</v>
      </c>
      <c r="AI425" s="57" t="n">
        <f aca="false">I415/$W431</f>
        <v>0.521881048329576</v>
      </c>
      <c r="AJ425" s="57" t="n">
        <f aca="false">J415/$W431</f>
        <v>0.569859613538399</v>
      </c>
      <c r="AK425" s="57" t="n">
        <f aca="false">K415/$W431</f>
        <v>0.62238506660149</v>
      </c>
      <c r="AL425" s="57" t="n">
        <f aca="false">L415/$W431</f>
        <v>0.657196693612018</v>
      </c>
      <c r="AM425" s="57" t="n">
        <f aca="false">M415/$W431</f>
        <v>0.697860166344106</v>
      </c>
      <c r="AN425" s="57" t="n">
        <f aca="false">N415/$W431</f>
        <v>0.729724152752229</v>
      </c>
      <c r="AO425" s="57" t="n">
        <f aca="false">O415/$W431</f>
        <v>0.761441061055793</v>
      </c>
      <c r="AP425" s="57" t="n">
        <f aca="false">P415/$W431</f>
        <v>0.785488735297251</v>
      </c>
      <c r="AQ425" s="57" t="n">
        <f aca="false">Q415/$W431</f>
        <v>0.80098442363591</v>
      </c>
      <c r="AR425" s="57" t="n">
        <f aca="false">R415/$W431</f>
        <v>0.815034142765449</v>
      </c>
    </row>
    <row r="426" customFormat="false" ht="11.25" hidden="false" customHeight="false" outlineLevel="0" collapsed="false">
      <c r="T426" s="13"/>
      <c r="V426" s="3" t="s">
        <v>35</v>
      </c>
      <c r="AA426" s="148" t="s">
        <v>142</v>
      </c>
      <c r="AB426" s="57" t="n">
        <f aca="false">B416/$W430</f>
        <v>0</v>
      </c>
      <c r="AC426" s="57" t="n">
        <f aca="false">C416/$W430</f>
        <v>0.311313734888705</v>
      </c>
      <c r="AD426" s="57" t="n">
        <f aca="false">D416/$W430</f>
        <v>0.228717885181852</v>
      </c>
      <c r="AE426" s="57" t="n">
        <f aca="false">E416/$W430</f>
        <v>0.350147771572238</v>
      </c>
      <c r="AF426" s="57" t="n">
        <f aca="false">F416/$W430</f>
        <v>0.418373892098159</v>
      </c>
      <c r="AG426" s="57" t="n">
        <f aca="false">G416/$W430</f>
        <v>0.385064114591111</v>
      </c>
      <c r="AH426" s="57" t="n">
        <f aca="false">H416/$W430</f>
        <v>0.335388040494798</v>
      </c>
      <c r="AI426" s="57" t="n">
        <f aca="false">I416/$W430</f>
        <v>0.28345185508544</v>
      </c>
      <c r="AJ426" s="57" t="n">
        <f aca="false">J416/$W430</f>
        <v>0.24041628430658</v>
      </c>
      <c r="AK426" s="57" t="n">
        <f aca="false">K416/$W430</f>
        <v>0.211520583058191</v>
      </c>
      <c r="AL426" s="57" t="n">
        <f aca="false">L416/$W430</f>
        <v>0.117647058823529</v>
      </c>
      <c r="AM426" s="57" t="n">
        <f aca="false">M416/$W430</f>
        <v>0.111111111111111</v>
      </c>
      <c r="AN426" s="57" t="n">
        <f aca="false">N416/$W430</f>
        <v>0.0631578947368423</v>
      </c>
      <c r="AO426" s="57" t="n">
        <f aca="false">O416/$W430</f>
        <v>0.040816326530612</v>
      </c>
      <c r="AP426" s="57" t="n">
        <f aca="false">P416/$W430</f>
        <v>0</v>
      </c>
      <c r="AQ426" s="57" t="n">
        <f aca="false">Q416/$W430</f>
        <v>-0.0399999999999998</v>
      </c>
      <c r="AR426" s="57" t="n">
        <f aca="false">R416/$W430</f>
        <v>-0.0612244897959186</v>
      </c>
    </row>
    <row r="427" customFormat="false" ht="28.3" hidden="false" customHeight="false" outlineLevel="0" collapsed="false">
      <c r="T427" s="13"/>
      <c r="U427" s="55" t="s">
        <v>37</v>
      </c>
      <c r="V427" s="54" t="s">
        <v>38</v>
      </c>
      <c r="W427" s="54" t="s">
        <v>39</v>
      </c>
      <c r="X427" s="55"/>
      <c r="Y427" s="55"/>
      <c r="AA427" s="148" t="s">
        <v>143</v>
      </c>
      <c r="AB427" s="57" t="n">
        <f aca="false">B417/$W431</f>
        <v>0</v>
      </c>
      <c r="AC427" s="57" t="n">
        <f aca="false">C417/$W431</f>
        <v>0.175825907969471</v>
      </c>
      <c r="AD427" s="57" t="n">
        <f aca="false">D417/$W431</f>
        <v>-0.240186754509176</v>
      </c>
      <c r="AE427" s="57" t="n">
        <f aca="false">E417/$W431</f>
        <v>-0.291078336142928</v>
      </c>
      <c r="AF427" s="57" t="n">
        <f aca="false">F417/$W431</f>
        <v>0.640569065210048</v>
      </c>
      <c r="AG427" s="57" t="n">
        <f aca="false">G417/$W431</f>
        <v>0.33952836230664</v>
      </c>
      <c r="AH427" s="57" t="n">
        <f aca="false">H417/$W431</f>
        <v>0.367031022361418</v>
      </c>
      <c r="AI427" s="57" t="n">
        <f aca="false">I417/$W431</f>
        <v>0.121104018905951</v>
      </c>
      <c r="AJ427" s="57" t="n">
        <f aca="false">J417/$W431</f>
        <v>0.588414083505272</v>
      </c>
      <c r="AK427" s="57" t="n">
        <f aca="false">K417/$W431</f>
        <v>0.365113292398529</v>
      </c>
      <c r="AL427" s="57" t="n">
        <f aca="false">L417/$W431</f>
        <v>0</v>
      </c>
      <c r="AM427" s="57" t="n">
        <f aca="false">M417/$W431</f>
        <v>0</v>
      </c>
      <c r="AN427" s="57" t="n">
        <f aca="false">N417/$W431</f>
        <v>0</v>
      </c>
      <c r="AO427" s="57" t="n">
        <f aca="false">O417/$W431</f>
        <v>0</v>
      </c>
      <c r="AP427" s="57" t="n">
        <f aca="false">P417/$W431</f>
        <v>0</v>
      </c>
      <c r="AQ427" s="57" t="n">
        <f aca="false">Q417/$W431</f>
        <v>0</v>
      </c>
      <c r="AR427" s="57" t="n">
        <f aca="false">R417/$W431</f>
        <v>0</v>
      </c>
    </row>
    <row r="428" customFormat="false" ht="12" hidden="false" customHeight="false" outlineLevel="0" collapsed="false">
      <c r="T428" s="13"/>
      <c r="U428" s="15" t="str">
        <f aca="false">AA422</f>
        <v> Produção de alimentos (0 - 2200 Mt/ano)</v>
      </c>
      <c r="V428" s="25" t="n">
        <v>2200</v>
      </c>
      <c r="W428" s="70" t="n">
        <f aca="false">W432</f>
        <v>2200</v>
      </c>
      <c r="AA428" s="150"/>
      <c r="AB428" s="24" t="n">
        <v>1970</v>
      </c>
      <c r="AC428" s="24" t="n">
        <v>1975</v>
      </c>
      <c r="AD428" s="24" t="n">
        <v>1980</v>
      </c>
      <c r="AE428" s="24" t="n">
        <v>1985</v>
      </c>
      <c r="AF428" s="24" t="n">
        <v>1990</v>
      </c>
      <c r="AG428" s="24" t="n">
        <v>1995</v>
      </c>
      <c r="AH428" s="24" t="n">
        <v>2000</v>
      </c>
      <c r="AI428" s="24" t="n">
        <v>2005</v>
      </c>
      <c r="AJ428" s="24" t="n">
        <v>2010</v>
      </c>
      <c r="AK428" s="24" t="n">
        <v>2015</v>
      </c>
      <c r="AL428" s="24" t="n">
        <v>2020</v>
      </c>
      <c r="AM428" s="24" t="n">
        <v>2025</v>
      </c>
      <c r="AN428" s="24" t="n">
        <v>2030</v>
      </c>
      <c r="AO428" s="24" t="n">
        <v>2035</v>
      </c>
      <c r="AP428" s="24" t="n">
        <v>2040</v>
      </c>
      <c r="AQ428" s="24" t="n">
        <v>2045</v>
      </c>
      <c r="AR428" s="24" t="n">
        <v>2050</v>
      </c>
    </row>
    <row r="429" customFormat="false" ht="11.25" hidden="false" customHeight="false" outlineLevel="0" collapsed="false">
      <c r="T429" s="13"/>
      <c r="U429" s="15" t="str">
        <f aca="false">AA423</f>
        <v> Terra cultivada (0 - 220 milhões de hectares)</v>
      </c>
      <c r="V429" s="25" t="n">
        <v>220</v>
      </c>
      <c r="W429" s="70" t="n">
        <f aca="false">W433</f>
        <v>220</v>
      </c>
      <c r="AA429" s="148" t="str">
        <f aca="false">CONCATENATE("Food production (0 - ",W432," Mt / yr), Your forecast")</f>
        <v> Produção de alimentos (0 - 2200 Mt/ano), Sua previsão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57" t="n">
        <f aca="false">K420/$W432</f>
        <v>0.772727272727273</v>
      </c>
      <c r="AL429" s="57" t="n">
        <f aca="false">L420/$W432</f>
        <v>0.785781818181818</v>
      </c>
      <c r="AM429" s="57" t="n">
        <f aca="false">M420/$W432</f>
        <v>0.829436363636364</v>
      </c>
      <c r="AN429" s="57" t="n">
        <f aca="false">N420/$W432</f>
        <v>0.855629090909091</v>
      </c>
      <c r="AO429" s="57" t="n">
        <f aca="false">O420/$W432</f>
        <v>0.873090909090909</v>
      </c>
      <c r="AP429" s="57" t="n">
        <f aca="false">P420/$W432</f>
        <v>0.873090909090909</v>
      </c>
      <c r="AQ429" s="57" t="n">
        <f aca="false">Q420/$W432</f>
        <v>0.855629090909091</v>
      </c>
      <c r="AR429" s="57" t="n">
        <f aca="false">R420/$W432</f>
        <v>0.829436363636364</v>
      </c>
    </row>
    <row r="430" s="3" customFormat="true" ht="11.25" hidden="false" customHeight="false" outlineLevel="0" collapsed="false">
      <c r="T430" s="13"/>
      <c r="U430" s="15" t="str">
        <f aca="false">AA424</f>
        <v> Rendimento bruto (0 - 10 t / ha-ano)</v>
      </c>
      <c r="V430" s="25" t="n">
        <v>10</v>
      </c>
      <c r="W430" s="70" t="n">
        <f aca="false">W434</f>
        <v>10</v>
      </c>
      <c r="AA430" s="148" t="str">
        <f aca="false">CONCATENATE("Cultivated land (0 - ",W433," Mha), Your forecast")</f>
        <v> Terra cultivada (0 - 220 milhões de hectares), sua previsão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57" t="n">
        <f aca="false">K421/$W433</f>
        <v>0.909090909090909</v>
      </c>
      <c r="AL430" s="57" t="n">
        <f aca="false">L421/$W433</f>
        <v>0.890909090909091</v>
      </c>
      <c r="AM430" s="57" t="n">
        <f aca="false">M421/$W433</f>
        <v>0.890909090909091</v>
      </c>
      <c r="AN430" s="57" t="n">
        <f aca="false">N421/$W433</f>
        <v>0.890909090909091</v>
      </c>
      <c r="AO430" s="57" t="n">
        <f aca="false">O421/$W433</f>
        <v>0.890909090909091</v>
      </c>
      <c r="AP430" s="57" t="n">
        <f aca="false">P421/$W433</f>
        <v>0.890909090909091</v>
      </c>
      <c r="AQ430" s="57" t="n">
        <f aca="false">Q421/$W433</f>
        <v>0.890909090909091</v>
      </c>
      <c r="AR430" s="57" t="n">
        <f aca="false">R421/$W433</f>
        <v>0.890909090909091</v>
      </c>
    </row>
    <row r="431" s="3" customFormat="true" ht="11.25" hidden="false" customHeight="false" outlineLevel="0" collapsed="false">
      <c r="T431" s="13"/>
      <c r="U431" s="15" t="str">
        <f aca="false">AA425</f>
        <v> Alimento por pessoa (0 - 2 t / pessoa - ano)</v>
      </c>
      <c r="V431" s="25" t="n">
        <v>2</v>
      </c>
      <c r="W431" s="70" t="n">
        <f aca="false">W435</f>
        <v>2</v>
      </c>
      <c r="AA431" s="148" t="str">
        <f aca="false">CONCATENATE("Gross yield (0 - ",W434," t / ha-yr), Your forecast")</f>
        <v> Produtividade bruta (0 - 10 t/ha-ano), Sua previsão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57" t="n">
        <f aca="false">K422/$W434</f>
        <v>0.85</v>
      </c>
      <c r="AL431" s="57" t="n">
        <f aca="false">L422/$W434</f>
        <v>0.882</v>
      </c>
      <c r="AM431" s="57" t="n">
        <f aca="false">M422/$W434</f>
        <v>0.931</v>
      </c>
      <c r="AN431" s="57" t="n">
        <f aca="false">N422/$W434</f>
        <v>0.9604</v>
      </c>
      <c r="AO431" s="57" t="n">
        <f aca="false">O422/$W434</f>
        <v>0.98</v>
      </c>
      <c r="AP431" s="57" t="n">
        <f aca="false">P422/$W434</f>
        <v>0.98</v>
      </c>
      <c r="AQ431" s="57" t="n">
        <f aca="false">Q422/$W434</f>
        <v>0.9604</v>
      </c>
      <c r="AR431" s="57" t="n">
        <f aca="false">R422/$W434</f>
        <v>0.931</v>
      </c>
    </row>
    <row r="432" s="3" customFormat="true" ht="11.25" hidden="false" customHeight="false" outlineLevel="0" collapsed="false">
      <c r="S432" s="131"/>
      <c r="T432" s="13"/>
      <c r="U432" s="37" t="str">
        <f aca="false">AA429</f>
        <v> Produção de alimentos (0 - 2200 Mt/ano), Sua previsão</v>
      </c>
      <c r="W432" s="4" t="n">
        <v>2200</v>
      </c>
      <c r="AA432" s="148" t="str">
        <f aca="false">CONCATENATE("Food per person (0 - ",W435," t / person - yr), Your forecast")</f>
        <v> Alimentação por pessoa (0 - 2 t/pessoa-ano), Sua previsão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57" t="n">
        <f aca="false">K423/$W435</f>
        <v>0.62238506660149</v>
      </c>
      <c r="AL432" s="57" t="n">
        <f aca="false">L423/$W435</f>
        <v>0.631206172239222</v>
      </c>
      <c r="AM432" s="57" t="n">
        <f aca="false">M423/$W435</f>
        <v>0.670181269786046</v>
      </c>
      <c r="AN432" s="57" t="n">
        <f aca="false">N423/$W435</f>
        <v>0.700590194911505</v>
      </c>
      <c r="AO432" s="57" t="n">
        <f aca="false">O423/$W435</f>
        <v>0.730710610254765</v>
      </c>
      <c r="AP432" s="57" t="n">
        <f aca="false">P423/$W435</f>
        <v>0.753311942907113</v>
      </c>
      <c r="AQ432" s="57" t="n">
        <f aca="false">Q423/$W435</f>
        <v>0.767550562685059</v>
      </c>
      <c r="AR432" s="57" t="n">
        <f aca="false">R423/$W435</f>
        <v>0.780238690456193</v>
      </c>
    </row>
    <row r="433" s="3" customFormat="true" ht="11.25" hidden="false" customHeight="false" outlineLevel="0" collapsed="false">
      <c r="T433" s="13"/>
      <c r="U433" s="37" t="str">
        <f aca="false">AA430</f>
        <v> Terra cultivada (0 - 220 milhões de hectares), sua previsão</v>
      </c>
      <c r="W433" s="4" t="n">
        <v>220</v>
      </c>
    </row>
    <row r="434" s="3" customFormat="true" ht="11.25" hidden="false" customHeight="false" outlineLevel="0" collapsed="false">
      <c r="T434" s="13"/>
      <c r="U434" s="37" t="str">
        <f aca="false">AA431</f>
        <v> Produtividade bruta (0 - 10 t/ha-ano), Sua previsão</v>
      </c>
      <c r="W434" s="4" t="n">
        <v>10</v>
      </c>
    </row>
    <row r="435" s="3" customFormat="true" ht="11.25" hidden="false" customHeight="false" outlineLevel="0" collapsed="false">
      <c r="T435" s="13"/>
      <c r="U435" s="37" t="str">
        <f aca="false">AA432</f>
        <v> Alimentação por pessoa (0 - 2 t/pessoa-ano), Sua previsão</v>
      </c>
      <c r="W435" s="4" t="n">
        <v>2</v>
      </c>
    </row>
    <row r="436" s="3" customFormat="true" ht="11.25" hidden="false" customHeight="false" outlineLevel="0" collapsed="false">
      <c r="T436" s="13"/>
    </row>
    <row r="437" s="3" customFormat="true" ht="11.25" hidden="false" customHeight="false" outlineLevel="0" collapsed="false">
      <c r="T437" s="13"/>
    </row>
    <row r="438" s="3" customFormat="true" ht="11.25" hidden="false" customHeight="false" outlineLevel="0" collapsed="false">
      <c r="T438" s="13"/>
    </row>
    <row r="439" s="3" customFormat="true" ht="11.25" hidden="false" customHeight="false" outlineLevel="0" collapsed="false">
      <c r="S439" s="131"/>
      <c r="T439" s="13"/>
    </row>
    <row r="440" s="3" customFormat="true" ht="11.25" hidden="false" customHeight="false" outlineLevel="0" collapsed="false">
      <c r="T440" s="13"/>
    </row>
    <row r="441" s="3" customFormat="true" ht="11.25" hidden="false" customHeight="false" outlineLevel="0" collapsed="false">
      <c r="T441" s="13"/>
    </row>
    <row r="442" customFormat="false" ht="11.25" hidden="false" customHeight="false" outlineLevel="0" collapsed="false">
      <c r="T442" s="13"/>
    </row>
    <row r="443" customFormat="false" ht="11.25" hidden="false" customHeight="false" outlineLevel="0" collapsed="false">
      <c r="T443" s="13"/>
    </row>
    <row r="444" customFormat="false" ht="11.25" hidden="false" customHeight="false" outlineLevel="0" collapsed="false">
      <c r="T444" s="13"/>
    </row>
    <row r="445" customFormat="false" ht="11.25" hidden="false" customHeight="false" outlineLevel="0" collapsed="false">
      <c r="T445" s="13"/>
    </row>
    <row r="446" customFormat="false" ht="11.25" hidden="false" customHeight="false" outlineLevel="0" collapsed="false">
      <c r="T446" s="13"/>
    </row>
    <row r="447" customFormat="false" ht="11.25" hidden="false" customHeight="false" outlineLevel="0" collapsed="false">
      <c r="T447" s="13"/>
    </row>
    <row r="448" s="35" customFormat="true" ht="13.8" hidden="false" customHeight="false" outlineLevel="0" collapsed="false">
      <c r="A448" s="73"/>
      <c r="T448" s="13"/>
    </row>
    <row r="449" s="35" customFormat="true" ht="13.8" hidden="false" customHeight="false" outlineLevel="0" collapsed="false">
      <c r="A449" s="73"/>
      <c r="T449" s="13"/>
    </row>
    <row r="450" customFormat="false" ht="11.25" hidden="false" customHeight="false" outlineLevel="0" collapsed="false">
      <c r="T450" s="13"/>
    </row>
    <row r="451" customFormat="false" ht="11.25" hidden="false" customHeight="false" outlineLevel="0" collapsed="false">
      <c r="T451" s="13"/>
    </row>
    <row r="452" customFormat="false" ht="11.25" hidden="false" customHeight="false" outlineLevel="0" collapsed="false">
      <c r="T452" s="13"/>
    </row>
    <row r="453" customFormat="false" ht="11.25" hidden="false" customHeight="false" outlineLevel="0" collapsed="false">
      <c r="T453" s="13"/>
    </row>
    <row r="454" customFormat="false" ht="12.65" hidden="false" customHeight="false" outlineLevel="0" collapsed="false">
      <c r="A454" s="61" t="s">
        <v>144</v>
      </c>
      <c r="T454" s="13"/>
    </row>
    <row r="455" customFormat="false" ht="12.65" hidden="false" customHeight="false" outlineLevel="0" collapsed="false">
      <c r="A455" s="23" t="str">
        <f aca="false">CONCATENATE(A454,". Non-energy Ecological Footprint - ",A5," 1970 to 2050")</f>
        <v>Gráfico 12. Pegada Ecológica Não Energética - China, 1970 a 2050</v>
      </c>
      <c r="T455" s="13"/>
    </row>
    <row r="456" customFormat="false" ht="11.25" hidden="false" customHeight="false" outlineLevel="0" collapsed="false">
      <c r="B456" s="24" t="n">
        <v>1970</v>
      </c>
      <c r="C456" s="24" t="n">
        <v>1975</v>
      </c>
      <c r="D456" s="24" t="n">
        <v>1980</v>
      </c>
      <c r="E456" s="24" t="n">
        <v>1985</v>
      </c>
      <c r="F456" s="24" t="n">
        <v>1990</v>
      </c>
      <c r="G456" s="24" t="n">
        <v>1995</v>
      </c>
      <c r="H456" s="24" t="n">
        <v>2000</v>
      </c>
      <c r="I456" s="24" t="n">
        <v>2005</v>
      </c>
      <c r="J456" s="24" t="n">
        <v>2010</v>
      </c>
      <c r="K456" s="24" t="n">
        <v>2015</v>
      </c>
      <c r="L456" s="24" t="n">
        <v>2020</v>
      </c>
      <c r="M456" s="24" t="n">
        <v>2025</v>
      </c>
      <c r="N456" s="24" t="n">
        <v>2030</v>
      </c>
      <c r="O456" s="24" t="n">
        <v>2035</v>
      </c>
      <c r="P456" s="24" t="n">
        <v>2040</v>
      </c>
      <c r="Q456" s="24" t="n">
        <v>2045</v>
      </c>
      <c r="R456" s="24" t="n">
        <v>2050</v>
      </c>
      <c r="S456" s="25" t="s">
        <v>15</v>
      </c>
      <c r="T456" s="13"/>
    </row>
    <row r="457" customFormat="false" ht="11.25" hidden="false" customHeight="false" outlineLevel="0" collapsed="false">
      <c r="A457" s="11" t="s">
        <v>168</v>
      </c>
      <c r="B457" s="62" t="n">
        <v>1046.684348</v>
      </c>
      <c r="C457" s="62" t="n">
        <v>1092.691905</v>
      </c>
      <c r="D457" s="62" t="n">
        <v>1127.013687</v>
      </c>
      <c r="E457" s="62" t="n">
        <v>1172.78736</v>
      </c>
      <c r="F457" s="62" t="n">
        <v>1236.726411</v>
      </c>
      <c r="G457" s="62" t="n">
        <v>1302.984532</v>
      </c>
      <c r="H457" s="62" t="n">
        <v>1297.350147</v>
      </c>
      <c r="I457" s="62" t="n">
        <v>1301.334996</v>
      </c>
      <c r="J457" s="62" t="n">
        <v>1307.222541</v>
      </c>
      <c r="K457" s="64" t="n">
        <v>1300</v>
      </c>
      <c r="L457" s="64" t="n">
        <v>1300</v>
      </c>
      <c r="M457" s="64" t="n">
        <v>1290</v>
      </c>
      <c r="N457" s="64" t="n">
        <v>1280</v>
      </c>
      <c r="O457" s="64" t="n">
        <v>1270</v>
      </c>
      <c r="P457" s="64" t="n">
        <v>1250</v>
      </c>
      <c r="Q457" s="64" t="n">
        <v>1240</v>
      </c>
      <c r="R457" s="64" t="n">
        <v>1200</v>
      </c>
      <c r="S457" s="28" t="s">
        <v>147</v>
      </c>
      <c r="T457" s="13"/>
      <c r="U457" s="103" t="s">
        <v>145</v>
      </c>
    </row>
    <row r="458" customFormat="false" ht="11.25" hidden="false" customHeight="false" outlineLevel="0" collapsed="false">
      <c r="A458" s="11" t="s">
        <v>148</v>
      </c>
      <c r="B458" s="47"/>
      <c r="C458" s="75" t="n">
        <f aca="false">(C457-B457)/B457*100/5</f>
        <v>0.879110442186529</v>
      </c>
      <c r="D458" s="75" t="n">
        <f aca="false">(D457-C457)/C457*100/5</f>
        <v>0.628206026656713</v>
      </c>
      <c r="E458" s="75" t="n">
        <f aca="false">(E457-D457)/D457*100/5</f>
        <v>0.812300214771037</v>
      </c>
      <c r="F458" s="75" t="n">
        <f aca="false">(F457-E457)/E457*100/5</f>
        <v>1.09037756000372</v>
      </c>
      <c r="G458" s="75" t="n">
        <f aca="false">(G457-F457)/F457*100/5</f>
        <v>1.07150814295984</v>
      </c>
      <c r="H458" s="75" t="n">
        <f aca="false">(H457-G457)/G457*100/5</f>
        <v>-0.0864842960392114</v>
      </c>
      <c r="I458" s="75" t="n">
        <f aca="false">(I457-H457)/H457*100/5</f>
        <v>0.0614305861715861</v>
      </c>
      <c r="J458" s="75" t="n">
        <f aca="false">(J457-I457)/I457*100/5</f>
        <v>0.0904846948417892</v>
      </c>
      <c r="K458" s="75" t="n">
        <f aca="false">(K457-J457)/J457*100/5</f>
        <v>-0.110502087800215</v>
      </c>
      <c r="L458" s="75" t="n">
        <f aca="false">(L457-K457)/K457*100/5</f>
        <v>0</v>
      </c>
      <c r="M458" s="75" t="n">
        <f aca="false">(M457-L457)/L457*100/5</f>
        <v>-0.153846153846154</v>
      </c>
      <c r="N458" s="75" t="n">
        <f aca="false">(N457-M457)/M457*100/5</f>
        <v>-0.155038759689922</v>
      </c>
      <c r="O458" s="75" t="n">
        <f aca="false">(O457-N457)/N457*100/5</f>
        <v>-0.15625</v>
      </c>
      <c r="P458" s="75" t="n">
        <f aca="false">(P457-O457)/O457*100/5</f>
        <v>-0.31496062992126</v>
      </c>
      <c r="Q458" s="75" t="n">
        <f aca="false">(Q457-P457)/P457*100/5</f>
        <v>-0.16</v>
      </c>
      <c r="R458" s="75" t="n">
        <f aca="false">(R457-Q457)/Q457*100/5</f>
        <v>-0.645161290322581</v>
      </c>
      <c r="S458" s="28" t="s">
        <v>25</v>
      </c>
      <c r="T458" s="13"/>
      <c r="U458" s="103" t="s">
        <v>85</v>
      </c>
    </row>
    <row r="459" customFormat="false" ht="11.25" hidden="false" customHeight="false" outlineLevel="0" collapsed="false">
      <c r="A459" s="11" t="s">
        <v>149</v>
      </c>
      <c r="B459" s="62" t="n">
        <v>841.1342099</v>
      </c>
      <c r="C459" s="62" t="n">
        <v>920.236589</v>
      </c>
      <c r="D459" s="62" t="n">
        <v>984.4561018</v>
      </c>
      <c r="E459" s="62" t="n">
        <v>1015.0956355</v>
      </c>
      <c r="F459" s="62" t="n">
        <v>1145.0834648</v>
      </c>
      <c r="G459" s="62" t="n">
        <v>1309.9637678</v>
      </c>
      <c r="H459" s="62" t="n">
        <v>1336.1025601</v>
      </c>
      <c r="I459" s="62" t="n">
        <v>1382.519261</v>
      </c>
      <c r="J459" s="62" t="n">
        <v>1346.694501</v>
      </c>
      <c r="K459" s="27" t="n">
        <f aca="false">K460*K9</f>
        <v>1363.44866925868</v>
      </c>
      <c r="L459" s="27" t="n">
        <f aca="false">L460*L9</f>
        <v>1367.1814902965</v>
      </c>
      <c r="M459" s="27" t="n">
        <f aca="false">M460*M9</f>
        <v>1359.04621713125</v>
      </c>
      <c r="N459" s="27" t="n">
        <f aca="false">N460*N9</f>
        <v>1340.74561458077</v>
      </c>
      <c r="O459" s="27" t="n">
        <f aca="false">O460*O9</f>
        <v>1311.12089219145</v>
      </c>
      <c r="P459" s="27" t="n">
        <f aca="false">P460*P9</f>
        <v>1270.98103188568</v>
      </c>
      <c r="Q459" s="27" t="n">
        <f aca="false">Q460*Q9</f>
        <v>1221.4650232711</v>
      </c>
      <c r="R459" s="27" t="n">
        <f aca="false">R460*R9</f>
        <v>1163.66194910375</v>
      </c>
      <c r="S459" s="28" t="s">
        <v>147</v>
      </c>
      <c r="T459" s="13"/>
    </row>
    <row r="460" customFormat="false" ht="11.25" hidden="false" customHeight="false" outlineLevel="0" collapsed="false">
      <c r="A460" s="117" t="s">
        <v>150</v>
      </c>
      <c r="B460" s="32" t="n">
        <f aca="false">B459/B9</f>
        <v>1.02723670284142</v>
      </c>
      <c r="C460" s="32" t="n">
        <f aca="false">C459/C9</f>
        <v>1.00064396196768</v>
      </c>
      <c r="D460" s="32" t="n">
        <f aca="false">D459/D9</f>
        <v>0.995938856529589</v>
      </c>
      <c r="E460" s="32" t="n">
        <f aca="false">E459/E9</f>
        <v>0.955572940648219</v>
      </c>
      <c r="F460" s="32" t="n">
        <f aca="false">F459/F9</f>
        <v>0.994558269199387</v>
      </c>
      <c r="G460" s="32" t="n">
        <f aca="false">G459/G9</f>
        <v>1.07327510448925</v>
      </c>
      <c r="H460" s="32" t="n">
        <f aca="false">H459/H9</f>
        <v>1.04683001194013</v>
      </c>
      <c r="I460" s="32" t="n">
        <f aca="false">I459/I9</f>
        <v>1.05143760593257</v>
      </c>
      <c r="J460" s="32" t="n">
        <f aca="false">J459/J9</f>
        <v>0.998341283322676</v>
      </c>
      <c r="K460" s="32" t="n">
        <f aca="false">J460*(1+K461/20)</f>
        <v>0.998341283322676</v>
      </c>
      <c r="L460" s="32" t="n">
        <f aca="false">K460*(1+L461/20)</f>
        <v>0.998341283322676</v>
      </c>
      <c r="M460" s="32" t="n">
        <f aca="false">L460*(1+M461/20)</f>
        <v>0.998341283322676</v>
      </c>
      <c r="N460" s="32" t="n">
        <f aca="false">M460*(1+N461/20)</f>
        <v>0.998341283322676</v>
      </c>
      <c r="O460" s="32" t="n">
        <f aca="false">N460*(1+O461/20)</f>
        <v>0.998341283322676</v>
      </c>
      <c r="P460" s="32" t="n">
        <f aca="false">O460*(1+P461/20)</f>
        <v>0.998341283322676</v>
      </c>
      <c r="Q460" s="32" t="n">
        <f aca="false">P460*(1+Q461/20)</f>
        <v>0.998341283322676</v>
      </c>
      <c r="R460" s="32" t="n">
        <f aca="false">Q460*(1+R461/20)</f>
        <v>0.998341283322676</v>
      </c>
      <c r="S460" s="28" t="s">
        <v>151</v>
      </c>
      <c r="T460" s="13"/>
      <c r="Y460" s="142"/>
      <c r="Z460" s="142"/>
    </row>
    <row r="461" customFormat="false" ht="11.25" hidden="false" customHeight="false" outlineLevel="0" collapsed="false">
      <c r="A461" s="117" t="s">
        <v>152</v>
      </c>
      <c r="B461" s="32"/>
      <c r="C461" s="75" t="n">
        <f aca="false">(C460-B460)/B460*100/5</f>
        <v>-0.517752934648496</v>
      </c>
      <c r="D461" s="75" t="n">
        <f aca="false">(D460-C460)/C460*100/5</f>
        <v>-0.0940415495804576</v>
      </c>
      <c r="E461" s="75" t="n">
        <f aca="false">(E460-D460)/D460*100/5</f>
        <v>-0.810610322445438</v>
      </c>
      <c r="F461" s="75" t="n">
        <f aca="false">(F460-E460)/E460*100/5</f>
        <v>0.81595714765054</v>
      </c>
      <c r="G461" s="75" t="n">
        <f aca="false">(G460-F460)/F460*100/5</f>
        <v>1.58295069736301</v>
      </c>
      <c r="H461" s="75" t="n">
        <f aca="false">(H460-G460)/G460*100/5</f>
        <v>-0.492792433897119</v>
      </c>
      <c r="I461" s="75" t="n">
        <f aca="false">(I460-H460)/H460*100/5</f>
        <v>0.0880294592224013</v>
      </c>
      <c r="J461" s="75" t="n">
        <f aca="false">(J460-I460)/I460*100/5</f>
        <v>-1.00997571915462</v>
      </c>
      <c r="K461" s="78" t="n">
        <v>0</v>
      </c>
      <c r="L461" s="78" t="n">
        <v>0</v>
      </c>
      <c r="M461" s="78" t="n">
        <v>0</v>
      </c>
      <c r="N461" s="78" t="n">
        <v>0</v>
      </c>
      <c r="O461" s="78" t="n">
        <v>-2.22413525949787E-015</v>
      </c>
      <c r="P461" s="78" t="n">
        <v>2.22413525949787E-015</v>
      </c>
      <c r="Q461" s="78" t="n">
        <v>2.22413525949787E-015</v>
      </c>
      <c r="R461" s="78" t="n">
        <v>-4.44827051899573E-015</v>
      </c>
      <c r="S461" s="28" t="s">
        <v>25</v>
      </c>
      <c r="T461" s="13"/>
    </row>
    <row r="462" customFormat="false" ht="11.25" hidden="false" customHeight="false" outlineLevel="0" collapsed="false">
      <c r="A462" s="117" t="s">
        <v>153</v>
      </c>
      <c r="B462" s="27" t="n">
        <f aca="false">B457-B459</f>
        <v>205.5501381</v>
      </c>
      <c r="C462" s="27" t="n">
        <f aca="false">C457-C459</f>
        <v>172.455316</v>
      </c>
      <c r="D462" s="27" t="n">
        <f aca="false">D457-D459</f>
        <v>142.5575852</v>
      </c>
      <c r="E462" s="27" t="n">
        <f aca="false">E457-E459</f>
        <v>157.6917245</v>
      </c>
      <c r="F462" s="27" t="n">
        <f aca="false">F457-F459</f>
        <v>91.6429462000001</v>
      </c>
      <c r="G462" s="27" t="n">
        <f aca="false">G457-G459</f>
        <v>-6.97923579999997</v>
      </c>
      <c r="H462" s="27" t="n">
        <f aca="false">H457-H459</f>
        <v>-38.7524131</v>
      </c>
      <c r="I462" s="27" t="n">
        <f aca="false">I457-I459</f>
        <v>-81.1842650000001</v>
      </c>
      <c r="J462" s="27" t="n">
        <f aca="false">J457-J459</f>
        <v>-39.4719599999999</v>
      </c>
      <c r="K462" s="27" t="n">
        <f aca="false">K457-K459</f>
        <v>-63.4486692586763</v>
      </c>
      <c r="L462" s="27" t="n">
        <f aca="false">L457-L459</f>
        <v>-67.1814902964968</v>
      </c>
      <c r="M462" s="27" t="n">
        <f aca="false">M457-M459</f>
        <v>-69.0462171312499</v>
      </c>
      <c r="N462" s="27" t="n">
        <f aca="false">N457-N459</f>
        <v>-60.7456145807748</v>
      </c>
      <c r="O462" s="27" t="n">
        <f aca="false">O457-O459</f>
        <v>-41.1208921914501</v>
      </c>
      <c r="P462" s="27" t="n">
        <f aca="false">P457-P459</f>
        <v>-20.9810318856776</v>
      </c>
      <c r="Q462" s="27" t="n">
        <f aca="false">Q457-Q459</f>
        <v>18.5349767289038</v>
      </c>
      <c r="R462" s="27" t="n">
        <f aca="false">R457-R459</f>
        <v>36.3380508962546</v>
      </c>
      <c r="S462" s="28" t="s">
        <v>147</v>
      </c>
      <c r="T462" s="13"/>
    </row>
    <row r="463" customFormat="false" ht="11.25" hidden="false" customHeight="false" outlineLevel="0" collapsed="false">
      <c r="A463" s="117" t="s">
        <v>154</v>
      </c>
      <c r="B463" s="32" t="n">
        <f aca="false">B462/B9</f>
        <v>0.251028484688008</v>
      </c>
      <c r="C463" s="32" t="n">
        <f aca="false">C462/C9</f>
        <v>0.187523918009119</v>
      </c>
      <c r="D463" s="32" t="n">
        <f aca="false">D462/D9</f>
        <v>0.144220385382457</v>
      </c>
      <c r="E463" s="32" t="n">
        <f aca="false">E462/E9</f>
        <v>0.148445072194731</v>
      </c>
      <c r="F463" s="32" t="n">
        <f aca="false">F462/F9</f>
        <v>0.0795961628639218</v>
      </c>
      <c r="G463" s="32" t="n">
        <f aca="false">G462/G9</f>
        <v>-0.00571820398138198</v>
      </c>
      <c r="H463" s="32" t="n">
        <f aca="false">H462/H9</f>
        <v>-0.0303623316649776</v>
      </c>
      <c r="I463" s="32" t="n">
        <f aca="false">I462/I9</f>
        <v>-0.0617424954855625</v>
      </c>
      <c r="J463" s="32" t="n">
        <f aca="false">J462/J9</f>
        <v>-0.0292616381609931</v>
      </c>
      <c r="K463" s="32" t="n">
        <f aca="false">K462/K9</f>
        <v>-0.0464582402851026</v>
      </c>
      <c r="L463" s="32" t="n">
        <f aca="false">L462/L9</f>
        <v>-0.0490571703275395</v>
      </c>
      <c r="M463" s="32" t="n">
        <f aca="false">M462/M9</f>
        <v>-0.0507206363922583</v>
      </c>
      <c r="N463" s="32" t="n">
        <f aca="false">N462/N9</f>
        <v>-0.0452321858503769</v>
      </c>
      <c r="O463" s="32" t="n">
        <f aca="false">O462/O9</f>
        <v>-0.0313111357818187</v>
      </c>
      <c r="P463" s="32" t="n">
        <f aca="false">P462/P9</f>
        <v>-0.0164803642011122</v>
      </c>
      <c r="Q463" s="32" t="n">
        <f aca="false">Q462/Q9</f>
        <v>0.0151492118901081</v>
      </c>
      <c r="R463" s="32" t="n">
        <f aca="false">R462/R9</f>
        <v>0.0311755285915748</v>
      </c>
      <c r="S463" s="28" t="s">
        <v>151</v>
      </c>
      <c r="T463" s="13"/>
    </row>
    <row r="464" customFormat="false" ht="12.65" hidden="false" customHeight="false" outlineLevel="0" collapsed="false">
      <c r="A464" s="23" t="s">
        <v>7</v>
      </c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T464" s="13"/>
    </row>
    <row r="465" customFormat="false" ht="11.25" hidden="false" customHeight="false" outlineLevel="0" collapsed="false">
      <c r="A465" s="117"/>
      <c r="B465" s="24" t="n">
        <v>1970</v>
      </c>
      <c r="C465" s="24" t="n">
        <v>1975</v>
      </c>
      <c r="D465" s="24" t="n">
        <v>1980</v>
      </c>
      <c r="E465" s="24" t="n">
        <v>1985</v>
      </c>
      <c r="F465" s="24" t="n">
        <v>1990</v>
      </c>
      <c r="G465" s="24" t="n">
        <v>1995</v>
      </c>
      <c r="H465" s="24" t="n">
        <v>2000</v>
      </c>
      <c r="I465" s="24" t="n">
        <v>2005</v>
      </c>
      <c r="J465" s="24" t="n">
        <v>2010</v>
      </c>
      <c r="K465" s="24" t="n">
        <v>2015</v>
      </c>
      <c r="L465" s="24" t="n">
        <v>2020</v>
      </c>
      <c r="M465" s="24" t="n">
        <v>2025</v>
      </c>
      <c r="N465" s="24" t="n">
        <v>2030</v>
      </c>
      <c r="O465" s="24" t="n">
        <v>2035</v>
      </c>
      <c r="P465" s="24" t="n">
        <v>2040</v>
      </c>
      <c r="Q465" s="24" t="n">
        <v>2045</v>
      </c>
      <c r="R465" s="24" t="n">
        <v>2050</v>
      </c>
      <c r="S465" s="25" t="s">
        <v>15</v>
      </c>
      <c r="T465" s="13"/>
    </row>
    <row r="466" s="3" customFormat="true" ht="11.25" hidden="false" customHeight="false" outlineLevel="0" collapsed="false">
      <c r="G466" s="5"/>
      <c r="H466" s="5"/>
      <c r="I466" s="5"/>
      <c r="J466" s="147" t="str">
        <f aca="false">CONCATENATE(A457,", Your forecast")</f>
        <v> Biocapacidade total, China, sua previsão</v>
      </c>
      <c r="K466" s="151" t="n">
        <f aca="false">K457</f>
        <v>1300</v>
      </c>
      <c r="L466" s="151" t="n">
        <f aca="false">L457*0.98</f>
        <v>1274</v>
      </c>
      <c r="M466" s="151" t="n">
        <f aca="false">M457*0.98</f>
        <v>1264.2</v>
      </c>
      <c r="N466" s="151" t="n">
        <f aca="false">N457*0.98</f>
        <v>1254.4</v>
      </c>
      <c r="O466" s="151" t="n">
        <f aca="false">O457*0.98</f>
        <v>1244.6</v>
      </c>
      <c r="P466" s="151" t="n">
        <f aca="false">P457*0.98</f>
        <v>1225</v>
      </c>
      <c r="Q466" s="151" t="n">
        <f aca="false">Q457*0.98</f>
        <v>1215.2</v>
      </c>
      <c r="R466" s="151" t="n">
        <f aca="false">R457*0.98</f>
        <v>1176</v>
      </c>
      <c r="S466" s="28" t="s">
        <v>147</v>
      </c>
      <c r="T466" s="13"/>
    </row>
    <row r="467" s="3" customFormat="true" ht="11.25" hidden="false" customHeight="false" outlineLevel="0" collapsed="false">
      <c r="F467" s="8"/>
      <c r="G467" s="8"/>
      <c r="H467" s="8"/>
      <c r="I467" s="8"/>
      <c r="J467" s="146" t="str">
        <f aca="false">CONCATENATE(A458,", Your forecast")</f>
        <v> Crescimento da capacidade biológica total, sua previsão</v>
      </c>
      <c r="K467" s="137" t="n">
        <f aca="false">(K466-J457)/J457*100/5</f>
        <v>-0.110502087800215</v>
      </c>
      <c r="L467" s="137" t="n">
        <f aca="false">(L466-K466)/K466*100/5</f>
        <v>-0.4</v>
      </c>
      <c r="M467" s="137" t="n">
        <f aca="false">(M466-L466)/L466*100/5</f>
        <v>-0.153846153846153</v>
      </c>
      <c r="N467" s="137" t="n">
        <f aca="false">(N466-M466)/M466*100/5</f>
        <v>-0.155038759689922</v>
      </c>
      <c r="O467" s="137" t="n">
        <f aca="false">(O466-N466)/N466*100/5</f>
        <v>-0.156250000000003</v>
      </c>
      <c r="P467" s="137" t="n">
        <f aca="false">(P466-O466)/O466*100/5</f>
        <v>-0.314960629921258</v>
      </c>
      <c r="Q467" s="137" t="n">
        <f aca="false">(Q466-P466)/P466*100/5</f>
        <v>-0.159999999999999</v>
      </c>
      <c r="R467" s="137" t="n">
        <f aca="false">(R466-Q466)/Q466*100/5</f>
        <v>-0.645161290322581</v>
      </c>
      <c r="S467" s="28" t="s">
        <v>25</v>
      </c>
      <c r="T467" s="13"/>
    </row>
    <row r="468" s="3" customFormat="true" ht="11.25" hidden="false" customHeight="false" outlineLevel="0" collapsed="false">
      <c r="G468" s="8"/>
      <c r="H468" s="8"/>
      <c r="I468" s="8"/>
      <c r="J468" s="146" t="str">
        <f aca="false">CONCATENATE(A459,", Your forecast")</f>
        <v> Pegada não energética, sua previsão</v>
      </c>
      <c r="K468" s="84" t="n">
        <f aca="false">K469*K17</f>
        <v>1363.44866925868</v>
      </c>
      <c r="L468" s="84" t="n">
        <f aca="false">L469*L17</f>
        <v>1367.10683387574</v>
      </c>
      <c r="M468" s="84" t="n">
        <f aca="false">M469*M17</f>
        <v>1359.13470152446</v>
      </c>
      <c r="N468" s="84" t="n">
        <f aca="false">N469*N17</f>
        <v>1341.1989433448</v>
      </c>
      <c r="O468" s="84" t="n">
        <f aca="false">O469*O17</f>
        <v>1312.15689911606</v>
      </c>
      <c r="P468" s="84" t="n">
        <f aca="false">P469*P17</f>
        <v>1272.78875309338</v>
      </c>
      <c r="Q468" s="84" t="n">
        <f aca="false">Q469*Q17</f>
        <v>1224.19404637787</v>
      </c>
      <c r="R468" s="84" t="n">
        <f aca="false">R469*R17</f>
        <v>1167.42047173458</v>
      </c>
      <c r="S468" s="28" t="s">
        <v>147</v>
      </c>
      <c r="T468" s="13"/>
    </row>
    <row r="469" s="3" customFormat="true" ht="11.25" hidden="false" customHeight="false" outlineLevel="0" collapsed="false">
      <c r="E469" s="8"/>
      <c r="F469" s="8"/>
      <c r="G469" s="8"/>
      <c r="H469" s="8"/>
      <c r="I469" s="8"/>
      <c r="J469" s="146" t="str">
        <f aca="false">CONCATENATE(A460,", Your forecast")</f>
        <v> Pegada não energética por pessoa (NEFPP), sua previsão</v>
      </c>
      <c r="K469" s="43" t="n">
        <f aca="false">J460*(1+K470/20)</f>
        <v>0.998341283322676</v>
      </c>
      <c r="L469" s="43" t="n">
        <f aca="false">K469*(1+L470/20)</f>
        <v>0.998341283322676</v>
      </c>
      <c r="M469" s="43" t="n">
        <f aca="false">L469*(1+M470/20)</f>
        <v>0.998341283322676</v>
      </c>
      <c r="N469" s="43" t="n">
        <f aca="false">M469*(1+N470/20)</f>
        <v>0.998341283322676</v>
      </c>
      <c r="O469" s="43" t="n">
        <f aca="false">N469*(1+O470/20)</f>
        <v>0.998341283322676</v>
      </c>
      <c r="P469" s="43" t="n">
        <f aca="false">O469*(1+P470/20)</f>
        <v>0.998341283322676</v>
      </c>
      <c r="Q469" s="43" t="n">
        <f aca="false">P469*(1+Q470/20)</f>
        <v>0.998341283322676</v>
      </c>
      <c r="R469" s="43" t="n">
        <f aca="false">Q469*(1+R470/20)</f>
        <v>0.998341283322676</v>
      </c>
      <c r="S469" s="28" t="s">
        <v>151</v>
      </c>
      <c r="T469" s="13"/>
    </row>
    <row r="470" s="3" customFormat="true" ht="11.25" hidden="false" customHeight="false" outlineLevel="0" collapsed="false">
      <c r="G470" s="5"/>
      <c r="H470" s="5"/>
      <c r="I470" s="5"/>
      <c r="J470" s="147" t="str">
        <f aca="false">CONCATENATE(A461,", Your forecast")</f>
        <v> Taxa de variação do NEFPP, sua previsão</v>
      </c>
      <c r="K470" s="83" t="n">
        <v>0</v>
      </c>
      <c r="L470" s="83" t="n">
        <f aca="false">L461*0.98</f>
        <v>0</v>
      </c>
      <c r="M470" s="83" t="n">
        <f aca="false">M461*0.98</f>
        <v>0</v>
      </c>
      <c r="N470" s="83" t="n">
        <f aca="false">N461*0.98</f>
        <v>0</v>
      </c>
      <c r="O470" s="83" t="n">
        <f aca="false">O461*0.98</f>
        <v>-2.17965255430791E-015</v>
      </c>
      <c r="P470" s="83" t="n">
        <f aca="false">P461*0.98</f>
        <v>2.17965255430791E-015</v>
      </c>
      <c r="Q470" s="83" t="n">
        <f aca="false">Q461*0.98</f>
        <v>2.17965255430791E-015</v>
      </c>
      <c r="R470" s="83" t="n">
        <f aca="false">R461*0.98</f>
        <v>-4.35930510861582E-015</v>
      </c>
      <c r="S470" s="28" t="s">
        <v>25</v>
      </c>
      <c r="T470" s="13"/>
    </row>
    <row r="471" s="3" customFormat="true" ht="11.25" hidden="false" customHeight="false" outlineLevel="0" collapsed="false">
      <c r="G471" s="8"/>
      <c r="H471" s="8"/>
      <c r="I471" s="8"/>
      <c r="J471" s="146" t="str">
        <f aca="false">CONCATENATE(A462,", Your forecast")</f>
        <v> Biocapacidade não utilizada, Sua previsão</v>
      </c>
      <c r="K471" s="84" t="n">
        <f aca="false">K466-K468</f>
        <v>-63.4486692586763</v>
      </c>
      <c r="L471" s="84" t="n">
        <f aca="false">L466-L468</f>
        <v>-93.1068338757405</v>
      </c>
      <c r="M471" s="84" t="n">
        <f aca="false">M466-M468</f>
        <v>-94.9347015244618</v>
      </c>
      <c r="N471" s="84" t="n">
        <f aca="false">N466-N468</f>
        <v>-86.798943344797</v>
      </c>
      <c r="O471" s="84" t="n">
        <f aca="false">O466-O468</f>
        <v>-67.5568991160628</v>
      </c>
      <c r="P471" s="84" t="n">
        <f aca="false">P466-P468</f>
        <v>-47.7887530933829</v>
      </c>
      <c r="Q471" s="84" t="n">
        <f aca="false">Q466-Q468</f>
        <v>-8.99404637787347</v>
      </c>
      <c r="R471" s="84" t="n">
        <f aca="false">R466-R468</f>
        <v>8.57952826541668</v>
      </c>
      <c r="S471" s="28" t="s">
        <v>147</v>
      </c>
      <c r="T471" s="13"/>
    </row>
    <row r="472" s="3" customFormat="true" ht="11.25" hidden="false" customHeight="false" outlineLevel="0" collapsed="false">
      <c r="F472" s="8"/>
      <c r="G472" s="8"/>
      <c r="H472" s="8"/>
      <c r="I472" s="8"/>
      <c r="J472" s="146" t="str">
        <f aca="false">CONCATENATE(A463,", Your forecast")</f>
        <v> Biocapacidade não utilizada por pessoa, sua previsão</v>
      </c>
      <c r="K472" s="43" t="n">
        <f aca="false">K471/K17</f>
        <v>-0.0464582402851026</v>
      </c>
      <c r="L472" s="43" t="n">
        <f aca="false">L471/L17</f>
        <v>-0.0679920498635051</v>
      </c>
      <c r="M472" s="43" t="n">
        <f aca="false">M471/M17</f>
        <v>-0.0697335088608071</v>
      </c>
      <c r="N472" s="43" t="n">
        <f aca="false">N471/N17</f>
        <v>-0.0646100781095079</v>
      </c>
      <c r="O472" s="43" t="n">
        <f aca="false">O471/O17</f>
        <v>-0.051399982278236</v>
      </c>
      <c r="P472" s="43" t="n">
        <f aca="false">P471/P17</f>
        <v>-0.037484213288093</v>
      </c>
      <c r="Q472" s="43" t="n">
        <f aca="false">Q471/Q17</f>
        <v>-0.00733472592005914</v>
      </c>
      <c r="R472" s="43" t="n">
        <f aca="false">R471/R17</f>
        <v>0.00733694282923849</v>
      </c>
      <c r="S472" s="28" t="str">
        <f aca="false">S463</f>
        <v> gha / pessoa</v>
      </c>
      <c r="T472" s="13"/>
      <c r="X472" s="15" t="s">
        <v>33</v>
      </c>
    </row>
    <row r="473" customFormat="false" ht="11.25" hidden="false" customHeight="false" outlineLevel="0" collapsed="false">
      <c r="A473" s="117"/>
      <c r="T473" s="13"/>
      <c r="V473" s="3" t="s">
        <v>35</v>
      </c>
      <c r="AA473" s="52" t="s">
        <v>36</v>
      </c>
    </row>
    <row r="474" customFormat="false" ht="28.3" hidden="false" customHeight="false" outlineLevel="0" collapsed="false">
      <c r="T474" s="13"/>
      <c r="U474" s="55" t="s">
        <v>37</v>
      </c>
      <c r="V474" s="54" t="s">
        <v>38</v>
      </c>
      <c r="W474" s="54" t="s">
        <v>39</v>
      </c>
      <c r="X474" s="55"/>
      <c r="Y474" s="55"/>
      <c r="AA474" s="16"/>
      <c r="AB474" s="24" t="n">
        <v>1970</v>
      </c>
      <c r="AC474" s="24" t="n">
        <v>1975</v>
      </c>
      <c r="AD474" s="24" t="n">
        <v>1980</v>
      </c>
      <c r="AE474" s="24" t="n">
        <v>1985</v>
      </c>
      <c r="AF474" s="24" t="n">
        <v>1990</v>
      </c>
      <c r="AG474" s="24" t="n">
        <v>1995</v>
      </c>
      <c r="AH474" s="24" t="n">
        <v>2000</v>
      </c>
      <c r="AI474" s="24" t="n">
        <v>2005</v>
      </c>
      <c r="AJ474" s="24" t="n">
        <v>2010</v>
      </c>
      <c r="AK474" s="24" t="n">
        <v>2015</v>
      </c>
      <c r="AL474" s="24" t="n">
        <v>2020</v>
      </c>
      <c r="AM474" s="24" t="n">
        <v>2025</v>
      </c>
      <c r="AN474" s="24" t="n">
        <v>2030</v>
      </c>
      <c r="AO474" s="24" t="n">
        <v>2035</v>
      </c>
      <c r="AP474" s="24" t="n">
        <v>2040</v>
      </c>
      <c r="AQ474" s="24" t="n">
        <v>2045</v>
      </c>
      <c r="AR474" s="24" t="n">
        <v>2050</v>
      </c>
    </row>
    <row r="475" customFormat="false" ht="11.25" hidden="false" customHeight="false" outlineLevel="0" collapsed="false">
      <c r="T475" s="13"/>
      <c r="U475" s="15" t="str">
        <f aca="false">AA475</f>
        <v> Biocapacidade total, China (0 - 1800 Mgha)</v>
      </c>
      <c r="V475" s="25" t="n">
        <v>1800</v>
      </c>
      <c r="W475" s="70" t="n">
        <f aca="false">W482</f>
        <v>1800</v>
      </c>
      <c r="AA475" s="152" t="str">
        <f aca="false">CONCATENATE(A457," (0 - ",W475," Mgha)")</f>
        <v> Biocapacidade total, China (0 - 1800 Mgha)</v>
      </c>
      <c r="AB475" s="57" t="n">
        <f aca="false">B457/$W475</f>
        <v>0.581491304444444</v>
      </c>
      <c r="AC475" s="57" t="n">
        <f aca="false">C457/$W475</f>
        <v>0.607051058333333</v>
      </c>
      <c r="AD475" s="57" t="n">
        <f aca="false">D457/$W475</f>
        <v>0.626118715</v>
      </c>
      <c r="AE475" s="57" t="n">
        <f aca="false">E457/$W475</f>
        <v>0.651548533333333</v>
      </c>
      <c r="AF475" s="57" t="n">
        <f aca="false">F457/$W475</f>
        <v>0.687070228333333</v>
      </c>
      <c r="AG475" s="57" t="n">
        <f aca="false">G457/$W475</f>
        <v>0.723880295555556</v>
      </c>
      <c r="AH475" s="57" t="n">
        <f aca="false">H457/$W475</f>
        <v>0.720750081666667</v>
      </c>
      <c r="AI475" s="57" t="n">
        <f aca="false">I457/$W475</f>
        <v>0.722963886666667</v>
      </c>
      <c r="AJ475" s="57" t="n">
        <f aca="false">J457/$W475</f>
        <v>0.726234745</v>
      </c>
      <c r="AK475" s="57" t="n">
        <f aca="false">K457/$W475</f>
        <v>0.722222222222222</v>
      </c>
      <c r="AL475" s="57" t="n">
        <f aca="false">L457/$W475</f>
        <v>0.722222222222222</v>
      </c>
      <c r="AM475" s="57" t="n">
        <f aca="false">M457/$W475</f>
        <v>0.716666666666667</v>
      </c>
      <c r="AN475" s="57" t="n">
        <f aca="false">N457/$W475</f>
        <v>0.711111111111111</v>
      </c>
      <c r="AO475" s="57" t="n">
        <f aca="false">O457/$W475</f>
        <v>0.705555555555556</v>
      </c>
      <c r="AP475" s="57" t="n">
        <f aca="false">P457/$W475</f>
        <v>0.694444444444444</v>
      </c>
      <c r="AQ475" s="57" t="n">
        <f aca="false">Q457/$W475</f>
        <v>0.688888888888889</v>
      </c>
      <c r="AR475" s="57" t="n">
        <f aca="false">R457/$W475</f>
        <v>0.666666666666667</v>
      </c>
    </row>
    <row r="476" customFormat="false" ht="11.25" hidden="false" customHeight="false" outlineLevel="0" collapsed="false">
      <c r="T476" s="13"/>
      <c r="U476" s="15" t="str">
        <f aca="false">AA476</f>
        <v> Crescimento da biocapacidade total (0 - 1,2 % / ano)</v>
      </c>
      <c r="V476" s="25" t="n">
        <v>1.2</v>
      </c>
      <c r="W476" s="70" t="n">
        <f aca="false">W483</f>
        <v>1.2</v>
      </c>
      <c r="AA476" s="152" t="str">
        <f aca="false">CONCATENATE(A458," (0 - ",W476," % / yr)")</f>
        <v> Crescimento da biocapacidade total (0 - 1,2 % / ano)</v>
      </c>
      <c r="AB476" s="57" t="n">
        <f aca="false">B458/$W476</f>
        <v>0</v>
      </c>
      <c r="AC476" s="57" t="n">
        <f aca="false">C458/$W476</f>
        <v>0.73259203515544</v>
      </c>
      <c r="AD476" s="57" t="n">
        <f aca="false">D458/$W476</f>
        <v>0.523505022213928</v>
      </c>
      <c r="AE476" s="57" t="n">
        <f aca="false">E458/$W476</f>
        <v>0.676916845642531</v>
      </c>
      <c r="AF476" s="57" t="n">
        <f aca="false">F458/$W476</f>
        <v>0.908647966669764</v>
      </c>
      <c r="AG476" s="57" t="n">
        <f aca="false">G458/$W476</f>
        <v>0.892923452466533</v>
      </c>
      <c r="AH476" s="57" t="n">
        <f aca="false">H458/$W476</f>
        <v>-0.0720702466993428</v>
      </c>
      <c r="AI476" s="57" t="n">
        <f aca="false">I458/$W476</f>
        <v>0.0511921551429884</v>
      </c>
      <c r="AJ476" s="57" t="n">
        <f aca="false">J458/$W476</f>
        <v>0.0754039123681576</v>
      </c>
      <c r="AK476" s="57" t="n">
        <f aca="false">K458/$W476</f>
        <v>-0.0920850731668456</v>
      </c>
      <c r="AL476" s="57" t="n">
        <f aca="false">L458/$W476</f>
        <v>0</v>
      </c>
      <c r="AM476" s="57" t="n">
        <f aca="false">M458/$W476</f>
        <v>-0.128205128205128</v>
      </c>
      <c r="AN476" s="57" t="n">
        <f aca="false">N458/$W476</f>
        <v>-0.129198966408269</v>
      </c>
      <c r="AO476" s="57" t="n">
        <f aca="false">O458/$W476</f>
        <v>-0.130208333333333</v>
      </c>
      <c r="AP476" s="57" t="n">
        <f aca="false">P458/$W476</f>
        <v>-0.26246719160105</v>
      </c>
      <c r="AQ476" s="57" t="n">
        <f aca="false">Q458/$W476</f>
        <v>-0.133333333333333</v>
      </c>
      <c r="AR476" s="57" t="n">
        <f aca="false">R458/$W476</f>
        <v>-0.537634408602151</v>
      </c>
    </row>
    <row r="477" customFormat="false" ht="11.25" hidden="false" customHeight="false" outlineLevel="0" collapsed="false">
      <c r="T477" s="13"/>
      <c r="U477" s="15" t="str">
        <f aca="false">AA477</f>
        <v> Pegada não energética (0 - 1800 Mgha)</v>
      </c>
      <c r="V477" s="25" t="n">
        <f aca="false">V475</f>
        <v>1800</v>
      </c>
      <c r="W477" s="70" t="n">
        <f aca="false">W484</f>
        <v>1800</v>
      </c>
      <c r="AA477" s="152" t="str">
        <f aca="false">CONCATENATE(A459," (0 - ",W477," Mgha)")</f>
        <v> Pegada não energética (0 - 1800 Mgha)</v>
      </c>
      <c r="AB477" s="57" t="n">
        <f aca="false">B459/$W477</f>
        <v>0.467296783277778</v>
      </c>
      <c r="AC477" s="57" t="n">
        <f aca="false">C459/$W477</f>
        <v>0.511242549444445</v>
      </c>
      <c r="AD477" s="57" t="n">
        <f aca="false">D459/$W477</f>
        <v>0.546920056555556</v>
      </c>
      <c r="AE477" s="57" t="n">
        <f aca="false">E459/$W477</f>
        <v>0.563942019722222</v>
      </c>
      <c r="AF477" s="57" t="n">
        <f aca="false">F459/$W477</f>
        <v>0.636157480444444</v>
      </c>
      <c r="AG477" s="57" t="n">
        <f aca="false">G459/$W477</f>
        <v>0.727757648777778</v>
      </c>
      <c r="AH477" s="57" t="n">
        <f aca="false">H459/$W477</f>
        <v>0.742279200055556</v>
      </c>
      <c r="AI477" s="57" t="n">
        <f aca="false">I459/$W477</f>
        <v>0.768066256111111</v>
      </c>
      <c r="AJ477" s="57" t="n">
        <f aca="false">J459/$W477</f>
        <v>0.748163611666667</v>
      </c>
      <c r="AK477" s="57" t="n">
        <f aca="false">K459/$W477</f>
        <v>0.757471482921487</v>
      </c>
      <c r="AL477" s="57" t="n">
        <f aca="false">L459/$W477</f>
        <v>0.759545272386943</v>
      </c>
      <c r="AM477" s="57" t="n">
        <f aca="false">M459/$W477</f>
        <v>0.755025676184028</v>
      </c>
      <c r="AN477" s="57" t="n">
        <f aca="false">N459/$W477</f>
        <v>0.744858674767097</v>
      </c>
      <c r="AO477" s="57" t="n">
        <f aca="false">O459/$W477</f>
        <v>0.728400495661917</v>
      </c>
      <c r="AP477" s="57" t="n">
        <f aca="false">P459/$W477</f>
        <v>0.706100573269821</v>
      </c>
      <c r="AQ477" s="57" t="n">
        <f aca="false">Q459/$W477</f>
        <v>0.678591679595054</v>
      </c>
      <c r="AR477" s="57" t="n">
        <f aca="false">R459/$W477</f>
        <v>0.646478860613192</v>
      </c>
    </row>
    <row r="478" customFormat="false" ht="11.25" hidden="false" customHeight="false" outlineLevel="0" collapsed="false">
      <c r="S478" s="131"/>
      <c r="T478" s="13"/>
      <c r="U478" s="15" t="str">
        <f aca="false">AA478</f>
        <v> Pegada de carbono não energética por pessoa (NEFPP) (0 - 2 gha/pessoa)</v>
      </c>
      <c r="V478" s="25" t="n">
        <v>2</v>
      </c>
      <c r="W478" s="70" t="n">
        <f aca="false">W485</f>
        <v>2</v>
      </c>
      <c r="AA478" s="152" t="str">
        <f aca="false">CONCATENATE(A460," (0 - ",W478," gha / person)")</f>
        <v> Pegada de carbono não energética por pessoa (NEFPP) (0 - 2 gha/pessoa)</v>
      </c>
      <c r="AB478" s="57" t="n">
        <f aca="false">B460/$W478</f>
        <v>0.513618351420708</v>
      </c>
      <c r="AC478" s="57" t="n">
        <f aca="false">C460/$W478</f>
        <v>0.500321980983839</v>
      </c>
      <c r="AD478" s="57" t="n">
        <f aca="false">D460/$W478</f>
        <v>0.497969428264794</v>
      </c>
      <c r="AE478" s="57" t="n">
        <f aca="false">E460/$W478</f>
        <v>0.47778647032411</v>
      </c>
      <c r="AF478" s="57" t="n">
        <f aca="false">F460/$W478</f>
        <v>0.497279134599694</v>
      </c>
      <c r="AG478" s="57" t="n">
        <f aca="false">G460/$W478</f>
        <v>0.536637552244626</v>
      </c>
      <c r="AH478" s="57" t="n">
        <f aca="false">H460/$W478</f>
        <v>0.523415005970065</v>
      </c>
      <c r="AI478" s="57" t="n">
        <f aca="false">I460/$W478</f>
        <v>0.525718802966287</v>
      </c>
      <c r="AJ478" s="57" t="n">
        <f aca="false">J460/$W478</f>
        <v>0.499170641661338</v>
      </c>
      <c r="AK478" s="57" t="n">
        <f aca="false">K460/$W478</f>
        <v>0.499170641661338</v>
      </c>
      <c r="AL478" s="57" t="n">
        <f aca="false">L460/$W478</f>
        <v>0.499170641661338</v>
      </c>
      <c r="AM478" s="57" t="n">
        <f aca="false">M460/$W478</f>
        <v>0.499170641661338</v>
      </c>
      <c r="AN478" s="57" t="n">
        <f aca="false">N460/$W478</f>
        <v>0.499170641661338</v>
      </c>
      <c r="AO478" s="57" t="n">
        <f aca="false">O460/$W478</f>
        <v>0.499170641661338</v>
      </c>
      <c r="AP478" s="57" t="n">
        <f aca="false">P460/$W478</f>
        <v>0.499170641661338</v>
      </c>
      <c r="AQ478" s="57" t="n">
        <f aca="false">Q460/$W478</f>
        <v>0.499170641661338</v>
      </c>
      <c r="AR478" s="57" t="n">
        <f aca="false">R460/$W478</f>
        <v>0.499170641661338</v>
      </c>
    </row>
    <row r="479" customFormat="false" ht="11.25" hidden="false" customHeight="false" outlineLevel="0" collapsed="false">
      <c r="T479" s="13"/>
      <c r="U479" s="15" t="str">
        <f aca="false">AA479</f>
        <v> Taxa de variação do NEFPP (0 - 2 % / ano)</v>
      </c>
      <c r="V479" s="25" t="n">
        <v>2</v>
      </c>
      <c r="W479" s="70" t="n">
        <f aca="false">W486</f>
        <v>2</v>
      </c>
      <c r="AA479" s="152" t="str">
        <f aca="false">CONCATENATE(A461," (0 - ",W479," % / yr)")</f>
        <v> Taxa de variação do NEFPP (0 - 2 % / ano)</v>
      </c>
      <c r="AB479" s="57" t="n">
        <f aca="false">B461/$W479</f>
        <v>0</v>
      </c>
      <c r="AC479" s="57" t="n">
        <f aca="false">C461/$W479</f>
        <v>-0.258876467324248</v>
      </c>
      <c r="AD479" s="57" t="n">
        <f aca="false">D461/$W479</f>
        <v>-0.0470207747902288</v>
      </c>
      <c r="AE479" s="57" t="n">
        <f aca="false">E461/$W479</f>
        <v>-0.405305161222719</v>
      </c>
      <c r="AF479" s="57" t="n">
        <f aca="false">F461/$W479</f>
        <v>0.40797857382527</v>
      </c>
      <c r="AG479" s="57" t="n">
        <f aca="false">G461/$W479</f>
        <v>0.791475348681503</v>
      </c>
      <c r="AH479" s="57" t="n">
        <f aca="false">H461/$W479</f>
        <v>-0.24639621694856</v>
      </c>
      <c r="AI479" s="57" t="n">
        <f aca="false">I461/$W479</f>
        <v>0.0440147296112007</v>
      </c>
      <c r="AJ479" s="57" t="n">
        <f aca="false">J461/$W479</f>
        <v>-0.50498785957731</v>
      </c>
      <c r="AK479" s="57" t="n">
        <f aca="false">K461/$W479</f>
        <v>0</v>
      </c>
      <c r="AL479" s="57" t="n">
        <f aca="false">L461/$W479</f>
        <v>0</v>
      </c>
      <c r="AM479" s="57" t="n">
        <f aca="false">M461/$W479</f>
        <v>0</v>
      </c>
      <c r="AN479" s="57" t="n">
        <f aca="false">N461/$W479</f>
        <v>0</v>
      </c>
      <c r="AO479" s="57" t="n">
        <f aca="false">O461/$W479</f>
        <v>-1.11206762974893E-015</v>
      </c>
      <c r="AP479" s="57" t="n">
        <f aca="false">P461/$W479</f>
        <v>1.11206762974893E-015</v>
      </c>
      <c r="AQ479" s="57" t="n">
        <f aca="false">Q461/$W479</f>
        <v>1.11206762974893E-015</v>
      </c>
      <c r="AR479" s="57" t="n">
        <f aca="false">R461/$W479</f>
        <v>-2.22413525949787E-015</v>
      </c>
    </row>
    <row r="480" s="3" customFormat="true" ht="11.25" hidden="false" customHeight="false" outlineLevel="0" collapsed="false">
      <c r="T480" s="13"/>
      <c r="U480" s="15" t="str">
        <f aca="false">AA480</f>
        <v> Biocapacidade não utilizada (0 - 1800 Mgha)</v>
      </c>
      <c r="V480" s="25" t="n">
        <f aca="false">V475</f>
        <v>1800</v>
      </c>
      <c r="W480" s="70" t="n">
        <f aca="false">W487</f>
        <v>1800</v>
      </c>
      <c r="AA480" s="152" t="str">
        <f aca="false">CONCATENATE(A462," (0 - ",W480," Mgha)")</f>
        <v> Biocapacidade não utilizada (0 - 1800 Mgha)</v>
      </c>
      <c r="AB480" s="57" t="n">
        <f aca="false">B462/$W480</f>
        <v>0.114194521166667</v>
      </c>
      <c r="AC480" s="57" t="n">
        <f aca="false">C462/$W480</f>
        <v>0.0958085088888888</v>
      </c>
      <c r="AD480" s="57" t="n">
        <f aca="false">D462/$W480</f>
        <v>0.0791986584444445</v>
      </c>
      <c r="AE480" s="57" t="n">
        <f aca="false">E462/$W480</f>
        <v>0.0876065136111111</v>
      </c>
      <c r="AF480" s="57" t="n">
        <f aca="false">F462/$W480</f>
        <v>0.0509127478888889</v>
      </c>
      <c r="AG480" s="57" t="n">
        <f aca="false">G462/$W480</f>
        <v>-0.00387735322222221</v>
      </c>
      <c r="AH480" s="57" t="n">
        <f aca="false">H462/$W480</f>
        <v>-0.0215291183888889</v>
      </c>
      <c r="AI480" s="57" t="n">
        <f aca="false">I462/$W480</f>
        <v>-0.0451023694444445</v>
      </c>
      <c r="AJ480" s="57" t="n">
        <f aca="false">J462/$W480</f>
        <v>-0.0219288666666666</v>
      </c>
      <c r="AK480" s="57" t="n">
        <f aca="false">K462/$W480</f>
        <v>-0.0352492606992646</v>
      </c>
      <c r="AL480" s="57" t="n">
        <f aca="false">L462/$W480</f>
        <v>-0.0373230501647205</v>
      </c>
      <c r="AM480" s="57" t="n">
        <f aca="false">M462/$W480</f>
        <v>-0.0383590095173611</v>
      </c>
      <c r="AN480" s="57" t="n">
        <f aca="false">N462/$W480</f>
        <v>-0.033747563655986</v>
      </c>
      <c r="AO480" s="57" t="n">
        <f aca="false">O462/$W480</f>
        <v>-0.0228449401063612</v>
      </c>
      <c r="AP480" s="57" t="n">
        <f aca="false">P462/$W480</f>
        <v>-0.0116561288253764</v>
      </c>
      <c r="AQ480" s="57" t="n">
        <f aca="false">Q462/$W480</f>
        <v>0.0102972092938354</v>
      </c>
      <c r="AR480" s="57" t="n">
        <f aca="false">R462/$W480</f>
        <v>0.0201878060534748</v>
      </c>
    </row>
    <row r="481" s="3" customFormat="true" ht="11.25" hidden="false" customHeight="false" outlineLevel="0" collapsed="false">
      <c r="S481" s="29"/>
      <c r="T481" s="13"/>
      <c r="U481" s="148" t="str">
        <f aca="false">AA481</f>
        <v>Biocapacidade não utilizada por pessoa (0 - 0,5 gha / pessoa)</v>
      </c>
      <c r="V481" s="25" t="n">
        <v>0.5</v>
      </c>
      <c r="W481" s="70" t="n">
        <f aca="false">W488</f>
        <v>0.5</v>
      </c>
      <c r="AA481" s="152" t="str">
        <f aca="false">CONCATENATE(A463," (0 - ",W481," gha / person)")</f>
        <v> Biocapacidade não utilizada por pessoa (0 - 0,5 gha / pessoa)</v>
      </c>
      <c r="AB481" s="57" t="n">
        <f aca="false">B463/$W481</f>
        <v>0.502056969376016</v>
      </c>
      <c r="AC481" s="57" t="n">
        <f aca="false">C463/$W481</f>
        <v>0.375047836018238</v>
      </c>
      <c r="AD481" s="57" t="n">
        <f aca="false">D463/$W481</f>
        <v>0.288440770764915</v>
      </c>
      <c r="AE481" s="57" t="n">
        <f aca="false">E463/$W481</f>
        <v>0.296890144389462</v>
      </c>
      <c r="AF481" s="57" t="n">
        <f aca="false">F463/$W481</f>
        <v>0.159192325727844</v>
      </c>
      <c r="AG481" s="57" t="n">
        <f aca="false">G463/$W481</f>
        <v>-0.011436407962764</v>
      </c>
      <c r="AH481" s="57" t="n">
        <f aca="false">H463/$W481</f>
        <v>-0.0607246633299552</v>
      </c>
      <c r="AI481" s="57" t="n">
        <f aca="false">I463/$W481</f>
        <v>-0.123484990971125</v>
      </c>
      <c r="AJ481" s="57" t="n">
        <f aca="false">J463/$W481</f>
        <v>-0.0585232763219862</v>
      </c>
      <c r="AK481" s="57" t="n">
        <f aca="false">K463/$W481</f>
        <v>-0.0929164805702051</v>
      </c>
      <c r="AL481" s="57" t="n">
        <f aca="false">L463/$W481</f>
        <v>-0.098114340655079</v>
      </c>
      <c r="AM481" s="57" t="n">
        <f aca="false">M463/$W481</f>
        <v>-0.101441272784517</v>
      </c>
      <c r="AN481" s="57" t="n">
        <f aca="false">N463/$W481</f>
        <v>-0.0904643717007538</v>
      </c>
      <c r="AO481" s="57" t="n">
        <f aca="false">O463/$W481</f>
        <v>-0.0626222715636373</v>
      </c>
      <c r="AP481" s="57" t="n">
        <f aca="false">P463/$W481</f>
        <v>-0.0329607284022243</v>
      </c>
      <c r="AQ481" s="57" t="n">
        <f aca="false">Q463/$W481</f>
        <v>0.0302984237802163</v>
      </c>
      <c r="AR481" s="57" t="n">
        <f aca="false">R463/$W481</f>
        <v>0.0623510571831497</v>
      </c>
    </row>
    <row r="482" s="3" customFormat="true" ht="11.25" hidden="false" customHeight="false" outlineLevel="0" collapsed="false">
      <c r="S482" s="29"/>
      <c r="T482" s="13"/>
      <c r="U482" s="37" t="str">
        <f aca="false">AA483</f>
        <v> Biocapacidade total, China (0 - 1800 Mgha), Sua previsão</v>
      </c>
      <c r="W482" s="4" t="n">
        <v>1800</v>
      </c>
      <c r="AA482" s="153"/>
      <c r="AB482" s="24" t="n">
        <v>1970</v>
      </c>
      <c r="AC482" s="24" t="n">
        <v>1975</v>
      </c>
      <c r="AD482" s="24" t="n">
        <v>1980</v>
      </c>
      <c r="AE482" s="24" t="n">
        <v>1985</v>
      </c>
      <c r="AF482" s="24" t="n">
        <v>1990</v>
      </c>
      <c r="AG482" s="24" t="n">
        <v>1995</v>
      </c>
      <c r="AH482" s="24" t="n">
        <v>2000</v>
      </c>
      <c r="AI482" s="24" t="n">
        <v>2005</v>
      </c>
      <c r="AJ482" s="24" t="n">
        <v>2010</v>
      </c>
      <c r="AK482" s="24" t="n">
        <v>2015</v>
      </c>
      <c r="AL482" s="24" t="n">
        <v>2020</v>
      </c>
      <c r="AM482" s="24" t="n">
        <v>2025</v>
      </c>
      <c r="AN482" s="24" t="n">
        <v>2030</v>
      </c>
      <c r="AO482" s="24" t="n">
        <v>2035</v>
      </c>
      <c r="AP482" s="24" t="n">
        <v>2040</v>
      </c>
      <c r="AQ482" s="24" t="n">
        <v>2045</v>
      </c>
      <c r="AR482" s="24" t="n">
        <v>2050</v>
      </c>
    </row>
    <row r="483" s="3" customFormat="true" ht="11.25" hidden="false" customHeight="false" outlineLevel="0" collapsed="false">
      <c r="S483" s="29"/>
      <c r="T483" s="13"/>
      <c r="U483" s="37" t="str">
        <f aca="false">AA484</f>
        <v> Crescimento da biocapacidade total (0 - 1,2% ao ano), sua previsão</v>
      </c>
      <c r="W483" s="4" t="n">
        <v>1.2</v>
      </c>
      <c r="AA483" s="152" t="str">
        <f aca="false">CONCATENATE(A457," (0 - ",W482," Mgha), Your forecast")</f>
        <v> Biocapacidade total, China (0 - 1800 Mgha), Sua previsão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57" t="n">
        <f aca="false">K466/$W482</f>
        <v>0.722222222222222</v>
      </c>
      <c r="AL483" s="57" t="n">
        <f aca="false">L466/$W482</f>
        <v>0.707777777777778</v>
      </c>
      <c r="AM483" s="57" t="n">
        <f aca="false">M466/$W482</f>
        <v>0.702333333333333</v>
      </c>
      <c r="AN483" s="57" t="n">
        <f aca="false">N466/$W482</f>
        <v>0.696888888888889</v>
      </c>
      <c r="AO483" s="57" t="n">
        <f aca="false">O466/$W482</f>
        <v>0.691444444444444</v>
      </c>
      <c r="AP483" s="57" t="n">
        <f aca="false">P466/$W482</f>
        <v>0.680555555555556</v>
      </c>
      <c r="AQ483" s="57" t="n">
        <f aca="false">Q466/$W482</f>
        <v>0.675111111111111</v>
      </c>
      <c r="AR483" s="57" t="n">
        <f aca="false">R466/$W482</f>
        <v>0.653333333333333</v>
      </c>
    </row>
    <row r="484" s="3" customFormat="true" ht="11.25" hidden="false" customHeight="false" outlineLevel="0" collapsed="false">
      <c r="S484" s="29"/>
      <c r="T484" s="13"/>
      <c r="U484" s="37" t="str">
        <f aca="false">AA485</f>
        <v> Pegada não energética (0 - 1800 Mgha), Sua previsão</v>
      </c>
      <c r="W484" s="93" t="n">
        <f aca="false">W482</f>
        <v>1800</v>
      </c>
      <c r="AA484" s="152" t="str">
        <f aca="false">CONCATENATE(A458," (0 - ",W483," % / yr), Your forecast")</f>
        <v> Crescimento da biocapacidade total (0 - 1,2% ao ano), sua previsão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57" t="n">
        <f aca="false">K467/$W483</f>
        <v>-0.0920850731668456</v>
      </c>
      <c r="AL484" s="57" t="n">
        <f aca="false">L467/$W483</f>
        <v>-0.333333333333333</v>
      </c>
      <c r="AM484" s="57" t="n">
        <f aca="false">M467/$W483</f>
        <v>-0.128205128205128</v>
      </c>
      <c r="AN484" s="57" t="n">
        <f aca="false">N467/$W483</f>
        <v>-0.129198966408268</v>
      </c>
      <c r="AO484" s="57" t="n">
        <f aca="false">O467/$W483</f>
        <v>-0.130208333333336</v>
      </c>
      <c r="AP484" s="57" t="n">
        <f aca="false">P467/$W483</f>
        <v>-0.262467191601049</v>
      </c>
      <c r="AQ484" s="57" t="n">
        <f aca="false">Q467/$W483</f>
        <v>-0.133333333333333</v>
      </c>
      <c r="AR484" s="57" t="n">
        <f aca="false">R467/$W483</f>
        <v>-0.537634408602151</v>
      </c>
    </row>
    <row r="485" s="3" customFormat="true" ht="11.25" hidden="false" customHeight="false" outlineLevel="0" collapsed="false">
      <c r="S485" s="29"/>
      <c r="T485" s="13"/>
      <c r="U485" s="37" t="str">
        <f aca="false">AA486</f>
        <v> Pegada de carbono não energética por pessoa (NEFPP) (0 - 2 gha/pessoa), sua previsão</v>
      </c>
      <c r="W485" s="4" t="n">
        <v>2</v>
      </c>
      <c r="AA485" s="152" t="str">
        <f aca="false">CONCATENATE(A459," (0 - ",W484," Mgha), Your forecast")</f>
        <v> Pegada não energética (0 - 1800 Mgha), Sua previsão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57" t="n">
        <f aca="false">K468/$W484</f>
        <v>0.757471482921487</v>
      </c>
      <c r="AL485" s="57" t="n">
        <f aca="false">L468/$W484</f>
        <v>0.759503796597634</v>
      </c>
      <c r="AM485" s="57" t="n">
        <f aca="false">M468/$W484</f>
        <v>0.755074834180257</v>
      </c>
      <c r="AN485" s="57" t="n">
        <f aca="false">N468/$W484</f>
        <v>0.745110524080443</v>
      </c>
      <c r="AO485" s="57" t="n">
        <f aca="false">O468/$W484</f>
        <v>0.728976055064479</v>
      </c>
      <c r="AP485" s="57" t="n">
        <f aca="false">P468/$W484</f>
        <v>0.707104862829657</v>
      </c>
      <c r="AQ485" s="57" t="n">
        <f aca="false">Q468/$W484</f>
        <v>0.680107803543263</v>
      </c>
      <c r="AR485" s="57" t="n">
        <f aca="false">R468/$W484</f>
        <v>0.648566928741435</v>
      </c>
    </row>
    <row r="486" s="3" customFormat="true" ht="11.25" hidden="false" customHeight="false" outlineLevel="0" collapsed="false">
      <c r="S486" s="29"/>
      <c r="T486" s="13"/>
      <c r="U486" s="37" t="str">
        <f aca="false">AA487</f>
        <v> Taxa de variação do NEFPP (0 - 2 % / ano), Sua previsão</v>
      </c>
      <c r="W486" s="4" t="n">
        <v>2</v>
      </c>
      <c r="AA486" s="152" t="str">
        <f aca="false">CONCATENATE(A460," (0 - ",W485," gha / person), Your forecast")</f>
        <v> Pegada de carbono não energética por pessoa (NEFPP) (0 - 2 gha/pessoa), sua previsão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57" t="n">
        <f aca="false">K469/$W485</f>
        <v>0.499170641661338</v>
      </c>
      <c r="AL486" s="57" t="n">
        <f aca="false">L469/$W485</f>
        <v>0.499170641661338</v>
      </c>
      <c r="AM486" s="57" t="n">
        <f aca="false">M469/$W485</f>
        <v>0.499170641661338</v>
      </c>
      <c r="AN486" s="57" t="n">
        <f aca="false">N469/$W485</f>
        <v>0.499170641661338</v>
      </c>
      <c r="AO486" s="57" t="n">
        <f aca="false">O469/$W485</f>
        <v>0.499170641661338</v>
      </c>
      <c r="AP486" s="57" t="n">
        <f aca="false">P469/$W485</f>
        <v>0.499170641661338</v>
      </c>
      <c r="AQ486" s="57" t="n">
        <f aca="false">Q469/$W485</f>
        <v>0.499170641661338</v>
      </c>
      <c r="AR486" s="57" t="n">
        <f aca="false">R469/$W485</f>
        <v>0.499170641661338</v>
      </c>
    </row>
    <row r="487" s="3" customFormat="true" ht="11.25" hidden="false" customHeight="false" outlineLevel="0" collapsed="false">
      <c r="S487" s="29"/>
      <c r="T487" s="13"/>
      <c r="U487" s="37" t="str">
        <f aca="false">AA488</f>
        <v> Biocapacidade não utilizada (0 - 1800 Mgha), Sua previsão</v>
      </c>
      <c r="W487" s="93" t="n">
        <f aca="false">W482</f>
        <v>1800</v>
      </c>
      <c r="AA487" s="152" t="str">
        <f aca="false">CONCATENATE(A461," (0 - ",W486," % / yr), Your forecast")</f>
        <v> Taxa de variação do NEFPP (0 - 2 % / ano), Sua previsão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57" t="n">
        <f aca="false">K470/$W486</f>
        <v>0</v>
      </c>
      <c r="AL487" s="57" t="n">
        <f aca="false">L470/$W486</f>
        <v>0</v>
      </c>
      <c r="AM487" s="57" t="n">
        <f aca="false">M470/$W486</f>
        <v>0</v>
      </c>
      <c r="AN487" s="57" t="n">
        <f aca="false">N470/$W486</f>
        <v>0</v>
      </c>
      <c r="AO487" s="57" t="n">
        <f aca="false">O470/$W486</f>
        <v>-1.08982627715395E-015</v>
      </c>
      <c r="AP487" s="57" t="n">
        <f aca="false">P470/$W486</f>
        <v>1.08982627715395E-015</v>
      </c>
      <c r="AQ487" s="57" t="n">
        <f aca="false">Q470/$W486</f>
        <v>1.08982627715395E-015</v>
      </c>
      <c r="AR487" s="57" t="n">
        <f aca="false">R470/$W486</f>
        <v>-2.17965255430791E-015</v>
      </c>
    </row>
    <row r="488" s="3" customFormat="true" ht="11.25" hidden="false" customHeight="false" outlineLevel="0" collapsed="false">
      <c r="S488" s="29"/>
      <c r="T488" s="13"/>
      <c r="U488" s="37" t="str">
        <f aca="false">AA489</f>
        <v> Biocapacidade não utilizada por pessoa (0 - 0,5 gha/pessoa), Sua previsão</v>
      </c>
      <c r="W488" s="4" t="n">
        <v>0.5</v>
      </c>
      <c r="AA488" s="152" t="str">
        <f aca="false">CONCATENATE(A462," (0 - ",W487," Mgha), Your forecast")</f>
        <v> Biocapacidade não utilizada (0 - 1800 Mgha), Sua previsão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57" t="n">
        <f aca="false">K471/$W487</f>
        <v>-0.0352492606992646</v>
      </c>
      <c r="AL488" s="57" t="n">
        <f aca="false">L471/$W487</f>
        <v>-0.0517260188198558</v>
      </c>
      <c r="AM488" s="57" t="n">
        <f aca="false">M471/$W487</f>
        <v>-0.0527415008469232</v>
      </c>
      <c r="AN488" s="57" t="n">
        <f aca="false">N471/$W487</f>
        <v>-0.0482216351915539</v>
      </c>
      <c r="AO488" s="57" t="n">
        <f aca="false">O471/$W487</f>
        <v>-0.0375316106200349</v>
      </c>
      <c r="AP488" s="57" t="n">
        <f aca="false">P471/$W487</f>
        <v>-0.0265493072741016</v>
      </c>
      <c r="AQ488" s="57" t="n">
        <f aca="false">Q471/$W487</f>
        <v>-0.00499669243215193</v>
      </c>
      <c r="AR488" s="57" t="n">
        <f aca="false">R471/$W487</f>
        <v>0.00476640459189816</v>
      </c>
    </row>
    <row r="489" s="3" customFormat="true" ht="11.25" hidden="false" customHeight="false" outlineLevel="0" collapsed="false">
      <c r="S489" s="29"/>
      <c r="T489" s="13"/>
      <c r="AA489" s="152" t="str">
        <f aca="false">CONCATENATE(A463," (0 - ",W488," gha / person), Your forecast")</f>
        <v>Biocapacidade não utilizada por pessoa (0 - 0,5 gha/pessoa), Sua previsão</v>
      </c>
      <c r="AB489" s="29"/>
      <c r="AC489" s="29"/>
      <c r="AD489" s="29"/>
      <c r="AE489" s="29"/>
      <c r="AF489" s="29"/>
      <c r="AG489" s="29"/>
      <c r="AH489" s="29"/>
      <c r="AI489" s="29"/>
      <c r="AJ489" s="29"/>
      <c r="AK489" s="57" t="n">
        <f aca="false">K472/$W488</f>
        <v>-0.0929164805702051</v>
      </c>
      <c r="AL489" s="57" t="n">
        <f aca="false">L472/$W488</f>
        <v>-0.13598409972701</v>
      </c>
      <c r="AM489" s="57" t="n">
        <f aca="false">M472/$W488</f>
        <v>-0.139467017721614</v>
      </c>
      <c r="AN489" s="57" t="n">
        <f aca="false">N472/$W488</f>
        <v>-0.129220156219016</v>
      </c>
      <c r="AO489" s="57" t="n">
        <f aca="false">O472/$W488</f>
        <v>-0.102799964556472</v>
      </c>
      <c r="AP489" s="57" t="n">
        <f aca="false">P472/$W488</f>
        <v>-0.0749684265761861</v>
      </c>
      <c r="AQ489" s="57" t="n">
        <f aca="false">Q472/$W488</f>
        <v>-0.0146694518401183</v>
      </c>
      <c r="AR489" s="57" t="n">
        <f aca="false">R472/$W488</f>
        <v>0.014673885658477</v>
      </c>
    </row>
    <row r="490" customFormat="false" ht="11.25" hidden="false" customHeight="false" outlineLevel="0" collapsed="false">
      <c r="S490" s="29"/>
      <c r="T490" s="13"/>
    </row>
    <row r="491" customFormat="false" ht="11.25" hidden="false" customHeight="false" outlineLevel="0" collapsed="false">
      <c r="T491" s="13"/>
    </row>
    <row r="492" customFormat="false" ht="11.25" hidden="false" customHeight="false" outlineLevel="0" collapsed="false">
      <c r="T492" s="13"/>
    </row>
    <row r="493" customFormat="false" ht="11.25" hidden="false" customHeight="false" outlineLevel="0" collapsed="false">
      <c r="T493" s="13"/>
    </row>
    <row r="494" customFormat="false" ht="11.25" hidden="false" customHeight="false" outlineLevel="0" collapsed="false">
      <c r="T494" s="13"/>
    </row>
    <row r="495" customFormat="false" ht="11.25" hidden="false" customHeight="false" outlineLevel="0" collapsed="false">
      <c r="T495" s="13"/>
    </row>
    <row r="496" customFormat="false" ht="11.25" hidden="false" customHeight="false" outlineLevel="0" collapsed="false">
      <c r="T496" s="13"/>
    </row>
    <row r="497" customFormat="false" ht="11.25" hidden="false" customHeight="false" outlineLevel="0" collapsed="false">
      <c r="T497" s="13"/>
    </row>
    <row r="498" customFormat="false" ht="11.25" hidden="false" customHeight="false" outlineLevel="0" collapsed="false">
      <c r="T498" s="13"/>
    </row>
    <row r="499" customFormat="false" ht="11.25" hidden="false" customHeight="false" outlineLevel="0" collapsed="false">
      <c r="T499" s="13"/>
    </row>
    <row r="500" customFormat="false" ht="11.25" hidden="false" customHeight="false" outlineLevel="0" collapsed="false">
      <c r="T500" s="13"/>
    </row>
    <row r="501" customFormat="false" ht="11.25" hidden="false" customHeight="false" outlineLevel="0" collapsed="false">
      <c r="T501" s="13"/>
    </row>
    <row r="502" s="35" customFormat="true" ht="13.8" hidden="false" customHeight="false" outlineLevel="0" collapsed="false">
      <c r="A502" s="61" t="s">
        <v>155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3"/>
      <c r="U502" s="3"/>
      <c r="V502" s="3"/>
      <c r="W502" s="3"/>
      <c r="X502" s="15" t="s">
        <v>33</v>
      </c>
      <c r="Y502" s="3"/>
    </row>
    <row r="503" customFormat="false" ht="12.65" hidden="false" customHeight="false" outlineLevel="0" collapsed="false">
      <c r="A503" s="23" t="str">
        <f aca="false">CONCATENATE(A502,". State of Affairs - ",A5," 1970 to 2050")</f>
        <v> Gráfico 13. Situação Atual - China de 1970 a 2050</v>
      </c>
      <c r="T503" s="13"/>
      <c r="V503" s="3" t="s">
        <v>35</v>
      </c>
      <c r="AA503" s="52" t="s">
        <v>36</v>
      </c>
    </row>
    <row r="504" customFormat="false" ht="28.3" hidden="false" customHeight="false" outlineLevel="0" collapsed="false">
      <c r="T504" s="13"/>
      <c r="U504" s="55" t="s">
        <v>37</v>
      </c>
      <c r="V504" s="54" t="s">
        <v>38</v>
      </c>
      <c r="W504" s="54" t="s">
        <v>39</v>
      </c>
      <c r="X504" s="55"/>
      <c r="Y504" s="55"/>
      <c r="AB504" s="24" t="n">
        <v>1970</v>
      </c>
      <c r="AC504" s="24" t="n">
        <v>1975</v>
      </c>
      <c r="AD504" s="24" t="n">
        <v>1980</v>
      </c>
      <c r="AE504" s="24" t="n">
        <v>1985</v>
      </c>
      <c r="AF504" s="24" t="n">
        <v>1990</v>
      </c>
      <c r="AG504" s="24" t="n">
        <v>1995</v>
      </c>
      <c r="AH504" s="24" t="n">
        <v>2000</v>
      </c>
      <c r="AI504" s="24" t="n">
        <v>2005</v>
      </c>
      <c r="AJ504" s="24" t="n">
        <v>2010</v>
      </c>
      <c r="AK504" s="24" t="n">
        <v>2015</v>
      </c>
      <c r="AL504" s="24" t="n">
        <v>2020</v>
      </c>
      <c r="AM504" s="24" t="n">
        <v>2025</v>
      </c>
      <c r="AN504" s="24" t="n">
        <v>2030</v>
      </c>
      <c r="AO504" s="24" t="n">
        <v>2035</v>
      </c>
      <c r="AP504" s="24" t="n">
        <v>2040</v>
      </c>
      <c r="AQ504" s="24" t="n">
        <v>2045</v>
      </c>
      <c r="AR504" s="24" t="n">
        <v>2050</v>
      </c>
    </row>
    <row r="505" customFormat="false" ht="11.25" hidden="false" customHeight="false" outlineLevel="0" collapsed="false">
      <c r="T505" s="13"/>
      <c r="U505" s="15" t="str">
        <f aca="false">AA505</f>
        <v> População (0 - 1,4 mil pessoas)</v>
      </c>
      <c r="V505" s="25" t="n">
        <v>1400</v>
      </c>
      <c r="W505" s="70" t="n">
        <f aca="false">W510</f>
        <v>1400</v>
      </c>
      <c r="AA505" s="29" t="str">
        <f aca="false">CONCATENATE("Population (0 - ",W505/1000,"G persons)")</f>
        <v> População (0 - 1,4 mil pessoas)</v>
      </c>
      <c r="AB505" s="57" t="n">
        <f aca="false">B9/$W$505</f>
        <v>0.584879948571429</v>
      </c>
      <c r="AC505" s="57" t="n">
        <f aca="false">C9/$W$505</f>
        <v>0.656888837857143</v>
      </c>
      <c r="AD505" s="57" t="n">
        <f aca="false">D9/$W$505</f>
        <v>0.706050301428572</v>
      </c>
      <c r="AE505" s="57" t="n">
        <f aca="false">E9/$W$505</f>
        <v>0.758778613571429</v>
      </c>
      <c r="AF505" s="57" t="n">
        <f aca="false">F9/$W$505</f>
        <v>0.822391996428572</v>
      </c>
      <c r="AG505" s="57" t="n">
        <f aca="false">G9/$W$505</f>
        <v>0.87180668</v>
      </c>
      <c r="AH505" s="57" t="n">
        <f aca="false">H9/$W$505</f>
        <v>0.911665657857143</v>
      </c>
      <c r="AI505" s="57" t="n">
        <f aca="false">I9/$W$505</f>
        <v>0.939203384285715</v>
      </c>
      <c r="AJ505" s="57" t="n">
        <f aca="false">J9/$W$505</f>
        <v>0.963522855</v>
      </c>
      <c r="AK505" s="57" t="n">
        <f aca="false">K9/$W$505</f>
        <v>0.975510001321429</v>
      </c>
      <c r="AL505" s="57" t="n">
        <f aca="false">L9/$W$505</f>
        <v>0.978180732048326</v>
      </c>
      <c r="AM505" s="57" t="n">
        <f aca="false">M9/$W$505</f>
        <v>0.972360167977883</v>
      </c>
      <c r="AN505" s="57" t="n">
        <f aca="false">N9/$W$505</f>
        <v>0.959266590477893</v>
      </c>
      <c r="AO505" s="57" t="n">
        <f aca="false">O9/$W$505</f>
        <v>0.938070916868215</v>
      </c>
      <c r="AP505" s="57" t="n">
        <f aca="false">P9/$W$505</f>
        <v>0.909351951451485</v>
      </c>
      <c r="AQ505" s="57" t="n">
        <f aca="false">Q9/$W$505</f>
        <v>0.873924609947455</v>
      </c>
      <c r="AR505" s="57" t="n">
        <f aca="false">R9/$W$505</f>
        <v>0.832568101096973</v>
      </c>
    </row>
    <row r="506" customFormat="false" ht="11.25" hidden="false" customHeight="false" outlineLevel="0" collapsed="false">
      <c r="T506" s="13"/>
      <c r="U506" s="15" t="str">
        <f aca="false">AA506</f>
        <v> PIB (0 - 40 trilhões de dólares por ano)</v>
      </c>
      <c r="V506" s="25" t="n">
        <v>40</v>
      </c>
      <c r="W506" s="70" t="n">
        <f aca="false">W511</f>
        <v>40</v>
      </c>
      <c r="AA506" s="29" t="str">
        <f aca="false">CONCATENATE("GDP (0 - ",W506," T$ per yr)")</f>
        <v> PIB (0 - 40 trilhões de dólares por ano)</v>
      </c>
      <c r="AB506" s="57" t="n">
        <f aca="false">B96/$W506</f>
        <v>0.00875347272887452</v>
      </c>
      <c r="AC506" s="57" t="n">
        <f aca="false">C96/$W506</f>
        <v>0.0118168750380489</v>
      </c>
      <c r="AD506" s="57" t="n">
        <f aca="false">D96/$W506</f>
        <v>0.0176040976091402</v>
      </c>
      <c r="AE506" s="57" t="n">
        <f aca="false">E96/$W506</f>
        <v>0.0284639814856056</v>
      </c>
      <c r="AF506" s="57" t="n">
        <f aca="false">F96/$W506</f>
        <v>0.0396570439770241</v>
      </c>
      <c r="AG506" s="57" t="n">
        <f aca="false">G96/$W506</f>
        <v>0.0691318204413377</v>
      </c>
      <c r="AH506" s="57" t="n">
        <f aca="false">H96/$W506</f>
        <v>0.0962315390596555</v>
      </c>
      <c r="AI506" s="57" t="n">
        <f aca="false">I96/$W506</f>
        <v>0.159796160106436</v>
      </c>
      <c r="AJ506" s="57" t="n">
        <f aca="false">J96/$W506</f>
        <v>0.239015878869695</v>
      </c>
      <c r="AK506" s="57" t="n">
        <f aca="false">K96/$W506</f>
        <v>0.349495776550019</v>
      </c>
      <c r="AL506" s="57" t="n">
        <f aca="false">L96/$W506</f>
        <v>0.47723774395536</v>
      </c>
      <c r="AM506" s="57" t="n">
        <f aca="false">M96/$W506</f>
        <v>0.627366316822245</v>
      </c>
      <c r="AN506" s="57" t="n">
        <f aca="false">N96/$W506</f>
        <v>0.772349277815601</v>
      </c>
      <c r="AO506" s="57" t="n">
        <f aca="false">O96/$W506</f>
        <v>0.877082587046564</v>
      </c>
      <c r="AP506" s="57" t="n">
        <f aca="false">P96/$W506</f>
        <v>0.945131771134898</v>
      </c>
      <c r="AQ506" s="57" t="n">
        <f aca="false">Q96/$W506</f>
        <v>0.997894155332218</v>
      </c>
      <c r="AR506" s="57" t="n">
        <f aca="false">R96/$W506</f>
        <v>0.989368152012976</v>
      </c>
    </row>
    <row r="507" customFormat="false" ht="11.25" hidden="false" customHeight="false" outlineLevel="0" collapsed="false">
      <c r="S507" s="36"/>
      <c r="T507" s="13"/>
      <c r="U507" s="15" t="str">
        <f aca="false">AA507</f>
        <v> Temperatura (0 - 3 graus Celsius acima do nível pré-industrial)</v>
      </c>
      <c r="V507" s="25" t="n">
        <v>3</v>
      </c>
      <c r="W507" s="70" t="n">
        <v>3</v>
      </c>
      <c r="AA507" s="29" t="str">
        <f aca="false">CONCATENATE("Temperature (0 - ",W507," deg C above preindustrial level)")</f>
        <v> Temperatura (0 - 3 graus Celsius acima do nível pré-industrial)</v>
      </c>
      <c r="AB507" s="57" t="n">
        <f aca="false"> SumWorld!B396/$V507</f>
        <v>0.153451363139682</v>
      </c>
      <c r="AC507" s="57" t="n">
        <f aca="false"> SumWorld!C396/$V507</f>
        <v>0.121451363139682</v>
      </c>
      <c r="AD507" s="57" t="n">
        <f aca="false"> SumWorld!D396/$V507</f>
        <v>0.198118029806349</v>
      </c>
      <c r="AE507" s="57" t="n">
        <f aca="false"> SumWorld!E396/$V507</f>
        <v>0.176784696473016</v>
      </c>
      <c r="AF507" s="57" t="n">
        <f aca="false"> SumWorld!F396/$V507</f>
        <v>0.231784696473016</v>
      </c>
      <c r="AG507" s="57" t="n">
        <f aca="false"> SumWorld!G396/$V507</f>
        <v>0.235784696473016</v>
      </c>
      <c r="AH507" s="57" t="n">
        <f aca="false"> SumWorld!H396/$V507</f>
        <v>0.237157742182414</v>
      </c>
      <c r="AI507" s="57" t="n">
        <f aca="false"> SumWorld!I396/$V507</f>
        <v>0.291885077953339</v>
      </c>
      <c r="AJ507" s="57" t="n">
        <f aca="false"> SumWorld!J396/$V507</f>
        <v>0.323311269283295</v>
      </c>
      <c r="AK507" s="57" t="n">
        <f aca="false"> SumWorld!K396/$V507</f>
        <v>0.363716165224711</v>
      </c>
      <c r="AL507" s="57" t="n">
        <f aca="false"> SumWorld!L396/$V507</f>
        <v>0.407845457394918</v>
      </c>
      <c r="AM507" s="57" t="n">
        <f aca="false"> SumWorld!M396/$V507</f>
        <v>0.451553185780843</v>
      </c>
      <c r="AN507" s="57" t="n">
        <f aca="false"> SumWorld!N396/$V507</f>
        <v>0.494161645571391</v>
      </c>
      <c r="AO507" s="57" t="n">
        <f aca="false"> SumWorld!O396/$V507</f>
        <v>0.537767728169759</v>
      </c>
      <c r="AP507" s="57" t="n">
        <f aca="false"> SumWorld!P396/$V507</f>
        <v>0.581482330958049</v>
      </c>
      <c r="AQ507" s="57" t="n">
        <f aca="false"> SumWorld!Q396/$V507</f>
        <v>0.62560510635376</v>
      </c>
      <c r="AR507" s="57" t="n">
        <f aca="false"> SumWorld!R396/$V507</f>
        <v>0.669907410939535</v>
      </c>
    </row>
    <row r="508" customFormat="false" ht="11.25" hidden="false" customHeight="false" outlineLevel="0" collapsed="false">
      <c r="T508" s="13"/>
      <c r="U508" s="15" t="str">
        <f aca="false">AA508</f>
        <v> Emissões de CO2 (0 - 16 GtCO2 por ano)</v>
      </c>
      <c r="V508" s="25" t="n">
        <v>16000</v>
      </c>
      <c r="W508" s="70" t="n">
        <f aca="false">W512</f>
        <v>16000</v>
      </c>
      <c r="AA508" s="29" t="str">
        <f aca="false">CONCATENATE("CO2 Emissions (0 - ",W508/1000," GtCO2 per yr)")</f>
        <v> Emissões de CO2 (0 - 16 GtCO2 por ano)</v>
      </c>
      <c r="AB508" s="57" t="n">
        <f aca="false">B357/$W508</f>
        <v>0.0487595625</v>
      </c>
      <c r="AC508" s="57" t="n">
        <f aca="false">C357/$W508</f>
        <v>0.0723011666666667</v>
      </c>
      <c r="AD508" s="57" t="n">
        <f aca="false">D357/$W508</f>
        <v>0.0927655208333333</v>
      </c>
      <c r="AE508" s="57" t="n">
        <f aca="false">E357/$W508</f>
        <v>0.1243825</v>
      </c>
      <c r="AF508" s="57" t="n">
        <f aca="false">F357/$W508</f>
        <v>0.15557575</v>
      </c>
      <c r="AG508" s="57" t="n">
        <f aca="false">G357/$W508</f>
        <v>0.20955275</v>
      </c>
      <c r="AH508" s="57" t="n">
        <f aca="false">H357/$W508</f>
        <v>0.215442791666667</v>
      </c>
      <c r="AI508" s="57" t="n">
        <f aca="false">I357/$W508</f>
        <v>0.364492104166667</v>
      </c>
      <c r="AJ508" s="57" t="n">
        <f aca="false">J357/$W508</f>
        <v>0.441948833333333</v>
      </c>
      <c r="AK508" s="57" t="n">
        <f aca="false">K357/$W508</f>
        <v>0.680571417010824</v>
      </c>
      <c r="AL508" s="57" t="n">
        <f aca="false">L357/$W508</f>
        <v>0.8411423826136</v>
      </c>
      <c r="AM508" s="57" t="n">
        <f aca="false">M357/$W508</f>
        <v>0.938652329724952</v>
      </c>
      <c r="AN508" s="57" t="n">
        <f aca="false">N357/$W508</f>
        <v>0.995031057700201</v>
      </c>
      <c r="AO508" s="57" t="n">
        <f aca="false">O357/$W508</f>
        <v>0.975414852533924</v>
      </c>
      <c r="AP508" s="57" t="n">
        <f aca="false">P357/$W508</f>
        <v>0.916416549191998</v>
      </c>
      <c r="AQ508" s="57" t="n">
        <f aca="false">Q357/$W508</f>
        <v>0.826035950469318</v>
      </c>
      <c r="AR508" s="57" t="n">
        <f aca="false">R357/$W508</f>
        <v>0.700156082964816</v>
      </c>
    </row>
    <row r="509" customFormat="false" ht="11.25" hidden="false" customHeight="false" outlineLevel="0" collapsed="false">
      <c r="T509" s="13"/>
      <c r="U509" s="15" t="str">
        <f aca="false">AA509</f>
        <v> Consumo (0 - 40 trilhões de dólares por ano)</v>
      </c>
      <c r="V509" s="25" t="n">
        <f aca="false">V506</f>
        <v>40</v>
      </c>
      <c r="W509" s="70" t="n">
        <f aca="false">W513</f>
        <v>40</v>
      </c>
      <c r="AA509" s="29" t="str">
        <f aca="false">CONCATENATE("Consumption (0 - ",W509," T$ per yr)")</f>
        <v> Consumo (0 - 40 trilhões de dólares por ano)</v>
      </c>
      <c r="AB509" s="57" t="n">
        <f aca="false">B136/$W509</f>
        <v>0.00579939246471348</v>
      </c>
      <c r="AC509" s="57" t="n">
        <f aca="false">C136/$W509</f>
        <v>0.00770349559193151</v>
      </c>
      <c r="AD509" s="57" t="n">
        <f aca="false">D136/$W509</f>
        <v>0.0115749399183757</v>
      </c>
      <c r="AE509" s="57" t="n">
        <f aca="false">E136/$W509</f>
        <v>0.0181426021323107</v>
      </c>
      <c r="AF509" s="57" t="n">
        <f aca="false">F136/$W509</f>
        <v>0.0259986499559622</v>
      </c>
      <c r="AG509" s="57" t="n">
        <f aca="false">G136/$W509</f>
        <v>0.0397018884080583</v>
      </c>
      <c r="AH509" s="57" t="n">
        <f aca="false">H136/$W509</f>
        <v>0.0592511383298188</v>
      </c>
      <c r="AI509" s="57" t="n">
        <f aca="false">I136/$W509</f>
        <v>0.0928847095809972</v>
      </c>
      <c r="AJ509" s="57" t="n">
        <f aca="false">J136/$W509</f>
        <v>0.128723033290051</v>
      </c>
      <c r="AK509" s="57" t="n">
        <f aca="false">K136/$W509</f>
        <v>0.206697302411744</v>
      </c>
      <c r="AL509" s="57" t="n">
        <f aca="false">L136/$W509</f>
        <v>0.293232433696081</v>
      </c>
      <c r="AM509" s="57" t="n">
        <f aca="false">M136/$W509</f>
        <v>0.396230514139813</v>
      </c>
      <c r="AN509" s="57" t="n">
        <f aca="false">N136/$W509</f>
        <v>0.495024295477979</v>
      </c>
      <c r="AO509" s="57" t="n">
        <f aca="false">O136/$W509</f>
        <v>0.56523578664661</v>
      </c>
      <c r="AP509" s="57" t="n">
        <f aca="false">P136/$W509</f>
        <v>0.608274923785843</v>
      </c>
      <c r="AQ509" s="57" t="n">
        <f aca="false">Q136/$W509</f>
        <v>0.632106642030853</v>
      </c>
      <c r="AR509" s="57" t="n">
        <f aca="false">R136/$W509</f>
        <v>0.611261747924569</v>
      </c>
    </row>
    <row r="510" customFormat="false" ht="11.25" hidden="false" customHeight="false" outlineLevel="0" collapsed="false">
      <c r="T510" s="13"/>
      <c r="U510" s="37" t="str">
        <f aca="false">AA511</f>
        <v> População (0 - 1,4 mil pessoas), Sua previsão</v>
      </c>
      <c r="W510" s="4" t="n">
        <v>1400</v>
      </c>
      <c r="AB510" s="24" t="n">
        <v>1970</v>
      </c>
      <c r="AC510" s="24" t="n">
        <v>1975</v>
      </c>
      <c r="AD510" s="24" t="n">
        <v>1980</v>
      </c>
      <c r="AE510" s="24" t="n">
        <v>1985</v>
      </c>
      <c r="AF510" s="24" t="n">
        <v>1990</v>
      </c>
      <c r="AG510" s="24" t="n">
        <v>1995</v>
      </c>
      <c r="AH510" s="24" t="n">
        <v>2000</v>
      </c>
      <c r="AI510" s="24" t="n">
        <v>2005</v>
      </c>
      <c r="AJ510" s="24" t="n">
        <v>2010</v>
      </c>
      <c r="AK510" s="24" t="n">
        <v>2015</v>
      </c>
      <c r="AL510" s="24" t="n">
        <v>2020</v>
      </c>
      <c r="AM510" s="24" t="n">
        <v>2025</v>
      </c>
      <c r="AN510" s="24" t="n">
        <v>2030</v>
      </c>
      <c r="AO510" s="24" t="n">
        <v>2035</v>
      </c>
      <c r="AP510" s="24" t="n">
        <v>2040</v>
      </c>
      <c r="AQ510" s="24" t="n">
        <v>2045</v>
      </c>
      <c r="AR510" s="24" t="n">
        <v>2050</v>
      </c>
    </row>
    <row r="511" customFormat="false" ht="11.25" hidden="false" customHeight="false" outlineLevel="0" collapsed="false">
      <c r="T511" s="13"/>
      <c r="U511" s="37" t="str">
        <f aca="false">AA512</f>
        <v> PIB (0 - 40 trilhões de dólares por ano), sua previsão</v>
      </c>
      <c r="W511" s="4" t="n">
        <v>40</v>
      </c>
      <c r="AA511" s="29" t="str">
        <f aca="false">CONCATENATE("Population (0 - ",W510/1000,"G persons), Your forecast")</f>
        <v> População (0 - 1,4 mil pessoas), Sua previsão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57" t="n">
        <f aca="false">K17/$W$505</f>
        <v>0.975510001321429</v>
      </c>
      <c r="AL511" s="57" t="n">
        <f aca="false">L17/$W$505</f>
        <v>0.978127317433788</v>
      </c>
      <c r="AM511" s="57" t="n">
        <f aca="false">M17/$W$505</f>
        <v>0.972423476126173</v>
      </c>
      <c r="AN511" s="57" t="n">
        <f aca="false">N17/$W$505</f>
        <v>0.959590934733134</v>
      </c>
      <c r="AO511" s="57" t="n">
        <f aca="false">O17/$W$505</f>
        <v>0.938812151312301</v>
      </c>
      <c r="AP511" s="57" t="n">
        <f aca="false">P17/$W$505</f>
        <v>0.910645326227872</v>
      </c>
      <c r="AQ511" s="57" t="n">
        <f aca="false">Q17/$W$505</f>
        <v>0.875877150878788</v>
      </c>
      <c r="AR511" s="57" t="n">
        <f aca="false">R17/$W$505</f>
        <v>0.835257220606378</v>
      </c>
    </row>
    <row r="512" customFormat="false" ht="11.25" hidden="false" customHeight="false" outlineLevel="0" collapsed="false">
      <c r="T512" s="13"/>
      <c r="U512" s="37" t="str">
        <f aca="false">AA513</f>
        <v> Emissões de CO2 (0 - 16.000 T$ por ano), sua previsão</v>
      </c>
      <c r="W512" s="4" t="n">
        <v>16000</v>
      </c>
      <c r="AA512" s="29" t="str">
        <f aca="false">CONCATENATE("GDP (0 - ",W511," T$ per yr), Your forecast")</f>
        <v> PIB (0 - 40 trilhões de dólares por ano), sua previsão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57" t="n">
        <f aca="false">K104/$W511</f>
        <v>0.349495776550019</v>
      </c>
      <c r="AL512" s="57" t="n">
        <f aca="false">L104/$W511</f>
        <v>0.461315357407032</v>
      </c>
      <c r="AM512" s="57" t="n">
        <f aca="false">M104/$W511</f>
        <v>0.598997683616566</v>
      </c>
      <c r="AN512" s="57" t="n">
        <f aca="false">N104/$W511</f>
        <v>0.72947209705592</v>
      </c>
      <c r="AO512" s="57" t="n">
        <f aca="false">O104/$W511</f>
        <v>0.820783434625152</v>
      </c>
      <c r="AP512" s="57" t="n">
        <f aca="false">P104/$W511</f>
        <v>0.877878163488258</v>
      </c>
      <c r="AQ512" s="57" t="n">
        <f aca="false">Q104/$W511</f>
        <v>0.921736719210391</v>
      </c>
      <c r="AR512" s="57" t="n">
        <f aca="false">R104/$W511</f>
        <v>0.91067351607283</v>
      </c>
    </row>
    <row r="513" customFormat="false" ht="11.25" hidden="false" customHeight="false" outlineLevel="0" collapsed="false">
      <c r="T513" s="13"/>
      <c r="U513" s="37" t="str">
        <f aca="false">AA514</f>
        <v> Consumo (0 - 40 trilhões de dólares por ano), Sua previsão</v>
      </c>
      <c r="W513" s="93" t="n">
        <f aca="false">W511</f>
        <v>40</v>
      </c>
      <c r="AA513" s="29" t="str">
        <f aca="false">CONCATENATE("CO2 Emissions (0 - ",W512," T$ per yr), Your forecast")</f>
        <v> Emissões de CO2 (0 - 16.000 T$ por ano), sua previsão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57" t="n">
        <f aca="false">K368/$W512</f>
        <v>0.680571417010824</v>
      </c>
      <c r="AL513" s="57" t="n">
        <f aca="false">L368/$W512</f>
        <v>0.818491640444515</v>
      </c>
      <c r="AM513" s="57" t="n">
        <f aca="false">M368/$W512</f>
        <v>0.90556478744609</v>
      </c>
      <c r="AN513" s="57" t="n">
        <f aca="false">N368/$W512</f>
        <v>0.952873378441067</v>
      </c>
      <c r="AO513" s="57" t="n">
        <f aca="false">O368/$W512</f>
        <v>0.928876862010686</v>
      </c>
      <c r="AP513" s="57" t="n">
        <f aca="false">P368/$W512</f>
        <v>0.869189829873897</v>
      </c>
      <c r="AQ513" s="57" t="n">
        <f aca="false">Q368/$W512</f>
        <v>0.782453666474946</v>
      </c>
      <c r="AR513" s="57" t="n">
        <f aca="false">R368/$W512</f>
        <v>0.663983904886676</v>
      </c>
    </row>
    <row r="514" customFormat="false" ht="11.25" hidden="false" customHeight="false" outlineLevel="0" collapsed="false">
      <c r="T514" s="13"/>
      <c r="AA514" s="29" t="str">
        <f aca="false">CONCATENATE("Consumption (0 - ",W513," T$ per yr), Your forecast")</f>
        <v> Consumo (0 - 40 trilhões de dólares por ano), Sua previsão</v>
      </c>
      <c r="AB514" s="29"/>
      <c r="AC514" s="29"/>
      <c r="AD514" s="29"/>
      <c r="AE514" s="29"/>
      <c r="AF514" s="29"/>
      <c r="AG514" s="29"/>
      <c r="AH514" s="29"/>
      <c r="AI514" s="29"/>
      <c r="AJ514" s="29"/>
      <c r="AK514" s="57" t="n">
        <f aca="false">K147/$W513</f>
        <v>0.206697302411744</v>
      </c>
      <c r="AL514" s="57" t="n">
        <f aca="false">L147/$W513</f>
        <v>0.283642885858332</v>
      </c>
      <c r="AM514" s="57" t="n">
        <f aca="false">M147/$W513</f>
        <v>0.37873281917789</v>
      </c>
      <c r="AN514" s="57" t="n">
        <f aca="false">N147/$W513</f>
        <v>0.468257769387981</v>
      </c>
      <c r="AO514" s="57" t="n">
        <f aca="false">O147/$W513</f>
        <v>0.529987990553467</v>
      </c>
      <c r="AP514" s="57" t="n">
        <f aca="false">P147/$W513</f>
        <v>0.566343279925212</v>
      </c>
      <c r="AQ514" s="57" t="n">
        <f aca="false">Q147/$W513</f>
        <v>0.585653601559246</v>
      </c>
      <c r="AR514" s="57" t="n">
        <f aca="false">R147/$W513</f>
        <v>0.564827423829187</v>
      </c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customFormat="false" ht="11.25" hidden="false" customHeight="false" outlineLevel="0" collapsed="false">
      <c r="T523" s="13"/>
    </row>
    <row r="524" customFormat="false" ht="11.25" hidden="false" customHeight="false" outlineLevel="0" collapsed="false">
      <c r="T524" s="13"/>
    </row>
    <row r="525" customFormat="false" ht="11.25" hidden="false" customHeight="false" outlineLevel="0" collapsed="false">
      <c r="T525" s="13"/>
    </row>
    <row r="526" customFormat="false" ht="11.25" hidden="false" customHeight="false" outlineLevel="0" collapsed="false">
      <c r="T526" s="13"/>
    </row>
    <row r="527" customFormat="false" ht="11.25" hidden="false" customHeight="false" outlineLevel="0" collapsed="false">
      <c r="T527" s="13"/>
    </row>
    <row r="528" customFormat="false" ht="11.25" hidden="false" customHeight="false" outlineLevel="0" collapsed="false">
      <c r="T528" s="13"/>
    </row>
    <row r="529" customFormat="false" ht="11.25" hidden="false" customHeight="false" outlineLevel="0" collapsed="false">
      <c r="T529" s="13"/>
      <c r="X529" s="15" t="s">
        <v>33</v>
      </c>
    </row>
    <row r="530" customFormat="false" ht="12.65" hidden="false" customHeight="false" outlineLevel="0" collapsed="false">
      <c r="A530" s="61" t="s">
        <v>156</v>
      </c>
      <c r="T530" s="13"/>
      <c r="V530" s="3" t="s">
        <v>35</v>
      </c>
    </row>
    <row r="531" customFormat="false" ht="28.3" hidden="false" customHeight="false" outlineLevel="0" collapsed="false">
      <c r="A531" s="23" t="str">
        <f aca="false">CONCATENATE(A530,". Production - ",A5," 1970 to 2050")</f>
        <v> Gráfico 14. Produção - China, de 1970 a 2050</v>
      </c>
      <c r="T531" s="13"/>
      <c r="U531" s="55" t="s">
        <v>37</v>
      </c>
      <c r="V531" s="54" t="s">
        <v>38</v>
      </c>
      <c r="W531" s="54" t="s">
        <v>39</v>
      </c>
      <c r="X531" s="55"/>
      <c r="Y531" s="55"/>
      <c r="AA531" s="52" t="s">
        <v>36</v>
      </c>
    </row>
    <row r="532" customFormat="false" ht="11.25" hidden="false" customHeight="false" outlineLevel="0" collapsed="false">
      <c r="T532" s="13"/>
      <c r="U532" s="15" t="str">
        <f aca="false">AA533</f>
        <v> Biocapacidade não utilizada (0 - 20%)</v>
      </c>
      <c r="V532" s="25" t="n">
        <v>50</v>
      </c>
      <c r="W532" s="70" t="n">
        <f aca="false">W537</f>
        <v>20</v>
      </c>
      <c r="AB532" s="24" t="n">
        <v>1970</v>
      </c>
      <c r="AC532" s="24" t="n">
        <v>1975</v>
      </c>
      <c r="AD532" s="24" t="n">
        <v>1980</v>
      </c>
      <c r="AE532" s="24" t="n">
        <v>1985</v>
      </c>
      <c r="AF532" s="24" t="n">
        <v>1990</v>
      </c>
      <c r="AG532" s="24" t="n">
        <v>1995</v>
      </c>
      <c r="AH532" s="24" t="n">
        <v>2000</v>
      </c>
      <c r="AI532" s="24" t="n">
        <v>2005</v>
      </c>
      <c r="AJ532" s="24" t="n">
        <v>2010</v>
      </c>
      <c r="AK532" s="24" t="n">
        <v>2015</v>
      </c>
      <c r="AL532" s="24" t="n">
        <v>2020</v>
      </c>
      <c r="AM532" s="24" t="n">
        <v>2025</v>
      </c>
      <c r="AN532" s="24" t="n">
        <v>2030</v>
      </c>
      <c r="AO532" s="24" t="n">
        <v>2035</v>
      </c>
      <c r="AP532" s="24" t="n">
        <v>2040</v>
      </c>
      <c r="AQ532" s="24" t="n">
        <v>2045</v>
      </c>
      <c r="AR532" s="24" t="n">
        <v>2050</v>
      </c>
    </row>
    <row r="533" customFormat="false" ht="11.25" hidden="false" customHeight="false" outlineLevel="0" collapsed="false">
      <c r="T533" s="13"/>
      <c r="U533" s="15" t="str">
        <f aca="false">AA534</f>
        <v>Percentagem do investimento no PIB (0 - 50%)</v>
      </c>
      <c r="V533" s="25" t="n">
        <v>40</v>
      </c>
      <c r="W533" s="70" t="n">
        <f aca="false">W538</f>
        <v>50</v>
      </c>
      <c r="AA533" s="29" t="str">
        <f aca="false">CONCATENATE("Unused bio-capacity (0 - ",W532," %)")</f>
        <v> Biocapacidade não utilizada (0 - 20%)</v>
      </c>
      <c r="AB533" s="57" t="n">
        <f aca="false">(100*B462/B457)/$W532</f>
        <v>0.981910823892439</v>
      </c>
      <c r="AC533" s="57" t="n">
        <f aca="false">(100*C462/C457)/$W532</f>
        <v>0.789130564667265</v>
      </c>
      <c r="AD533" s="57" t="n">
        <f aca="false">(100*D462/D457)/$W532</f>
        <v>0.632457204576967</v>
      </c>
      <c r="AE533" s="57" t="n">
        <f aca="false">(100*E462/E457)/$W532</f>
        <v>0.672294611446017</v>
      </c>
      <c r="AF533" s="57" t="n">
        <f aca="false">(100*F462/F457)/$W532</f>
        <v>0.370506141798568</v>
      </c>
      <c r="AG533" s="57" t="n">
        <f aca="false">(100*G462/G457)/$W532</f>
        <v>-0.0267817292861001</v>
      </c>
      <c r="AH533" s="57" t="n">
        <f aca="false">(100*H462/H457)/$W532</f>
        <v>-0.149352174467361</v>
      </c>
      <c r="AI533" s="57" t="n">
        <f aca="false">(100*I462/I457)/$W532</f>
        <v>-0.311926849156987</v>
      </c>
      <c r="AJ533" s="57" t="n">
        <f aca="false">(100*J462/J457)/$W532</f>
        <v>-0.150976435771237</v>
      </c>
      <c r="AK533" s="57" t="n">
        <f aca="false">(100*K462/K457)/$W532</f>
        <v>-0.244033343302601</v>
      </c>
      <c r="AL533" s="57" t="n">
        <f aca="false">(100*L462/L457)/$W532</f>
        <v>-0.258390347294219</v>
      </c>
      <c r="AM533" s="57" t="n">
        <f aca="false">(100*M462/M457)/$W532</f>
        <v>-0.267620996632752</v>
      </c>
      <c r="AN533" s="57" t="n">
        <f aca="false">(100*N462/N457)/$W532</f>
        <v>-0.237287556956152</v>
      </c>
      <c r="AO533" s="57" t="n">
        <f aca="false">(100*O462/O457)/$W532</f>
        <v>-0.161893276344292</v>
      </c>
      <c r="AP533" s="57" t="n">
        <f aca="false">(100*P462/P457)/$W532</f>
        <v>-0.0839241275427103</v>
      </c>
      <c r="AQ533" s="57" t="n">
        <f aca="false">(100*Q462/Q457)/$W532</f>
        <v>0.074737809390741</v>
      </c>
      <c r="AR533" s="57" t="n">
        <f aca="false">(100*R462/R457)/$W532</f>
        <v>0.151408545401061</v>
      </c>
    </row>
    <row r="534" s="3" customFormat="true" ht="11.25" hidden="false" customHeight="false" outlineLevel="0" collapsed="false">
      <c r="T534" s="13"/>
      <c r="U534" s="15" t="str">
        <f aca="false">AA535</f>
        <v> Consumo de energia (0 - 6,2 Mtoe por ano)</v>
      </c>
      <c r="V534" s="25" t="n">
        <v>3000</v>
      </c>
      <c r="W534" s="70" t="n">
        <f aca="false">W539</f>
        <v>6200</v>
      </c>
      <c r="AA534" s="29" t="str">
        <f aca="false">CONCATENATE("Investment share of GDP (0 - ",W533," %)")</f>
        <v> Percentagem do investimento no PIB (0 - 50%)</v>
      </c>
      <c r="AB534" s="57" t="n">
        <f aca="false">B137/$W533</f>
        <v>0.674950469524307</v>
      </c>
      <c r="AC534" s="57" t="n">
        <f aca="false">C137/$W533</f>
        <v>0.696187347817893</v>
      </c>
      <c r="AD534" s="57" t="n">
        <f aca="false">D137/$W533</f>
        <v>0.684972081458368</v>
      </c>
      <c r="AE534" s="57" t="n">
        <f aca="false">E137/$W533</f>
        <v>0.72522386641619</v>
      </c>
      <c r="AF534" s="57" t="n">
        <f aca="false">F137/$W533</f>
        <v>0.688825623461755</v>
      </c>
      <c r="AG534" s="57" t="n">
        <f aca="false">G137/$W533</f>
        <v>0.851414930068344</v>
      </c>
      <c r="AH534" s="57" t="n">
        <f aca="false">H137/$W533</f>
        <v>0.768571324769355</v>
      </c>
      <c r="AI534" s="57" t="n">
        <f aca="false">I137/$W533</f>
        <v>0.837460055121111</v>
      </c>
      <c r="AJ534" s="57" t="n">
        <f aca="false">J137/$W533</f>
        <v>0.922891366893437</v>
      </c>
      <c r="AK534" s="57" t="n">
        <f aca="false">K137/$W533</f>
        <v>0.817168525170078</v>
      </c>
      <c r="AL534" s="57" t="n">
        <f aca="false">L137/$W533</f>
        <v>0.771126393877558</v>
      </c>
      <c r="AM534" s="57" t="n">
        <f aca="false">M137/$W533</f>
        <v>0.736844795408169</v>
      </c>
      <c r="AN534" s="57" t="n">
        <f aca="false">N137/$W533</f>
        <v>0.718133596556127</v>
      </c>
      <c r="AO534" s="57" t="n">
        <f aca="false">O137/$W533</f>
        <v>0.711100197417095</v>
      </c>
      <c r="AP534" s="57" t="n">
        <f aca="false">P137/$W533</f>
        <v>0.712825148062821</v>
      </c>
      <c r="AQ534" s="57" t="n">
        <f aca="false">Q137/$W533</f>
        <v>0.733118861047116</v>
      </c>
      <c r="AR534" s="57" t="n">
        <f aca="false">R137/$W533</f>
        <v>0.764339145785337</v>
      </c>
    </row>
    <row r="535" s="3" customFormat="true" ht="11.25" hidden="false" customHeight="false" outlineLevel="0" collapsed="false">
      <c r="T535" s="13"/>
      <c r="U535" s="15" t="str">
        <f aca="false">AA536</f>
        <v> Produção de alimentos (0 - 2 Gt por ano)</v>
      </c>
      <c r="V535" s="25" t="n">
        <v>1300</v>
      </c>
      <c r="W535" s="70" t="n">
        <f aca="false">W540</f>
        <v>2000</v>
      </c>
      <c r="AA535" s="29" t="str">
        <f aca="false">CONCATENATE("Energy use (0 - ",W534/1000," Mtoe per yr)")</f>
        <v> Consumo de energia (0 - 6,2 Mtoe por ano)</v>
      </c>
      <c r="AB535" s="57" t="n">
        <f aca="false">B250/$W534</f>
        <v>0.0327431058064516</v>
      </c>
      <c r="AC535" s="57" t="n">
        <f aca="false">C250/$W534</f>
        <v>0.0509672500887097</v>
      </c>
      <c r="AD535" s="57" t="n">
        <f aca="false">D250/$W534</f>
        <v>0.068185850483871</v>
      </c>
      <c r="AE535" s="57" t="n">
        <f aca="false">E250/$W534</f>
        <v>0.0855994183758065</v>
      </c>
      <c r="AF535" s="57" t="n">
        <f aca="false">F250/$W534</f>
        <v>0.111669607753656</v>
      </c>
      <c r="AG535" s="57" t="n">
        <f aca="false">G250/$W534</f>
        <v>0.149729916725492</v>
      </c>
      <c r="AH535" s="57" t="n">
        <f aca="false">H250/$W534</f>
        <v>0.170060690870575</v>
      </c>
      <c r="AI535" s="57" t="n">
        <f aca="false">I250/$W534</f>
        <v>0.276616047267644</v>
      </c>
      <c r="AJ535" s="57" t="n">
        <f aca="false">J250/$W534</f>
        <v>0.396691346270868</v>
      </c>
      <c r="AK535" s="57" t="n">
        <f aca="false">K250/$W534</f>
        <v>0.551050638278444</v>
      </c>
      <c r="AL535" s="57" t="n">
        <f aca="false">L250/$W534</f>
        <v>0.714838553165041</v>
      </c>
      <c r="AM535" s="57" t="n">
        <f aca="false">M250/$W534</f>
        <v>0.845740036934879</v>
      </c>
      <c r="AN535" s="57" t="n">
        <f aca="false">N250/$W534</f>
        <v>0.937069811222146</v>
      </c>
      <c r="AO535" s="57" t="n">
        <f aca="false">O250/$W534</f>
        <v>0.984329324874721</v>
      </c>
      <c r="AP535" s="57" t="n">
        <f aca="false">P250/$W534</f>
        <v>0.981146886328805</v>
      </c>
      <c r="AQ535" s="57" t="n">
        <f aca="false">Q250/$W534</f>
        <v>0.958225842464469</v>
      </c>
      <c r="AR535" s="57" t="n">
        <f aca="false">R250/$W534</f>
        <v>0.890661342222835</v>
      </c>
    </row>
    <row r="536" s="3" customFormat="true" ht="11.25" hidden="false" customHeight="false" outlineLevel="0" collapsed="false">
      <c r="T536" s="13"/>
      <c r="U536" s="15" t="str">
        <f aca="false">AA537</f>
        <v> Fração renovável (0 - 40%)</v>
      </c>
      <c r="V536" s="25" t="n">
        <v>40</v>
      </c>
      <c r="W536" s="70" t="n">
        <f aca="false">W541</f>
        <v>40</v>
      </c>
      <c r="AA536" s="29" t="str">
        <f aca="false">CONCATENATE("Food production (0 - ",W535/1000," Gt per year)")</f>
        <v> Produção de alimentos (0 - 2 Gt por ano)</v>
      </c>
      <c r="AB536" s="57" t="n">
        <f aca="false">B412/$W535</f>
        <v>0.2358770005</v>
      </c>
      <c r="AC536" s="57" t="n">
        <f aca="false">C412/$W535</f>
        <v>0.2725928755</v>
      </c>
      <c r="AD536" s="57" t="n">
        <f aca="false">D412/$W535</f>
        <v>0.3037663085</v>
      </c>
      <c r="AE536" s="57" t="n">
        <f aca="false">E412/$W535</f>
        <v>0.3569478565</v>
      </c>
      <c r="AF536" s="57" t="n">
        <f aca="false">F412/$W535</f>
        <v>0.4316166885</v>
      </c>
      <c r="AG536" s="57" t="n">
        <f aca="false">G412/$W535</f>
        <v>0.5147167375</v>
      </c>
      <c r="AH536" s="57" t="n">
        <f aca="false">H412/$W535</f>
        <v>0.6010316565</v>
      </c>
      <c r="AI536" s="57" t="n">
        <f aca="false">I412/$W535</f>
        <v>0.6862134255</v>
      </c>
      <c r="AJ536" s="57" t="n">
        <f aca="false">J412/$W535</f>
        <v>0.7687018665</v>
      </c>
      <c r="AK536" s="57" t="n">
        <f aca="false">K412/$W535</f>
        <v>0.85</v>
      </c>
      <c r="AL536" s="57" t="n">
        <f aca="false">L412/$W535</f>
        <v>0.9</v>
      </c>
      <c r="AM536" s="57" t="n">
        <f aca="false">M412/$W535</f>
        <v>0.95</v>
      </c>
      <c r="AN536" s="57" t="n">
        <f aca="false">N412/$W535</f>
        <v>0.98</v>
      </c>
      <c r="AO536" s="57" t="n">
        <f aca="false">O412/$W535</f>
        <v>1</v>
      </c>
      <c r="AP536" s="57" t="n">
        <f aca="false">P412/$W535</f>
        <v>1</v>
      </c>
      <c r="AQ536" s="57" t="n">
        <f aca="false">Q412/$W535</f>
        <v>0.98</v>
      </c>
      <c r="AR536" s="57" t="n">
        <f aca="false">R412/$W535</f>
        <v>0.95</v>
      </c>
    </row>
    <row r="537" s="3" customFormat="true" ht="11.25" hidden="false" customHeight="false" outlineLevel="0" collapsed="false">
      <c r="T537" s="13"/>
      <c r="U537" s="37" t="str">
        <f aca="false">AA540</f>
        <v> Biocapacidade não utilizada (0 - 20%), Sua previsão</v>
      </c>
      <c r="W537" s="4" t="n">
        <v>20</v>
      </c>
      <c r="AA537" s="29" t="str">
        <f aca="false">CONCATENATE("Fraction renewable (0 - ",W536," %)")</f>
        <v> Fração renovável (0 - 40%)</v>
      </c>
      <c r="AB537" s="120" t="n">
        <f aca="false">B255/$W536</f>
        <v>0.0669803644851</v>
      </c>
      <c r="AC537" s="120" t="n">
        <f aca="false">C255/$W536</f>
        <v>0.0780703736446231</v>
      </c>
      <c r="AD537" s="120" t="n">
        <f aca="false">D255/$W536</f>
        <v>0.0779061452852319</v>
      </c>
      <c r="AE537" s="120" t="n">
        <f aca="false">E255/$W536</f>
        <v>0.09847538270486</v>
      </c>
      <c r="AF537" s="120" t="n">
        <f aca="false">F255/$W536</f>
        <v>0.103559793771047</v>
      </c>
      <c r="AG537" s="120" t="n">
        <f aca="false">G255/$W536</f>
        <v>0.118298308040783</v>
      </c>
      <c r="AH537" s="120" t="n">
        <f aca="false">H255/$W536</f>
        <v>0.121095662485204</v>
      </c>
      <c r="AI537" s="120" t="n">
        <f aca="false">I255/$W536</f>
        <v>0.133318687574517</v>
      </c>
      <c r="AJ537" s="120" t="n">
        <f aca="false">J255/$W536</f>
        <v>0.179568098583736</v>
      </c>
      <c r="AK537" s="120" t="n">
        <f aca="false">K255/$W536</f>
        <v>0.25</v>
      </c>
      <c r="AL537" s="120" t="n">
        <f aca="false">L255/$W536</f>
        <v>0.3</v>
      </c>
      <c r="AM537" s="120" t="n">
        <f aca="false">M255/$W536</f>
        <v>0.375</v>
      </c>
      <c r="AN537" s="120" t="n">
        <f aca="false">N255/$W536</f>
        <v>0.45</v>
      </c>
      <c r="AO537" s="120" t="n">
        <f aca="false">O255/$W536</f>
        <v>0.55</v>
      </c>
      <c r="AP537" s="120" t="n">
        <f aca="false">P255/$W536</f>
        <v>0.65</v>
      </c>
      <c r="AQ537" s="120" t="n">
        <f aca="false">Q255/$W536</f>
        <v>0.775</v>
      </c>
      <c r="AR537" s="120" t="n">
        <f aca="false">R255/$W536</f>
        <v>0.925</v>
      </c>
    </row>
    <row r="538" s="3" customFormat="true" ht="11.25" hidden="false" customHeight="false" outlineLevel="0" collapsed="false">
      <c r="T538" s="13"/>
      <c r="U538" s="37" t="str">
        <f aca="false">AA541</f>
        <v> Participação do investimento no PIB (0 - 50%), Sua previsão</v>
      </c>
      <c r="W538" s="4" t="n">
        <v>50</v>
      </c>
      <c r="AA538" s="29" t="str">
        <f aca="false">CONCATENATE("Sea level rise (0 - ",W565/1000," m)")</f>
        <v> Aumento do nível do mar (0 - 0,8 m)</v>
      </c>
      <c r="AB538" s="29"/>
      <c r="AC538" s="29"/>
      <c r="AD538" s="29"/>
      <c r="AE538" s="29"/>
      <c r="AF538" s="29"/>
      <c r="AG538" s="29"/>
      <c r="AH538" s="29"/>
      <c r="AI538" s="57" t="n">
        <f aca="false"> SumWorld!I403/$V$565</f>
        <v>0.0234931063652039</v>
      </c>
      <c r="AJ538" s="57" t="n">
        <f aca="false"> SumWorld!J403/$V$565</f>
        <v>0.0558284044265747</v>
      </c>
      <c r="AK538" s="57" t="n">
        <f aca="false"> SumWorld!K403/$V$565</f>
        <v>0.0902567386627197</v>
      </c>
      <c r="AL538" s="57" t="n">
        <f aca="false"> SumWorld!L403/$V$565</f>
        <v>0.128428058624268</v>
      </c>
      <c r="AM538" s="57" t="n">
        <f aca="false"> SumWorld!M403/$V$565</f>
        <v>0.171287422180176</v>
      </c>
      <c r="AN538" s="57" t="n">
        <f aca="false"> SumWorld!N403/$V$565</f>
        <v>0.218884449005127</v>
      </c>
      <c r="AO538" s="57" t="n">
        <f aca="false"> SumWorld!O403/$V$565</f>
        <v>0.270819759368896</v>
      </c>
      <c r="AP538" s="57" t="n">
        <f aca="false"> SumWorld!P403/$V$565</f>
        <v>0.327321701049805</v>
      </c>
      <c r="AQ538" s="57" t="n">
        <f aca="false"> SumWorld!Q403/$V$565</f>
        <v>0.388355827331543</v>
      </c>
      <c r="AR538" s="57" t="n">
        <f aca="false"> SumWorld!R403/$V$565</f>
        <v>0.454001922607422</v>
      </c>
    </row>
    <row r="539" s="3" customFormat="true" ht="11.25" hidden="false" customHeight="false" outlineLevel="0" collapsed="false">
      <c r="T539" s="13"/>
      <c r="U539" s="37" t="str">
        <f aca="false">AA542</f>
        <v> Consumo de energia (0 - 6,2 Mtoe por ano), sua previsão</v>
      </c>
      <c r="W539" s="4" t="n">
        <v>6200</v>
      </c>
      <c r="AB539" s="24" t="n">
        <v>1970</v>
      </c>
      <c r="AC539" s="24" t="n">
        <v>1975</v>
      </c>
      <c r="AD539" s="24" t="n">
        <v>1980</v>
      </c>
      <c r="AE539" s="24" t="n">
        <v>1985</v>
      </c>
      <c r="AF539" s="24" t="n">
        <v>1990</v>
      </c>
      <c r="AG539" s="24" t="n">
        <v>1995</v>
      </c>
      <c r="AH539" s="24" t="n">
        <v>2000</v>
      </c>
      <c r="AI539" s="24" t="n">
        <v>2005</v>
      </c>
      <c r="AJ539" s="24" t="n">
        <v>2010</v>
      </c>
      <c r="AK539" s="24" t="n">
        <v>2015</v>
      </c>
      <c r="AL539" s="24" t="n">
        <v>2020</v>
      </c>
      <c r="AM539" s="24" t="n">
        <v>2025</v>
      </c>
      <c r="AN539" s="24" t="n">
        <v>2030</v>
      </c>
      <c r="AO539" s="24" t="n">
        <v>2035</v>
      </c>
      <c r="AP539" s="24" t="n">
        <v>2040</v>
      </c>
      <c r="AQ539" s="24" t="n">
        <v>2045</v>
      </c>
      <c r="AR539" s="24" t="n">
        <v>2050</v>
      </c>
    </row>
    <row r="540" s="3" customFormat="true" ht="11.25" hidden="false" customHeight="false" outlineLevel="0" collapsed="false">
      <c r="T540" s="13"/>
      <c r="U540" s="37" t="str">
        <f aca="false">AA543</f>
        <v> Produção de alimentos (0 a 2 Gt por ano), sua previsão</v>
      </c>
      <c r="W540" s="4" t="n">
        <v>2000</v>
      </c>
      <c r="AA540" s="29" t="str">
        <f aca="false">CONCATENATE("Unused bio-capacity (0 - ",W537," %), Your forecast")</f>
        <v> Biocapacidade não utilizada (0 - 20%), Sua previsão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57" t="n">
        <f aca="false">(100*K471/K466)/$W537</f>
        <v>-0.244033343302601</v>
      </c>
      <c r="AL540" s="57" t="n">
        <f aca="false">(100*L471/L466)/$W537</f>
        <v>-0.365411435933047</v>
      </c>
      <c r="AM540" s="57" t="n">
        <f aca="false">(100*M471/M466)/$W537</f>
        <v>-0.375473427956264</v>
      </c>
      <c r="AN540" s="57" t="n">
        <f aca="false">(100*N471/N466)/$W537</f>
        <v>-0.34597793106185</v>
      </c>
      <c r="AO540" s="57" t="n">
        <f aca="false">(100*O471/O466)/$W537</f>
        <v>-0.27140004465717</v>
      </c>
      <c r="AP540" s="57" t="n">
        <f aca="false">(100*P471/P466)/$W537</f>
        <v>-0.195056135075032</v>
      </c>
      <c r="AQ540" s="57" t="n">
        <f aca="false">(100*Q471/Q466)/$W537</f>
        <v>-0.0370064449385841</v>
      </c>
      <c r="AR540" s="57" t="n">
        <f aca="false">(100*R471/R466)/$W537</f>
        <v>0.0364775861624859</v>
      </c>
    </row>
    <row r="541" s="3" customFormat="true" ht="11.25" hidden="false" customHeight="false" outlineLevel="0" collapsed="false">
      <c r="T541" s="13"/>
      <c r="U541" s="37" t="str">
        <f aca="false">AA544</f>
        <v> Fração renovável (0 - 40%), Sua previsão</v>
      </c>
      <c r="W541" s="4" t="n">
        <v>40</v>
      </c>
      <c r="AA541" s="29" t="str">
        <f aca="false">CONCATENATE("Investment share of GDP (0 - ",W538," %), Your forecast")</f>
        <v> Participação do investimento no PIB (0 - 50%), Sua previsão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57" t="n">
        <f aca="false">K148/$W538</f>
        <v>0.817168525170078</v>
      </c>
      <c r="AL541" s="57" t="n">
        <f aca="false">L148/$W538</f>
        <v>0.770286393877559</v>
      </c>
      <c r="AM541" s="57" t="n">
        <f aca="false">M148/$W538</f>
        <v>0.735444795408169</v>
      </c>
      <c r="AN541" s="57" t="n">
        <f aca="false">N148/$W538</f>
        <v>0.716173596556127</v>
      </c>
      <c r="AO541" s="57" t="n">
        <f aca="false">O148/$W538</f>
        <v>0.708580197417095</v>
      </c>
      <c r="AP541" s="57" t="n">
        <f aca="false">P148/$W538</f>
        <v>0.709745148062821</v>
      </c>
      <c r="AQ541" s="57" t="n">
        <f aca="false">Q148/$W538</f>
        <v>0.729238861047116</v>
      </c>
      <c r="AR541" s="57" t="n">
        <f aca="false">R148/$W538</f>
        <v>0.759539145785337</v>
      </c>
    </row>
    <row r="542" s="3" customFormat="true" ht="11.25" hidden="false" customHeight="false" outlineLevel="0" collapsed="false">
      <c r="T542" s="13"/>
      <c r="AA542" s="29" t="str">
        <f aca="false">CONCATENATE("Energy use (0 - ",W539/1000," Mtoe per yr), Your forecast")</f>
        <v> Consumo de energia (0 - 6,2 Mtoe por ano), sua previsão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57" t="n">
        <f aca="false">K266/$W539</f>
        <v>0.551050638278444</v>
      </c>
      <c r="AL542" s="57" t="n">
        <f aca="false">L266/$W539</f>
        <v>0.691716296397081</v>
      </c>
      <c r="AM542" s="57" t="n">
        <f aca="false">M266/$W539</f>
        <v>0.810143170508591</v>
      </c>
      <c r="AN542" s="57" t="n">
        <f aca="false">N266/$W539</f>
        <v>0.889921817747846</v>
      </c>
      <c r="AO542" s="57" t="n">
        <f aca="false">O266/$W539</f>
        <v>0.927720548901702</v>
      </c>
      <c r="AP542" s="57" t="n">
        <f aca="false">P266/$W539</f>
        <v>0.91932329212369</v>
      </c>
      <c r="AQ542" s="57" t="n">
        <f aca="false">Q266/$W539</f>
        <v>0.894306381275955</v>
      </c>
      <c r="AR542" s="57" t="n">
        <f aca="false">R266/$W539</f>
        <v>0.829453602234765</v>
      </c>
    </row>
    <row r="543" s="3" customFormat="true" ht="11.25" hidden="false" customHeight="false" outlineLevel="0" collapsed="false">
      <c r="T543" s="13"/>
      <c r="AA543" s="29" t="str">
        <f aca="false">CONCATENATE("Food production (0 - ",W540/1000," Gt per year), Your forecast")</f>
        <v> Produção de alimentos (0 a 2 Gt por ano), sua previsão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57" t="n">
        <f aca="false">K420/$W540</f>
        <v>0.85</v>
      </c>
      <c r="AL543" s="57" t="n">
        <f aca="false">L420/$W540</f>
        <v>0.86436</v>
      </c>
      <c r="AM543" s="57" t="n">
        <f aca="false">M420/$W540</f>
        <v>0.91238</v>
      </c>
      <c r="AN543" s="57" t="n">
        <f aca="false">N420/$W540</f>
        <v>0.941192</v>
      </c>
      <c r="AO543" s="57" t="n">
        <f aca="false">O420/$W540</f>
        <v>0.9604</v>
      </c>
      <c r="AP543" s="57" t="n">
        <f aca="false">P420/$W540</f>
        <v>0.9604</v>
      </c>
      <c r="AQ543" s="57" t="n">
        <f aca="false">Q420/$W540</f>
        <v>0.941192</v>
      </c>
      <c r="AR543" s="57" t="n">
        <f aca="false">R420/$W540</f>
        <v>0.91238</v>
      </c>
    </row>
    <row r="544" s="3" customFormat="true" ht="11.25" hidden="false" customHeight="false" outlineLevel="0" collapsed="false">
      <c r="T544" s="13"/>
      <c r="AA544" s="29" t="str">
        <f aca="false">CONCATENATE("Fraction renewable (0 - ",W541," %), Your forecast")</f>
        <v> Fração renovável (0 - 40%), Sua previsão</v>
      </c>
      <c r="AB544" s="29"/>
      <c r="AC544" s="29"/>
      <c r="AD544" s="29"/>
      <c r="AE544" s="29"/>
      <c r="AF544" s="29"/>
      <c r="AG544" s="29"/>
      <c r="AH544" s="29"/>
      <c r="AI544" s="29"/>
      <c r="AJ544" s="29"/>
      <c r="AK544" s="120" t="n">
        <f aca="false">K271/$W541</f>
        <v>0.25</v>
      </c>
      <c r="AL544" s="120" t="n">
        <f aca="false">L271/$W541</f>
        <v>0.294</v>
      </c>
      <c r="AM544" s="120" t="n">
        <f aca="false">M271/$W541</f>
        <v>0.3675</v>
      </c>
      <c r="AN544" s="120" t="n">
        <f aca="false">N271/$W541</f>
        <v>0.441</v>
      </c>
      <c r="AO544" s="120" t="n">
        <f aca="false">O271/$W541</f>
        <v>0.539</v>
      </c>
      <c r="AP544" s="120" t="n">
        <f aca="false">P271/$W541</f>
        <v>0.637</v>
      </c>
      <c r="AQ544" s="120" t="n">
        <f aca="false">Q271/$W541</f>
        <v>0.7595</v>
      </c>
      <c r="AR544" s="120" t="n">
        <f aca="false">R271/$W541</f>
        <v>0.9065</v>
      </c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</row>
    <row r="551" customFormat="false" ht="11.25" hidden="false" customHeight="false" outlineLevel="0" collapsed="false">
      <c r="T551" s="13"/>
    </row>
    <row r="552" customFormat="false" ht="11.25" hidden="false" customHeight="false" outlineLevel="0" collapsed="false">
      <c r="T552" s="13"/>
    </row>
    <row r="553" customFormat="false" ht="11.25" hidden="false" customHeight="false" outlineLevel="0" collapsed="false">
      <c r="T553" s="13"/>
    </row>
    <row r="554" customFormat="false" ht="11.25" hidden="false" customHeight="false" outlineLevel="0" collapsed="false">
      <c r="T554" s="13"/>
    </row>
    <row r="555" customFormat="false" ht="11.25" hidden="false" customHeight="false" outlineLevel="0" collapsed="false">
      <c r="T555" s="13"/>
    </row>
    <row r="556" customFormat="false" ht="11.25" hidden="false" customHeight="false" outlineLevel="0" collapsed="false">
      <c r="T556" s="13"/>
    </row>
    <row r="557" customFormat="false" ht="11.25" hidden="false" customHeight="false" outlineLevel="0" collapsed="false">
      <c r="T557" s="13"/>
    </row>
    <row r="558" customFormat="false" ht="11.25" hidden="false" customHeight="false" outlineLevel="0" collapsed="false">
      <c r="T558" s="13"/>
      <c r="X558" s="15" t="s">
        <v>33</v>
      </c>
    </row>
    <row r="559" customFormat="false" ht="12.65" hidden="false" customHeight="false" outlineLevel="0" collapsed="false">
      <c r="A559" s="61" t="s">
        <v>157</v>
      </c>
      <c r="T559" s="13"/>
      <c r="V559" s="3" t="s">
        <v>35</v>
      </c>
    </row>
    <row r="560" customFormat="false" ht="28.3" hidden="false" customHeight="false" outlineLevel="0" collapsed="false">
      <c r="A560" s="23" t="str">
        <f aca="false">CONCATENATE(A559,". Standard of Living - ",A5," 1970 to 2050")</f>
        <v> Gráfico 15. Padrão de Vida - China, 1970 a 2050</v>
      </c>
      <c r="T560" s="13"/>
      <c r="U560" s="55" t="s">
        <v>37</v>
      </c>
      <c r="V560" s="54" t="s">
        <v>38</v>
      </c>
      <c r="W560" s="54" t="s">
        <v>39</v>
      </c>
      <c r="X560" s="55"/>
      <c r="Y560" s="55"/>
      <c r="AA560" s="52" t="s">
        <v>36</v>
      </c>
    </row>
    <row r="561" customFormat="false" ht="11.25" hidden="false" customHeight="false" outlineLevel="0" collapsed="false">
      <c r="S561" s="154"/>
      <c r="T561" s="13"/>
      <c r="U561" s="15" t="str">
        <f aca="false">AA562</f>
        <v>PIB per capita (0 - 35.000 dólares por pessoa-ano)</v>
      </c>
      <c r="V561" s="25" t="n">
        <v>50</v>
      </c>
      <c r="W561" s="56" t="n">
        <f aca="false">W566</f>
        <v>35</v>
      </c>
      <c r="AB561" s="24" t="n">
        <v>1970</v>
      </c>
      <c r="AC561" s="24" t="n">
        <v>1975</v>
      </c>
      <c r="AD561" s="24" t="n">
        <v>1980</v>
      </c>
      <c r="AE561" s="24" t="n">
        <v>1985</v>
      </c>
      <c r="AF561" s="24" t="n">
        <v>1990</v>
      </c>
      <c r="AG561" s="24" t="n">
        <v>1995</v>
      </c>
      <c r="AH561" s="24" t="n">
        <v>2000</v>
      </c>
      <c r="AI561" s="24" t="n">
        <v>2005</v>
      </c>
      <c r="AJ561" s="24" t="n">
        <v>2010</v>
      </c>
      <c r="AK561" s="24" t="n">
        <v>2015</v>
      </c>
      <c r="AL561" s="24" t="n">
        <v>2020</v>
      </c>
      <c r="AM561" s="24" t="n">
        <v>2025</v>
      </c>
      <c r="AN561" s="24" t="n">
        <v>2030</v>
      </c>
      <c r="AO561" s="24" t="n">
        <v>2035</v>
      </c>
      <c r="AP561" s="24" t="n">
        <v>2040</v>
      </c>
      <c r="AQ561" s="24" t="n">
        <v>2045</v>
      </c>
      <c r="AR561" s="24" t="n">
        <v>2050</v>
      </c>
    </row>
    <row r="562" customFormat="false" ht="11.25" hidden="false" customHeight="false" outlineLevel="0" collapsed="false">
      <c r="S562" s="154"/>
      <c r="T562" s="13"/>
      <c r="U562" s="15" t="str">
        <f aca="false">AA563</f>
        <v> Consumo por pessoa (0 - 35.000 dólares por pessoa-ano)</v>
      </c>
      <c r="V562" s="25" t="n">
        <f aca="false">V561</f>
        <v>50</v>
      </c>
      <c r="W562" s="56" t="n">
        <f aca="false">W567</f>
        <v>35</v>
      </c>
      <c r="AA562" s="29" t="str">
        <f aca="false">CONCATENATE("GDP per person (0 - ",W561," 000 $ per person-yr)")</f>
        <v> PIB per capita (0 - 35.000 dólares por pessoa-ano)</v>
      </c>
      <c r="AB562" s="120" t="n">
        <f aca="false">B96/B9*1000/$W$561</f>
        <v>0.0122173653602323</v>
      </c>
      <c r="AC562" s="120" t="n">
        <f aca="false">C96/C9*1000/$W$561</f>
        <v>0.0146850243854908</v>
      </c>
      <c r="AD562" s="120" t="n">
        <f aca="false">D96/D9*1000/$W$561</f>
        <v>0.0203536375478519</v>
      </c>
      <c r="AE562" s="120" t="n">
        <f aca="false">E96/E9*1000/$W$561</f>
        <v>0.0306227703811901</v>
      </c>
      <c r="AF562" s="120" t="n">
        <f aca="false">F96/F9*1000/$W$561</f>
        <v>0.0393645576132659</v>
      </c>
      <c r="AG562" s="120" t="n">
        <f aca="false">G96/G9*1000/$W$561</f>
        <v>0.0647324004626644</v>
      </c>
      <c r="AH562" s="120" t="n">
        <f aca="false">H96/H9*1000/$W$561</f>
        <v>0.0861679473598807</v>
      </c>
      <c r="AI562" s="120" t="n">
        <f aca="false">I96/I9*1000/$W$561</f>
        <v>0.138889879622882</v>
      </c>
      <c r="AJ562" s="120" t="n">
        <f aca="false">J96/J9*1000/$W$561</f>
        <v>0.202501686541659</v>
      </c>
      <c r="AK562" s="120" t="n">
        <f aca="false">K96/K9*1000/$W$561</f>
        <v>0.292465145768098</v>
      </c>
      <c r="AL562" s="120" t="n">
        <f aca="false">L96/L9*1000/$W$561</f>
        <v>0.398271831611837</v>
      </c>
      <c r="AM562" s="120" t="n">
        <f aca="false">M96/M9*1000/$W$561</f>
        <v>0.526693488380464</v>
      </c>
      <c r="AN562" s="120" t="n">
        <f aca="false">N96/N9*1000/$W$561</f>
        <v>0.657261717064473</v>
      </c>
      <c r="AO562" s="120" t="n">
        <f aca="false">O96/O9*1000/$W$561</f>
        <v>0.763253366530624</v>
      </c>
      <c r="AP562" s="120" t="n">
        <f aca="false">P96/P9*1000/$W$561</f>
        <v>0.84844612525486</v>
      </c>
      <c r="AQ562" s="120" t="n">
        <f aca="false">Q96/Q9*1000/$W$561</f>
        <v>0.932125568348011</v>
      </c>
      <c r="AR562" s="120" t="n">
        <f aca="false">R96/R9*1000/$W$561</f>
        <v>0.970067757780851</v>
      </c>
    </row>
    <row r="563" customFormat="false" ht="11.25" hidden="false" customHeight="false" outlineLevel="0" collapsed="false">
      <c r="S563" s="154"/>
      <c r="T563" s="13"/>
      <c r="U563" s="15" t="str">
        <f aca="false">AA564</f>
        <v> Alimentos por pessoa (0 - 2 t por pessoa-ano)</v>
      </c>
      <c r="V563" s="25" t="n">
        <v>4</v>
      </c>
      <c r="W563" s="56" t="n">
        <f aca="false">W568</f>
        <v>2</v>
      </c>
      <c r="AA563" s="29" t="str">
        <f aca="false">CONCATENATE("Consumption per person (0 - ",W562," 000 $ per person-yr)")</f>
        <v> Consumo por pessoa (0 - 35.000 dólares por pessoa-ano)</v>
      </c>
      <c r="AB563" s="120" t="n">
        <f aca="false">B136/B9*1000/$W$562</f>
        <v>0.00809430711711292</v>
      </c>
      <c r="AC563" s="120" t="n">
        <f aca="false">C136/C9*1000/$W$562</f>
        <v>0.00957326029570285</v>
      </c>
      <c r="AD563" s="120" t="n">
        <f aca="false">D136/D9*1000/$W$562</f>
        <v>0.0133828008096513</v>
      </c>
      <c r="AE563" s="120" t="n">
        <f aca="false">E136/E9*1000/$W$562</f>
        <v>0.0195185884130791</v>
      </c>
      <c r="AF563" s="120" t="n">
        <f aca="false">F136/F9*1000/$W$562</f>
        <v>0.0258068996431389</v>
      </c>
      <c r="AG563" s="120" t="n">
        <f aca="false">G136/G9*1000/$W$562</f>
        <v>0.0371753343561266</v>
      </c>
      <c r="AH563" s="120" t="n">
        <f aca="false">H136/H9*1000/$W$562</f>
        <v>0.0530548406323609</v>
      </c>
      <c r="AI563" s="120" t="n">
        <f aca="false">I136/I9*1000/$W$562</f>
        <v>0.0807325165005102</v>
      </c>
      <c r="AJ563" s="120" t="n">
        <f aca="false">J136/J9*1000/$W$562</f>
        <v>0.10905815739633</v>
      </c>
      <c r="AK563" s="120" t="n">
        <f aca="false">K136/K9*1000/$W$562</f>
        <v>0.172968489852614</v>
      </c>
      <c r="AL563" s="120" t="n">
        <f aca="false">L136/L9*1000/$W$562</f>
        <v>0.244712870964914</v>
      </c>
      <c r="AM563" s="120" t="n">
        <f aca="false">M136/M9*1000/$W$562</f>
        <v>0.332647810536205</v>
      </c>
      <c r="AN563" s="120" t="n">
        <f aca="false">N136/N9*1000/$W$562</f>
        <v>0.42126085668739</v>
      </c>
      <c r="AO563" s="120" t="n">
        <f aca="false">O136/O9*1000/$W$562</f>
        <v>0.491878556721029</v>
      </c>
      <c r="AP563" s="120" t="n">
        <f aca="false">P136/P9*1000/$W$562</f>
        <v>0.546049257825799</v>
      </c>
      <c r="AQ563" s="120" t="n">
        <f aca="false">Q136/Q9*1000/$W$562</f>
        <v>0.590446150837917</v>
      </c>
      <c r="AR563" s="120" t="n">
        <f aca="false">R136/R9*1000/$W$562</f>
        <v>0.599337377112794</v>
      </c>
    </row>
    <row r="564" customFormat="false" ht="11.25" hidden="false" customHeight="false" outlineLevel="0" collapsed="false">
      <c r="S564" s="154"/>
      <c r="T564" s="13"/>
      <c r="U564" s="15" t="str">
        <f aca="false">AA565</f>
        <v> Consumo de energia por pessoa (0 - 5 toe por pessoa-ano)</v>
      </c>
      <c r="V564" s="25" t="n">
        <v>9</v>
      </c>
      <c r="W564" s="56" t="n">
        <f aca="false">W569</f>
        <v>5</v>
      </c>
      <c r="AA564" s="29" t="str">
        <f aca="false">CONCATENATE("Food per person (0 - ",W563," t per person-yr)")</f>
        <v> Alimentos por pessoa (0 - 2 t por pessoa-ano)</v>
      </c>
      <c r="AB564" s="120" t="n">
        <f aca="false">B412/B9/$W$563</f>
        <v>0.288065221242814</v>
      </c>
      <c r="AC564" s="120" t="n">
        <f aca="false">C412/C9/$W$563</f>
        <v>0.296411181868885</v>
      </c>
      <c r="AD564" s="120" t="n">
        <f aca="false">D412/D9/$W$563</f>
        <v>0.307309456852923</v>
      </c>
      <c r="AE564" s="120" t="n">
        <f aca="false">E412/E9/$W$563</f>
        <v>0.336017317940467</v>
      </c>
      <c r="AF564" s="120" t="n">
        <f aca="false">F412/F9/$W$563</f>
        <v>0.374879176818003</v>
      </c>
      <c r="AG564" s="120" t="n">
        <f aca="false">G412/G9/$W$563</f>
        <v>0.421715984672198</v>
      </c>
      <c r="AH564" s="120" t="n">
        <f aca="false">H412/H9/$W$563</f>
        <v>0.47090544913199</v>
      </c>
      <c r="AI564" s="120" t="n">
        <f aca="false">I412/I9/$W$563</f>
        <v>0.521881048329576</v>
      </c>
      <c r="AJ564" s="120" t="n">
        <f aca="false">J412/J9/$W$563</f>
        <v>0.569859613538399</v>
      </c>
      <c r="AK564" s="120" t="n">
        <f aca="false">K412/K9/$W$563</f>
        <v>0.62238506660149</v>
      </c>
      <c r="AL564" s="120" t="n">
        <f aca="false">L412/L9/$W$563</f>
        <v>0.657196693612018</v>
      </c>
      <c r="AM564" s="120" t="n">
        <f aca="false">M412/M9/$W$563</f>
        <v>0.697860166344106</v>
      </c>
      <c r="AN564" s="120" t="n">
        <f aca="false">N412/N9/$W$563</f>
        <v>0.729724152752229</v>
      </c>
      <c r="AO564" s="120" t="n">
        <f aca="false">O412/O9/$W$563</f>
        <v>0.761441061055793</v>
      </c>
      <c r="AP564" s="120" t="n">
        <f aca="false">P412/P9/$W$563</f>
        <v>0.785488735297251</v>
      </c>
      <c r="AQ564" s="120" t="n">
        <f aca="false">Q412/Q9/$W$563</f>
        <v>0.80098442363591</v>
      </c>
      <c r="AR564" s="120" t="n">
        <f aca="false">R412/R9/$W$563</f>
        <v>0.815034142765449</v>
      </c>
    </row>
    <row r="565" customFormat="false" ht="11.25" hidden="false" customHeight="false" outlineLevel="0" collapsed="false">
      <c r="T565" s="13"/>
      <c r="U565" s="15" t="str">
        <f aca="false">AA538</f>
        <v> Aumento do nível do mar (0 - 0,8 m)</v>
      </c>
      <c r="V565" s="25" t="n">
        <v>800</v>
      </c>
      <c r="W565" s="70" t="n">
        <v>800</v>
      </c>
      <c r="AA565" s="29" t="str">
        <f aca="false">CONCATENATE("Energy use per person (0 - ",W564," toe per person-yr)")</f>
        <v> Consumo de energia por pessoa (0 - 5 toe por pessoa-ano)</v>
      </c>
      <c r="AB565" s="120" t="n">
        <f aca="false">B250/B9/$W564</f>
        <v>0.0495845970481014</v>
      </c>
      <c r="AC565" s="120" t="n">
        <f aca="false">C250/C9/$W564</f>
        <v>0.0687215536412574</v>
      </c>
      <c r="AD565" s="120" t="n">
        <f aca="false">D250/D9/$W564</f>
        <v>0.0855366561489282</v>
      </c>
      <c r="AE565" s="120" t="n">
        <f aca="false">E250/E9/$W564</f>
        <v>0.0999192997117184</v>
      </c>
      <c r="AF565" s="120" t="n">
        <f aca="false">F250/F9/$W564</f>
        <v>0.120267910311691</v>
      </c>
      <c r="AG565" s="120" t="n">
        <f aca="false">G250/G9/$W564</f>
        <v>0.152118502054353</v>
      </c>
      <c r="AH565" s="120" t="n">
        <f aca="false">H250/H9/$W564</f>
        <v>0.165219762359538</v>
      </c>
      <c r="AI565" s="120" t="n">
        <f aca="false">I250/I9/$W564</f>
        <v>0.260862331654715</v>
      </c>
      <c r="AJ565" s="120" t="n">
        <f aca="false">J250/J9/$W564</f>
        <v>0.36465683256817</v>
      </c>
      <c r="AK565" s="120" t="n">
        <f aca="false">K250/K9/$W564</f>
        <v>0.500326415735408</v>
      </c>
      <c r="AL565" s="120" t="n">
        <f aca="false">L250/L9/$W564</f>
        <v>0.647265579635572</v>
      </c>
      <c r="AM565" s="120" t="n">
        <f aca="false">M250/M9/$W564</f>
        <v>0.770377127100488</v>
      </c>
      <c r="AN565" s="120" t="n">
        <f aca="false">N250/N9/$W564</f>
        <v>0.86521945697865</v>
      </c>
      <c r="AO565" s="120" t="n">
        <f aca="false">O250/O9/$W564</f>
        <v>0.929390869295565</v>
      </c>
      <c r="AP565" s="120" t="n">
        <f aca="false">P250/P9/$W564</f>
        <v>0.955642985335228</v>
      </c>
      <c r="AQ565" s="120" t="n">
        <f aca="false">Q250/Q9/$W564</f>
        <v>0.971152783605002</v>
      </c>
      <c r="AR565" s="120" t="n">
        <f aca="false">R250/R9/$W564</f>
        <v>0.947515853058538</v>
      </c>
    </row>
    <row r="566" customFormat="false" ht="11.25" hidden="false" customHeight="false" outlineLevel="0" collapsed="false">
      <c r="T566" s="13"/>
      <c r="U566" s="37" t="str">
        <f aca="false">AA567</f>
        <v> PIB per capita (0 - 35.000 dólares por pessoa por ano), sua previsão</v>
      </c>
      <c r="W566" s="4" t="n">
        <v>35</v>
      </c>
      <c r="AA566" s="29"/>
      <c r="AB566" s="24" t="n">
        <v>1970</v>
      </c>
      <c r="AC566" s="24" t="n">
        <v>1975</v>
      </c>
      <c r="AD566" s="24" t="n">
        <v>1980</v>
      </c>
      <c r="AE566" s="24" t="n">
        <v>1985</v>
      </c>
      <c r="AF566" s="24" t="n">
        <v>1990</v>
      </c>
      <c r="AG566" s="24" t="n">
        <v>1995</v>
      </c>
      <c r="AH566" s="24" t="n">
        <v>2000</v>
      </c>
      <c r="AI566" s="24" t="n">
        <v>2005</v>
      </c>
      <c r="AJ566" s="24" t="n">
        <v>2010</v>
      </c>
      <c r="AK566" s="24" t="n">
        <v>2015</v>
      </c>
      <c r="AL566" s="24" t="n">
        <v>2020</v>
      </c>
      <c r="AM566" s="24" t="n">
        <v>2025</v>
      </c>
      <c r="AN566" s="24" t="n">
        <v>2030</v>
      </c>
      <c r="AO566" s="24" t="n">
        <v>2035</v>
      </c>
      <c r="AP566" s="24" t="n">
        <v>2040</v>
      </c>
      <c r="AQ566" s="24" t="n">
        <v>2045</v>
      </c>
      <c r="AR566" s="24" t="n">
        <v>2050</v>
      </c>
    </row>
    <row r="567" customFormat="false" ht="11.25" hidden="false" customHeight="false" outlineLevel="0" collapsed="false">
      <c r="T567" s="13"/>
      <c r="U567" s="37" t="str">
        <f aca="false">AA568</f>
        <v> Consumo por pessoa (0 - 35.000 dólares por pessoa-ano), Sua previsão</v>
      </c>
      <c r="W567" s="155" t="n">
        <f aca="false">W566</f>
        <v>35</v>
      </c>
      <c r="AA567" s="29" t="str">
        <f aca="false">CONCATENATE("GDP per person (0 - ",W566," 000$ per person-yr), Your forecast")</f>
        <v> PIB per capita (0 - 35.000 dólares por pessoa por ano), sua previsão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120" t="n">
        <f aca="false">K104/K17*1000/$W566</f>
        <v>0.292465145768098</v>
      </c>
      <c r="AL567" s="120" t="n">
        <f aca="false">L104/L17*1000/$W566</f>
        <v>0.385005058664791</v>
      </c>
      <c r="AM567" s="120" t="n">
        <f aca="false">M104/M17*1000/$W566</f>
        <v>0.502844401555807</v>
      </c>
      <c r="AN567" s="120" t="n">
        <f aca="false">N104/N17*1000/$W566</f>
        <v>0.620563830496904</v>
      </c>
      <c r="AO567" s="120" t="n">
        <f aca="false">O104/O17*1000/$W566</f>
        <v>0.713696869639968</v>
      </c>
      <c r="AP567" s="120" t="n">
        <f aca="false">P104/P17*1000/$W566</f>
        <v>0.786953180190477</v>
      </c>
      <c r="AQ567" s="120" t="n">
        <f aca="false">Q104/Q17*1000/$W566</f>
        <v>0.859068120884296</v>
      </c>
      <c r="AR567" s="120" t="n">
        <f aca="false">R104/R17*1000/$W566</f>
        <v>0.890033553204714</v>
      </c>
    </row>
    <row r="568" customFormat="false" ht="11.25" hidden="false" customHeight="false" outlineLevel="0" collapsed="false">
      <c r="T568" s="13"/>
      <c r="U568" s="37" t="str">
        <f aca="false">AA569</f>
        <v> Alimentos por pessoa (0 a 2 toneladas por pessoa-ano), Sua previsão</v>
      </c>
      <c r="W568" s="4" t="n">
        <v>2</v>
      </c>
      <c r="AA568" s="29" t="str">
        <f aca="false">CONCATENATE("Consumption per person (0 - ",W567," 000$ per person-yr), Your forecast")</f>
        <v> Consumo por pessoa (0 - 35.000 dólares por pessoa-ano), Sua previsão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120" t="n">
        <f aca="false">K147/K17*1000/$W567</f>
        <v>0.172968489852614</v>
      </c>
      <c r="AL568" s="120" t="n">
        <f aca="false">L147/L17*1000/$W567</f>
        <v>0.236722979533031</v>
      </c>
      <c r="AM568" s="120" t="n">
        <f aca="false">M147/M17*1000/$W567</f>
        <v>0.31793725254363</v>
      </c>
      <c r="AN568" s="120" t="n">
        <f aca="false">N147/N17*1000/$W567</f>
        <v>0.398348115307097</v>
      </c>
      <c r="AO568" s="120" t="n">
        <f aca="false">O147/O17*1000/$W567</f>
        <v>0.460841135247242</v>
      </c>
      <c r="AP568" s="120" t="n">
        <f aca="false">P147/P17*1000/$W567</f>
        <v>0.507685079494078</v>
      </c>
      <c r="AQ568" s="120" t="n">
        <f aca="false">Q147/Q17*1000/$W567</f>
        <v>0.545835191866521</v>
      </c>
      <c r="AR568" s="120" t="n">
        <f aca="false">R147/R17*1000/$W567</f>
        <v>0.552025890844015</v>
      </c>
    </row>
    <row r="569" customFormat="false" ht="11.25" hidden="false" customHeight="false" outlineLevel="0" collapsed="false">
      <c r="T569" s="13"/>
      <c r="U569" s="37" t="str">
        <f aca="false">AA570</f>
        <v> Consumo de energia por pessoa (0 a 5 toneladas equivalentes de petróleo por pessoa-ano), sua previsão</v>
      </c>
      <c r="W569" s="4" t="n">
        <v>5</v>
      </c>
      <c r="AA569" s="29" t="str">
        <f aca="false">CONCATENATE("Food per person (0 - ",W568," t per person-yr), Your forecast")</f>
        <v> Alimentos por pessoa (0 a 2 toneladas por pessoa-ano), Sua previsão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120" t="n">
        <f aca="false">K420/K17/$W568</f>
        <v>0.62238506660149</v>
      </c>
      <c r="AL569" s="120" t="n">
        <f aca="false">L420/L17/$W568</f>
        <v>0.631206172239222</v>
      </c>
      <c r="AM569" s="120" t="n">
        <f aca="false">M420/M17/$W568</f>
        <v>0.670181269786046</v>
      </c>
      <c r="AN569" s="120" t="n">
        <f aca="false">N420/N17/$W568</f>
        <v>0.700590194911505</v>
      </c>
      <c r="AO569" s="120" t="n">
        <f aca="false">O420/O17/$W568</f>
        <v>0.730710610254765</v>
      </c>
      <c r="AP569" s="120" t="n">
        <f aca="false">P420/P17/$W568</f>
        <v>0.753311942907113</v>
      </c>
      <c r="AQ569" s="120" t="n">
        <f aca="false">Q420/Q17/$W568</f>
        <v>0.767550562685059</v>
      </c>
      <c r="AR569" s="120" t="n">
        <f aca="false">R420/R17/$W568</f>
        <v>0.780238690456193</v>
      </c>
    </row>
    <row r="570" s="3" customFormat="true" ht="11.25" hidden="false" customHeight="false" outlineLevel="0" collapsed="false">
      <c r="T570" s="13"/>
      <c r="AA570" s="29" t="str">
        <f aca="false">CONCATENATE("Energy use per person (0 - ",W569," toe per person-yr), Your forecast")</f>
        <v> Consumo de energia por pessoa (0 a 5 toneladas equivalentes de petróleo por pessoa-ano), sua previsão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120" t="n">
        <f aca="false">K266/K17/$W569</f>
        <v>0.500326415735408</v>
      </c>
      <c r="AL570" s="120" t="n">
        <f aca="false">L266/L17/$W569</f>
        <v>0.626363249916843</v>
      </c>
      <c r="AM570" s="120" t="n">
        <f aca="false">M266/M17/$W569</f>
        <v>0.737904212732334</v>
      </c>
      <c r="AN570" s="120" t="n">
        <f aca="false">N266/N17/$W569</f>
        <v>0.821408830177515</v>
      </c>
      <c r="AO570" s="120" t="n">
        <f aca="false">O266/O17/$W569</f>
        <v>0.875250008390224</v>
      </c>
      <c r="AP570" s="120" t="n">
        <f aca="false">P266/P17/$W569</f>
        <v>0.894154672046366</v>
      </c>
      <c r="AQ570" s="120" t="n">
        <f aca="false">Q266/Q17/$W569</f>
        <v>0.904350498134159</v>
      </c>
      <c r="AR570" s="120" t="n">
        <f aca="false">R266/R17/$W569</f>
        <v>0.879560076479387</v>
      </c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1.25" hidden="false" customHeight="false" outlineLevel="0" collapsed="false">
      <c r="T580" s="13"/>
    </row>
    <row r="581" customFormat="false" ht="11.25" hidden="false" customHeight="false" outlineLevel="0" collapsed="false">
      <c r="T581" s="13"/>
    </row>
    <row r="582" customFormat="false" ht="11.25" hidden="false" customHeight="false" outlineLevel="0" collapsed="false">
      <c r="T582" s="13"/>
    </row>
    <row r="583" customFormat="false" ht="11.25" hidden="false" customHeight="false" outlineLevel="0" collapsed="false">
      <c r="T583" s="13"/>
    </row>
    <row r="584" customFormat="false" ht="11.25" hidden="false" customHeight="false" outlineLevel="0" collapsed="false">
      <c r="T584" s="13"/>
    </row>
    <row r="585" customFormat="false" ht="11.25" hidden="false" customHeight="false" outlineLevel="0" collapsed="false">
      <c r="T585" s="13"/>
    </row>
    <row r="586" customFormat="false" ht="11.25" hidden="false" customHeight="false" outlineLevel="0" collapsed="false">
      <c r="T586" s="13"/>
    </row>
    <row r="587" customFormat="false" ht="11.25" hidden="false" customHeight="false" outlineLevel="0" collapsed="false">
      <c r="T587" s="13"/>
    </row>
    <row r="588" customFormat="false" ht="11.25" hidden="false" customHeight="false" outlineLevel="0" collapsed="false">
      <c r="T588" s="13"/>
    </row>
    <row r="589" customFormat="false" ht="11.25" hidden="false" customHeight="false" outlineLevel="0" collapsed="false">
      <c r="T589" s="13"/>
    </row>
  </sheetData>
  <sheetProtection sheet="true" password="dbc0" objects="true" scenarios="true"/>
  <mergeCells count="1">
    <mergeCell ref="D6:E6"/>
  </mergeCells>
  <conditionalFormatting sqref="K273:R273">
    <cfRule type="cellIs" priority="2" operator="lessThan" aboveAverage="0" equalAverage="0" bottom="0" percent="0" rank="0" text="" dxfId="2">
      <formula>0</formula>
    </cfRule>
  </conditionalFormatting>
  <conditionalFormatting sqref="K257:R257">
    <cfRule type="cellIs" priority="3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1.15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tr">
        <f aca="false"> SumWorld!A1</f>
        <v> Prezado(a) usuário(a): Esta é a versão de 7 de novembro de 2014, às 11h, da planilha de 2052 de Ulrich Goluke (2052@blue-way.net)</v>
      </c>
      <c r="T1" s="13"/>
    </row>
    <row r="2" customFormat="false" ht="15" hidden="false" customHeight="false" outlineLevel="0" collapsed="false">
      <c r="A2" s="1" t="str">
        <f aca="false"> SumWorld!A2</f>
        <v>Prezado(a) usuário(a): O lado esquerdo desta planilha contém os dados numéricos e os gráficos que você também encontra no livro de 2052.</v>
      </c>
      <c r="T2" s="13"/>
      <c r="U2" s="1" t="str">
        <f aca="false"> SumWorld!U2</f>
        <v> Prezado(a) usuário(a): Os cálculos nesta parte à direita da planilha garantem o dimensionamento correto dos gráficos.</v>
      </c>
    </row>
    <row r="3" customFormat="false" ht="15" hidden="false" customHeight="false" outlineLevel="0" collapsed="false">
      <c r="A3" s="14"/>
      <c r="T3" s="13"/>
      <c r="U3" s="1" t="str">
        <f aca="false"> SumWorld!U3</f>
        <v> Contém também a fonte dos dados históricos.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U4" s="16"/>
    </row>
    <row r="5" customFormat="false" ht="17.35" hidden="false" customHeight="false" outlineLevel="0" collapsed="false">
      <c r="A5" s="17" t="s">
        <v>169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U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M6" s="10" t="s">
        <v>11</v>
      </c>
      <c r="N6" s="10"/>
      <c r="O6" s="10"/>
      <c r="P6" s="10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 Gráfico 1. População - EUA (excluindo os países da OCDE) de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170</v>
      </c>
      <c r="B9" s="62" t="n">
        <v>595.374227</v>
      </c>
      <c r="C9" s="62" t="n">
        <v>621.516447</v>
      </c>
      <c r="D9" s="62" t="n">
        <v>641.189034</v>
      </c>
      <c r="E9" s="62" t="n">
        <v>657.807805</v>
      </c>
      <c r="F9" s="62" t="n">
        <v>673.722234</v>
      </c>
      <c r="G9" s="62" t="n">
        <v>691.036587</v>
      </c>
      <c r="H9" s="62" t="n">
        <v>702.813644</v>
      </c>
      <c r="I9" s="62" t="n">
        <v>719.529145</v>
      </c>
      <c r="J9" s="62" t="n">
        <v>737.137112</v>
      </c>
      <c r="K9" s="27" t="n">
        <f aca="false">J9+(J10-J11)*5</f>
        <v>741.75301738</v>
      </c>
      <c r="L9" s="27" t="n">
        <f aca="false">K9+(K10-K11)*5</f>
        <v>740.764981395305</v>
      </c>
      <c r="M9" s="27" t="n">
        <f aca="false">L9+(L10-L11)*5</f>
        <v>734.748102419289</v>
      </c>
      <c r="N9" s="27" t="n">
        <f aca="false">M9+(M10-M11)*5</f>
        <v>725.449473689415</v>
      </c>
      <c r="O9" s="27" t="n">
        <f aca="false">N9+(N10-N11)*5</f>
        <v>714.165765072909</v>
      </c>
      <c r="P9" s="27" t="n">
        <f aca="false">O9+(O10-O11)*5</f>
        <v>700.456452338414</v>
      </c>
      <c r="Q9" s="27" t="n">
        <f aca="false">P9+(P10-P11)*5</f>
        <v>683.793496927245</v>
      </c>
      <c r="R9" s="27" t="n">
        <f aca="false">Q9+(Q10-Q11)*5</f>
        <v>663.892291604916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171</v>
      </c>
      <c r="B10" s="30" t="n">
        <v>10.403606</v>
      </c>
      <c r="C10" s="30" t="n">
        <v>9.4395844</v>
      </c>
      <c r="D10" s="30" t="n">
        <v>8.9810776</v>
      </c>
      <c r="E10" s="30" t="n">
        <v>8.5176402</v>
      </c>
      <c r="F10" s="30" t="n">
        <v>8.1983918</v>
      </c>
      <c r="G10" s="30" t="n">
        <v>7.7033278</v>
      </c>
      <c r="H10" s="30" t="n">
        <v>7.4231628</v>
      </c>
      <c r="I10" s="30" t="n">
        <v>7.6935372</v>
      </c>
      <c r="J10" s="31" t="n">
        <f aca="false">J9*J12/100</f>
        <v>7.739939676</v>
      </c>
      <c r="K10" s="31" t="n">
        <f aca="false">K9*K12/100</f>
        <v>7.04665366511</v>
      </c>
      <c r="L10" s="31" t="n">
        <f aca="false">L9*L12/100</f>
        <v>6.44465533813915</v>
      </c>
      <c r="M10" s="31" t="n">
        <f aca="false">M9*M12/100</f>
        <v>6.17188406032203</v>
      </c>
      <c r="N10" s="31" t="n">
        <f aca="false">N9*N12/100</f>
        <v>6.16632052636002</v>
      </c>
      <c r="O10" s="31" t="n">
        <f aca="false">O9*O12/100</f>
        <v>6.07040900311973</v>
      </c>
      <c r="P10" s="31" t="n">
        <f aca="false">P9*P12/100</f>
        <v>5.81378855440884</v>
      </c>
      <c r="Q10" s="31" t="n">
        <f aca="false">Q9*Q12/100</f>
        <v>5.40196862572524</v>
      </c>
      <c r="R10" s="31" t="n">
        <f aca="false">R9*R12/100</f>
        <v>5.11197064535785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172</v>
      </c>
      <c r="B11" s="30" t="n">
        <v>5.810134</v>
      </c>
      <c r="C11" s="30" t="n">
        <v>5.8885266</v>
      </c>
      <c r="D11" s="30" t="n">
        <v>5.9735352</v>
      </c>
      <c r="E11" s="30" t="n">
        <v>6.0339716</v>
      </c>
      <c r="F11" s="30" t="n">
        <v>6.1572358</v>
      </c>
      <c r="G11" s="30" t="n">
        <v>6.2603932</v>
      </c>
      <c r="H11" s="30" t="n">
        <v>6.2499424</v>
      </c>
      <c r="I11" s="30" t="n">
        <v>6.4179822</v>
      </c>
      <c r="J11" s="31" t="n">
        <f aca="false">J9*J13/100</f>
        <v>6.8167586</v>
      </c>
      <c r="K11" s="31" t="n">
        <f aca="false">K9*K13/100</f>
        <v>7.24426086204903</v>
      </c>
      <c r="L11" s="31" t="n">
        <f aca="false">L9*L13/100</f>
        <v>7.64803113334237</v>
      </c>
      <c r="M11" s="31" t="n">
        <f aca="false">M9*M13/100</f>
        <v>8.03160980629686</v>
      </c>
      <c r="N11" s="31" t="n">
        <f aca="false">N9*N13/100</f>
        <v>8.42306224966116</v>
      </c>
      <c r="O11" s="31" t="n">
        <f aca="false">O9*O13/100</f>
        <v>8.81227155001873</v>
      </c>
      <c r="P11" s="31" t="n">
        <f aca="false">P9*P13/100</f>
        <v>9.14637963664259</v>
      </c>
      <c r="Q11" s="31" t="n">
        <f aca="false">Q9*Q13/100</f>
        <v>9.38220969019111</v>
      </c>
      <c r="R11" s="31" t="n">
        <f aca="false">R9*R13/100</f>
        <v>9.48337847229689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1.74740617383157</v>
      </c>
      <c r="C12" s="32" t="n">
        <f aca="false">C10/C9*100</f>
        <v>1.51879880984067</v>
      </c>
      <c r="D12" s="32" t="n">
        <f aca="false">D10/D9*100</f>
        <v>1.40069107919272</v>
      </c>
      <c r="E12" s="32" t="n">
        <f aca="false">E10/E9*100</f>
        <v>1.29485240753566</v>
      </c>
      <c r="F12" s="32" t="n">
        <f aca="false">F10/F9*100</f>
        <v>1.21688010076865</v>
      </c>
      <c r="G12" s="32" t="n">
        <f aca="false">G10/G9*100</f>
        <v>1.11474963047072</v>
      </c>
      <c r="H12" s="32" t="n">
        <f aca="false">H10/H9*100</f>
        <v>1.05620641593577</v>
      </c>
      <c r="I12" s="32" t="n">
        <f aca="false">I10/I9*100</f>
        <v>1.06924608314511</v>
      </c>
      <c r="J12" s="33" t="n">
        <v>1.05</v>
      </c>
      <c r="K12" s="33" t="n">
        <v>0.95</v>
      </c>
      <c r="L12" s="33" t="n">
        <v>0.87</v>
      </c>
      <c r="M12" s="33" t="n">
        <v>0.84</v>
      </c>
      <c r="N12" s="33" t="n">
        <v>0.85</v>
      </c>
      <c r="O12" s="33" t="n">
        <v>0.85</v>
      </c>
      <c r="P12" s="33" t="n">
        <v>0.83</v>
      </c>
      <c r="Q12" s="33" t="n">
        <v>0.79</v>
      </c>
      <c r="R12" s="33" t="n">
        <v>0.77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0.975879327070703</v>
      </c>
      <c r="C13" s="32" t="n">
        <f aca="false">C11/C9*100</f>
        <v>0.947445015883868</v>
      </c>
      <c r="D13" s="32" t="n">
        <f aca="false">D11/D9*100</f>
        <v>0.931634024171412</v>
      </c>
      <c r="E13" s="32" t="n">
        <f aca="false">E11/E9*100</f>
        <v>0.917284889923129</v>
      </c>
      <c r="F13" s="32" t="n">
        <f aca="false">F11/F9*100</f>
        <v>0.91391310680716</v>
      </c>
      <c r="G13" s="32" t="n">
        <f aca="false">G11/G9*100</f>
        <v>0.905942365103745</v>
      </c>
      <c r="H13" s="32" t="n">
        <f aca="false">H11/H9*100</f>
        <v>0.889274483123154</v>
      </c>
      <c r="I13" s="32" t="n">
        <f aca="false">I11/I9*100</f>
        <v>0.891969733901467</v>
      </c>
      <c r="J13" s="33" t="n">
        <v>0.924761281046449</v>
      </c>
      <c r="K13" s="33" t="n">
        <v>0.976640565297195</v>
      </c>
      <c r="L13" s="33" t="n">
        <v>1.03245041618146</v>
      </c>
      <c r="M13" s="33" t="n">
        <v>1.09311065654356</v>
      </c>
      <c r="N13" s="33" t="n">
        <v>1.16108186099082</v>
      </c>
      <c r="O13" s="33" t="n">
        <v>1.2339252287064</v>
      </c>
      <c r="P13" s="33" t="n">
        <v>1.30577419996749</v>
      </c>
      <c r="Q13" s="33" t="n">
        <v>1.37208232198052</v>
      </c>
      <c r="R13" s="33" t="n">
        <v>1.42845136059216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5"/>
      <c r="I15" s="38" t="s">
        <v>7</v>
      </c>
      <c r="J15" s="39" t="n">
        <f aca="false">J12</f>
        <v>1.05</v>
      </c>
      <c r="K15" s="39" t="n">
        <f aca="false">K12*0.98</f>
        <v>0.931</v>
      </c>
      <c r="L15" s="39" t="n">
        <f aca="false">L12*0.98</f>
        <v>0.8526</v>
      </c>
      <c r="M15" s="39" t="n">
        <f aca="false">M12*0.98</f>
        <v>0.8232</v>
      </c>
      <c r="N15" s="39" t="n">
        <f aca="false">N12*0.98</f>
        <v>0.833</v>
      </c>
      <c r="O15" s="39" t="n">
        <f aca="false">O12*0.98</f>
        <v>0.833</v>
      </c>
      <c r="P15" s="39" t="n">
        <f aca="false">P12*0.98</f>
        <v>0.8134</v>
      </c>
      <c r="Q15" s="39" t="n">
        <f aca="false">Q12*0.98</f>
        <v>0.7742</v>
      </c>
      <c r="R15" s="39" t="n">
        <f aca="false">R12*0.98</f>
        <v>0.7546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5"/>
      <c r="I16" s="38" t="s">
        <v>7</v>
      </c>
      <c r="J16" s="39" t="n">
        <f aca="false">J13</f>
        <v>0.924761281046449</v>
      </c>
      <c r="K16" s="39" t="n">
        <f aca="false">K13*0.98</f>
        <v>0.957107753991251</v>
      </c>
      <c r="L16" s="39" t="n">
        <f aca="false">L13*0.98</f>
        <v>1.01180140785784</v>
      </c>
      <c r="M16" s="39" t="n">
        <f aca="false">M13*0.98</f>
        <v>1.07124844341269</v>
      </c>
      <c r="N16" s="39" t="n">
        <f aca="false">N13*0.98</f>
        <v>1.137860223771</v>
      </c>
      <c r="O16" s="39" t="n">
        <f aca="false">O13*0.98</f>
        <v>1.20924672413228</v>
      </c>
      <c r="P16" s="39" t="n">
        <f aca="false">P13*0.98</f>
        <v>1.27965871596814</v>
      </c>
      <c r="Q16" s="39" t="n">
        <f aca="false">Q13*0.98</f>
        <v>1.34464067554091</v>
      </c>
      <c r="R16" s="39" t="n">
        <f aca="false">R13*0.98</f>
        <v>1.39988233338032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170</v>
      </c>
      <c r="J17" s="43"/>
      <c r="K17" s="44" t="n">
        <f aca="false">J9+(J18-J19)*5</f>
        <v>741.75301738</v>
      </c>
      <c r="L17" s="44" t="n">
        <f aca="false">K17+(K18-K19)*5</f>
        <v>740.784742114999</v>
      </c>
      <c r="M17" s="44" t="n">
        <f aca="false">L17+(L18-L19)*5</f>
        <v>734.888043421783</v>
      </c>
      <c r="N17" s="44" t="n">
        <f aca="false">M17+(M18-M19)*5</f>
        <v>725.773651659115</v>
      </c>
      <c r="O17" s="44" t="n">
        <f aca="false">N17+(N18-N19)*5</f>
        <v>714.71067576652</v>
      </c>
      <c r="P17" s="44" t="n">
        <f aca="false">O17+(O18-O19)*5</f>
        <v>701.265298243544</v>
      </c>
      <c r="Q17" s="44" t="n">
        <f aca="false">P17+(P18-P19)*5</f>
        <v>684.916745367941</v>
      </c>
      <c r="R17" s="44" t="n">
        <f aca="false">Q17+(Q18-Q19)*5</f>
        <v>665.381526822093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171</v>
      </c>
      <c r="J18" s="45" t="n">
        <f aca="false">J9*J15/100</f>
        <v>7.739939676</v>
      </c>
      <c r="K18" s="45" t="n">
        <f aca="false">K17*K15/100</f>
        <v>6.9057205918078</v>
      </c>
      <c r="L18" s="45" t="n">
        <f aca="false">L17*L15/100</f>
        <v>6.31593071127248</v>
      </c>
      <c r="M18" s="45" t="n">
        <f aca="false">M17*M15/100</f>
        <v>6.04959837344812</v>
      </c>
      <c r="N18" s="45" t="n">
        <f aca="false">N17*N15/100</f>
        <v>6.04569451832042</v>
      </c>
      <c r="O18" s="45" t="n">
        <f aca="false">O17*O15/100</f>
        <v>5.95353992913511</v>
      </c>
      <c r="P18" s="45" t="n">
        <f aca="false">P17*P15/100</f>
        <v>5.70409193591299</v>
      </c>
      <c r="Q18" s="45" t="n">
        <f aca="false">Q17*Q15/100</f>
        <v>5.3026254426386</v>
      </c>
      <c r="R18" s="45" t="n">
        <f aca="false">R17*R15/100</f>
        <v>5.02096900139951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172</v>
      </c>
      <c r="J19" s="45" t="n">
        <f aca="false">J9*J16/100</f>
        <v>6.8167586</v>
      </c>
      <c r="K19" s="45" t="n">
        <f aca="false">K17*K16/100</f>
        <v>7.09937564480805</v>
      </c>
      <c r="L19" s="45" t="n">
        <f aca="false">L17*L16/100</f>
        <v>7.49527044991559</v>
      </c>
      <c r="M19" s="45" t="n">
        <f aca="false">M17*M16/100</f>
        <v>7.87247672598185</v>
      </c>
      <c r="N19" s="45" t="n">
        <f aca="false">N17*N16/100</f>
        <v>8.25828969683938</v>
      </c>
      <c r="O19" s="45" t="n">
        <f aca="false">O17*O16/100</f>
        <v>8.64261543373029</v>
      </c>
      <c r="P19" s="45" t="n">
        <f aca="false">P17*P16/100</f>
        <v>8.97380251103349</v>
      </c>
      <c r="Q19" s="45" t="n">
        <f aca="false">Q17*Q16/100</f>
        <v>9.20966915180827</v>
      </c>
      <c r="R19" s="45" t="n">
        <f aca="false">R17*R16/100</f>
        <v>9.31455844355869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28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47" t="n">
        <v>743.10788</v>
      </c>
      <c r="L21" s="47" t="n">
        <v>743.323348</v>
      </c>
      <c r="M21" s="47" t="n">
        <v>738.922574</v>
      </c>
      <c r="N21" s="47" t="n">
        <v>732.145707</v>
      </c>
      <c r="O21" s="47" t="n">
        <v>722.746597</v>
      </c>
      <c r="P21" s="47" t="n">
        <v>710.610686</v>
      </c>
      <c r="Q21" s="47" t="n">
        <v>695.281183</v>
      </c>
      <c r="R21" s="47" t="n">
        <v>676.747579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49" t="n">
        <v>6.5982612</v>
      </c>
      <c r="K22" s="49" t="n">
        <v>5.9354542</v>
      </c>
      <c r="L22" s="49" t="n">
        <v>5.492522</v>
      </c>
      <c r="M22" s="49" t="n">
        <v>5.4833162</v>
      </c>
      <c r="N22" s="49" t="n">
        <v>5.462532</v>
      </c>
      <c r="O22" s="49" t="n">
        <v>5.3923714</v>
      </c>
      <c r="P22" s="49" t="n">
        <v>5.1640334</v>
      </c>
      <c r="Q22" s="49" t="n">
        <v>4.8247416</v>
      </c>
      <c r="R22" s="49" t="n">
        <v>4.5436994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49" t="n">
        <v>6.8167586</v>
      </c>
      <c r="K23" s="49" t="n">
        <v>7.257493</v>
      </c>
      <c r="L23" s="49" t="n">
        <v>7.674445</v>
      </c>
      <c r="M23" s="49" t="n">
        <v>8.0772414</v>
      </c>
      <c r="N23" s="49" t="n">
        <v>8.500811</v>
      </c>
      <c r="O23" s="49" t="n">
        <v>8.9181526</v>
      </c>
      <c r="P23" s="49" t="n">
        <v>9.278971</v>
      </c>
      <c r="Q23" s="49" t="n">
        <v>9.5398302</v>
      </c>
      <c r="R23" s="49" t="n">
        <v>9.66701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0.895119929872694</v>
      </c>
      <c r="K24" s="32" t="n">
        <f aca="false">K22/K21*100</f>
        <v>0.798733852748271</v>
      </c>
      <c r="L24" s="32" t="n">
        <f aca="false">L22/L21*100</f>
        <v>0.738914230903453</v>
      </c>
      <c r="M24" s="32" t="n">
        <f aca="false">M22/M21*100</f>
        <v>0.742069114266903</v>
      </c>
      <c r="N24" s="32" t="n">
        <f aca="false">N22/N21*100</f>
        <v>0.746099027525951</v>
      </c>
      <c r="O24" s="32" t="n">
        <f aca="false">O22/O21*100</f>
        <v>0.746094332700123</v>
      </c>
      <c r="P24" s="32" t="n">
        <f aca="false">P22/P21*100</f>
        <v>0.726703594772567</v>
      </c>
      <c r="Q24" s="32" t="n">
        <f aca="false">Q22/Q21*100</f>
        <v>0.69392667570582</v>
      </c>
      <c r="R24" s="32" t="n">
        <f aca="false">R22/R21*100</f>
        <v>0.671402387092988</v>
      </c>
      <c r="S24" s="28" t="s">
        <v>25</v>
      </c>
      <c r="T24" s="13"/>
      <c r="V24" s="50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0.924761281046449</v>
      </c>
      <c r="K25" s="32" t="n">
        <f aca="false">K23/K21*100</f>
        <v>0.976640565297195</v>
      </c>
      <c r="L25" s="32" t="n">
        <f aca="false">L23/L21*100</f>
        <v>1.03245041618146</v>
      </c>
      <c r="M25" s="32" t="n">
        <f aca="false">M23/M21*100</f>
        <v>1.09311065654356</v>
      </c>
      <c r="N25" s="32" t="n">
        <f aca="false">N23/N21*100</f>
        <v>1.16108186099082</v>
      </c>
      <c r="O25" s="32" t="n">
        <f aca="false">O23/O21*100</f>
        <v>1.2339252287064</v>
      </c>
      <c r="P25" s="32" t="n">
        <f aca="false">P23/P21*100</f>
        <v>1.30577419996749</v>
      </c>
      <c r="Q25" s="32" t="n">
        <f aca="false">Q23/Q21*100</f>
        <v>1.37208232198052</v>
      </c>
      <c r="R25" s="32" t="n">
        <f aca="false">R23/R21*100</f>
        <v>1.42845136059216</v>
      </c>
      <c r="S25" s="28" t="s">
        <v>25</v>
      </c>
      <c r="T25" s="13"/>
      <c r="V25" s="50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28.3" hidden="false" customHeight="false" outlineLevel="0" collapsed="false">
      <c r="T27" s="13"/>
      <c r="U27" s="55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População, OCDE-excluindo EUA (0 - 0,75 Gp)</v>
      </c>
      <c r="V28" s="25" t="n">
        <v>750</v>
      </c>
      <c r="W28" s="56" t="n">
        <f aca="false">W38</f>
        <v>750</v>
      </c>
      <c r="AA28" s="29" t="str">
        <f aca="false">CONCATENATE(A9," (0 - ",W28/1000," Gp)")</f>
        <v> População, OCDE-excluindo EUA (0 - 0,75 Gp)</v>
      </c>
      <c r="AB28" s="57" t="n">
        <f aca="false">B9/$W28</f>
        <v>0.793832302666667</v>
      </c>
      <c r="AC28" s="57" t="n">
        <f aca="false">C9/$W28</f>
        <v>0.828688596</v>
      </c>
      <c r="AD28" s="57" t="n">
        <f aca="false">D9/$W28</f>
        <v>0.854918712</v>
      </c>
      <c r="AE28" s="57" t="n">
        <f aca="false">E9/$W28</f>
        <v>0.877077073333333</v>
      </c>
      <c r="AF28" s="57" t="n">
        <f aca="false">F9/$W28</f>
        <v>0.898296312</v>
      </c>
      <c r="AG28" s="57" t="n">
        <f aca="false">G9/$W28</f>
        <v>0.921382116</v>
      </c>
      <c r="AH28" s="57" t="n">
        <f aca="false">H9/$W28</f>
        <v>0.937084858666667</v>
      </c>
      <c r="AI28" s="57" t="n">
        <f aca="false">I9/$W28</f>
        <v>0.959372193333333</v>
      </c>
      <c r="AJ28" s="57" t="n">
        <f aca="false">J9/$W28</f>
        <v>0.982849482666667</v>
      </c>
      <c r="AK28" s="57" t="n">
        <f aca="false">K9/$W28</f>
        <v>0.989004023173334</v>
      </c>
      <c r="AL28" s="57" t="n">
        <f aca="false">L9/$W28</f>
        <v>0.987686641860406</v>
      </c>
      <c r="AM28" s="57" t="n">
        <f aca="false">M9/$W28</f>
        <v>0.979664136559052</v>
      </c>
      <c r="AN28" s="57" t="n">
        <f aca="false">N9/$W28</f>
        <v>0.96726596491922</v>
      </c>
      <c r="AO28" s="57" t="n">
        <f aca="false">O9/$W28</f>
        <v>0.952221020097212</v>
      </c>
      <c r="AP28" s="57" t="n">
        <f aca="false">P9/$W28</f>
        <v>0.933941936451219</v>
      </c>
      <c r="AQ28" s="57" t="n">
        <f aca="false">Q9/$W28</f>
        <v>0.91172466256966</v>
      </c>
      <c r="AR28" s="57" t="n">
        <f aca="false">R9/$W28</f>
        <v>0.885189722139888</v>
      </c>
    </row>
    <row r="29" customFormat="false" ht="11.25" hidden="false" customHeight="false" outlineLevel="0" collapsed="false">
      <c r="T29" s="13"/>
      <c r="U29" s="15" t="str">
        <f aca="false">AA29</f>
        <v> Nascimentos, países da OCDE excluindo os EUA (0 - 12 milhões/ano)</v>
      </c>
      <c r="V29" s="25" t="n">
        <v>12</v>
      </c>
      <c r="W29" s="56" t="n">
        <f aca="false">W39</f>
        <v>12</v>
      </c>
      <c r="AA29" s="29" t="str">
        <f aca="false">CONCATENATE(A10," (0 - ",W29," Mp / yr)")</f>
        <v> Nascimentos, países da OCDE excluindo os EUA (0 - 12 milhões/ano)</v>
      </c>
      <c r="AB29" s="57" t="n">
        <f aca="false">B10/$W29</f>
        <v>0.866967166666667</v>
      </c>
      <c r="AC29" s="57" t="n">
        <f aca="false">C10/$W29</f>
        <v>0.786632033333333</v>
      </c>
      <c r="AD29" s="57" t="n">
        <f aca="false">D10/$W29</f>
        <v>0.748423133333333</v>
      </c>
      <c r="AE29" s="57" t="n">
        <f aca="false">E10/$W29</f>
        <v>0.70980335</v>
      </c>
      <c r="AF29" s="57" t="n">
        <f aca="false">F10/$W29</f>
        <v>0.683199316666667</v>
      </c>
      <c r="AG29" s="57" t="n">
        <f aca="false">G10/$W29</f>
        <v>0.641943983333333</v>
      </c>
      <c r="AH29" s="57" t="n">
        <f aca="false">H10/$W29</f>
        <v>0.6185969</v>
      </c>
      <c r="AI29" s="57" t="n">
        <f aca="false">I10/$W29</f>
        <v>0.6411281</v>
      </c>
      <c r="AJ29" s="57" t="n">
        <f aca="false">J10/$W29</f>
        <v>0.644994973</v>
      </c>
      <c r="AK29" s="57" t="n">
        <f aca="false">K10/$W29</f>
        <v>0.587221138759167</v>
      </c>
      <c r="AL29" s="57" t="n">
        <f aca="false">L10/$W29</f>
        <v>0.537054611511596</v>
      </c>
      <c r="AM29" s="57" t="n">
        <f aca="false">M10/$W29</f>
        <v>0.514323671693502</v>
      </c>
      <c r="AN29" s="57" t="n">
        <f aca="false">N10/$W29</f>
        <v>0.513860043863335</v>
      </c>
      <c r="AO29" s="57" t="n">
        <f aca="false">O10/$W29</f>
        <v>0.505867416926644</v>
      </c>
      <c r="AP29" s="57" t="n">
        <f aca="false">P10/$W29</f>
        <v>0.48448237953407</v>
      </c>
      <c r="AQ29" s="57" t="n">
        <f aca="false">Q10/$W29</f>
        <v>0.45016405214377</v>
      </c>
      <c r="AR29" s="57" t="n">
        <f aca="false">R10/$W29</f>
        <v>0.425997553779821</v>
      </c>
    </row>
    <row r="30" customFormat="false" ht="11.25" hidden="false" customHeight="false" outlineLevel="0" collapsed="false">
      <c r="T30" s="13"/>
      <c r="U30" s="15" t="str">
        <f aca="false">AA30</f>
        <v> Mortes, países da OCDE excluindo os EUA (0 - 10 milhões/ano)</v>
      </c>
      <c r="V30" s="25" t="n">
        <v>10</v>
      </c>
      <c r="W30" s="56" t="n">
        <f aca="false">W40</f>
        <v>10</v>
      </c>
      <c r="AA30" s="29" t="str">
        <f aca="false">CONCATENATE(A11," (0 - ",W30," Mp / yr)")</f>
        <v> Mortes, países da OCDE excluindo os EUA (0 - 10 milhões/ano)</v>
      </c>
      <c r="AB30" s="57" t="n">
        <f aca="false">B11/$W30</f>
        <v>0.5810134</v>
      </c>
      <c r="AC30" s="57" t="n">
        <f aca="false">C11/$W30</f>
        <v>0.58885266</v>
      </c>
      <c r="AD30" s="57" t="n">
        <f aca="false">D11/$W30</f>
        <v>0.59735352</v>
      </c>
      <c r="AE30" s="57" t="n">
        <f aca="false">E11/$W30</f>
        <v>0.60339716</v>
      </c>
      <c r="AF30" s="57" t="n">
        <f aca="false">F11/$W30</f>
        <v>0.61572358</v>
      </c>
      <c r="AG30" s="57" t="n">
        <f aca="false">G11/$W30</f>
        <v>0.62603932</v>
      </c>
      <c r="AH30" s="57" t="n">
        <f aca="false">H11/$W30</f>
        <v>0.62499424</v>
      </c>
      <c r="AI30" s="57" t="n">
        <f aca="false">I11/$W30</f>
        <v>0.64179822</v>
      </c>
      <c r="AJ30" s="57" t="n">
        <f aca="false">J11/$W30</f>
        <v>0.68167586</v>
      </c>
      <c r="AK30" s="57" t="n">
        <f aca="false">K11/$W30</f>
        <v>0.724426086204903</v>
      </c>
      <c r="AL30" s="57" t="n">
        <f aca="false">L11/$W30</f>
        <v>0.764803113334237</v>
      </c>
      <c r="AM30" s="57" t="n">
        <f aca="false">M11/$W30</f>
        <v>0.803160980629686</v>
      </c>
      <c r="AN30" s="57" t="n">
        <f aca="false">N11/$W30</f>
        <v>0.842306224966116</v>
      </c>
      <c r="AO30" s="57" t="n">
        <f aca="false">O11/$W30</f>
        <v>0.881227155001873</v>
      </c>
      <c r="AP30" s="57" t="n">
        <f aca="false">P11/$W30</f>
        <v>0.914637963664259</v>
      </c>
      <c r="AQ30" s="57" t="n">
        <f aca="false">Q11/$W30</f>
        <v>0.938220969019111</v>
      </c>
      <c r="AR30" s="57" t="n">
        <f aca="false">R11/$W30</f>
        <v>0.948337847229689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(0 - 2 % / ano)</v>
      </c>
      <c r="V31" s="25" t="n">
        <v>2</v>
      </c>
      <c r="W31" s="56" t="n">
        <f aca="false">W41</f>
        <v>2</v>
      </c>
      <c r="AA31" s="29" t="str">
        <f aca="false">CONCATENATE(A12," (0 - ",W31," % / yr)")</f>
        <v> Taxa bruta de natalidade (0 - 2 % / ano)</v>
      </c>
      <c r="AB31" s="57" t="n">
        <f aca="false">B12/$W31</f>
        <v>0.873703086915787</v>
      </c>
      <c r="AC31" s="57" t="n">
        <f aca="false">C12/$W31</f>
        <v>0.759399404920333</v>
      </c>
      <c r="AD31" s="57" t="n">
        <f aca="false">D12/$W31</f>
        <v>0.700345539596362</v>
      </c>
      <c r="AE31" s="57" t="n">
        <f aca="false">E12/$W31</f>
        <v>0.647426203767832</v>
      </c>
      <c r="AF31" s="57" t="n">
        <f aca="false">F12/$W31</f>
        <v>0.608440050384325</v>
      </c>
      <c r="AG31" s="57" t="n">
        <f aca="false">G12/$W31</f>
        <v>0.557374815235362</v>
      </c>
      <c r="AH31" s="57" t="n">
        <f aca="false">H12/$W31</f>
        <v>0.528103207967886</v>
      </c>
      <c r="AI31" s="57" t="n">
        <f aca="false">I12/$W31</f>
        <v>0.534623041572555</v>
      </c>
      <c r="AJ31" s="57" t="n">
        <f aca="false">J12/$W31</f>
        <v>0.525</v>
      </c>
      <c r="AK31" s="57" t="n">
        <f aca="false">K12/$W31</f>
        <v>0.475</v>
      </c>
      <c r="AL31" s="57" t="n">
        <f aca="false">L12/$W31</f>
        <v>0.435</v>
      </c>
      <c r="AM31" s="57" t="n">
        <f aca="false">M12/$W31</f>
        <v>0.42</v>
      </c>
      <c r="AN31" s="57" t="n">
        <f aca="false">N12/$W31</f>
        <v>0.425</v>
      </c>
      <c r="AO31" s="57" t="n">
        <f aca="false">O12/$W31</f>
        <v>0.425</v>
      </c>
      <c r="AP31" s="57" t="n">
        <f aca="false">P12/$W31</f>
        <v>0.415</v>
      </c>
      <c r="AQ31" s="57" t="n">
        <f aca="false">Q12/$W31</f>
        <v>0.395</v>
      </c>
      <c r="AR31" s="57" t="n">
        <f aca="false">R12/$W31</f>
        <v>0.385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0.487939663535352</v>
      </c>
      <c r="AC32" s="57" t="n">
        <f aca="false">C13/$W32</f>
        <v>0.473722507941934</v>
      </c>
      <c r="AD32" s="57" t="n">
        <f aca="false">D13/$W32</f>
        <v>0.465817012085706</v>
      </c>
      <c r="AE32" s="57" t="n">
        <f aca="false">E13/$W32</f>
        <v>0.458642444961564</v>
      </c>
      <c r="AF32" s="57" t="n">
        <f aca="false">F13/$W32</f>
        <v>0.45695655340358</v>
      </c>
      <c r="AG32" s="57" t="n">
        <f aca="false">G13/$W32</f>
        <v>0.452971182551873</v>
      </c>
      <c r="AH32" s="57" t="n">
        <f aca="false">H13/$W32</f>
        <v>0.444637241561577</v>
      </c>
      <c r="AI32" s="57" t="n">
        <f aca="false">I13/$W32</f>
        <v>0.445984866950734</v>
      </c>
      <c r="AJ32" s="57" t="n">
        <f aca="false">J13/$W32</f>
        <v>0.462380640523225</v>
      </c>
      <c r="AK32" s="57" t="n">
        <f aca="false">K13/$W32</f>
        <v>0.488320282648597</v>
      </c>
      <c r="AL32" s="57" t="n">
        <f aca="false">L13/$W32</f>
        <v>0.516225208090732</v>
      </c>
      <c r="AM32" s="57" t="n">
        <f aca="false">M13/$W32</f>
        <v>0.546555328271782</v>
      </c>
      <c r="AN32" s="57" t="n">
        <f aca="false">N13/$W32</f>
        <v>0.58054093049541</v>
      </c>
      <c r="AO32" s="57" t="n">
        <f aca="false">O13/$W32</f>
        <v>0.616962614353202</v>
      </c>
      <c r="AP32" s="57" t="n">
        <f aca="false">P13/$W32</f>
        <v>0.652887099983745</v>
      </c>
      <c r="AQ32" s="57" t="n">
        <f aca="false">Q13/$W32</f>
        <v>0.686041160990258</v>
      </c>
      <c r="AR32" s="57" t="n">
        <f aca="false">R13/$W32</f>
        <v>0.71422568029608</v>
      </c>
    </row>
    <row r="33" customFormat="false" ht="11.25" hidden="false" customHeight="false" outlineLevel="0" collapsed="false">
      <c r="T33" s="13"/>
      <c r="U33" s="58" t="str">
        <f aca="false">AA33</f>
        <v> Previsão de baixa população da ONU (0 - 0,75 Gp)</v>
      </c>
      <c r="V33" s="28"/>
      <c r="W33" s="59" t="n">
        <f aca="false">W28</f>
        <v>750</v>
      </c>
      <c r="AA33" s="29" t="str">
        <f aca="false">CONCATENATE(A21," (0 - ",W33/1000," Gp)")</f>
        <v> Previsão de baixa população da ONU (0 - 0,75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0.990810506666667</v>
      </c>
      <c r="AL33" s="57" t="n">
        <f aca="false">L21/$W33</f>
        <v>0.991097797333334</v>
      </c>
      <c r="AM33" s="57" t="n">
        <f aca="false">M21/$W33</f>
        <v>0.985230098666667</v>
      </c>
      <c r="AN33" s="57" t="n">
        <f aca="false">N21/$W33</f>
        <v>0.976194276</v>
      </c>
      <c r="AO33" s="57" t="n">
        <f aca="false">O21/$W33</f>
        <v>0.963662129333334</v>
      </c>
      <c r="AP33" s="57" t="n">
        <f aca="false">P21/$W33</f>
        <v>0.947480914666667</v>
      </c>
      <c r="AQ33" s="57" t="n">
        <f aca="false">Q21/$W33</f>
        <v>0.927041577333333</v>
      </c>
      <c r="AR33" s="57" t="n">
        <f aca="false">R21/$W33</f>
        <v>0.902330105333333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(0 - 12 milhões/ano)</v>
      </c>
      <c r="V34" s="28"/>
      <c r="W34" s="59" t="n">
        <f aca="false">W29</f>
        <v>12</v>
      </c>
      <c r="AA34" s="29" t="str">
        <f aca="false">CONCATENATE(A22," (0 - ",W34," Mp / yr)")</f>
        <v> Nascimentos: Previsão baixa da ONU (0 - 12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0.5498551</v>
      </c>
      <c r="AK34" s="57" t="n">
        <f aca="false">K22/$W34</f>
        <v>0.494621183333333</v>
      </c>
      <c r="AL34" s="57" t="n">
        <f aca="false">L22/$W34</f>
        <v>0.457710166666667</v>
      </c>
      <c r="AM34" s="57" t="n">
        <f aca="false">M22/$W34</f>
        <v>0.456943016666667</v>
      </c>
      <c r="AN34" s="57" t="n">
        <f aca="false">N22/$W34</f>
        <v>0.455211</v>
      </c>
      <c r="AO34" s="57" t="n">
        <f aca="false">O22/$W34</f>
        <v>0.449364283333333</v>
      </c>
      <c r="AP34" s="57" t="n">
        <f aca="false">P22/$W34</f>
        <v>0.430336116666666</v>
      </c>
      <c r="AQ34" s="57" t="n">
        <f aca="false">Q22/$W34</f>
        <v>0.4020618</v>
      </c>
      <c r="AR34" s="57" t="n">
        <f aca="false">R22/$W34</f>
        <v>0.378641616666667</v>
      </c>
    </row>
    <row r="35" s="3" customFormat="true" ht="11.25" hidden="false" customHeight="false" outlineLevel="0" collapsed="false">
      <c r="T35" s="13"/>
      <c r="U35" s="58" t="str">
        <f aca="false">AA35</f>
        <v> Mortes: Previsão baixa da ONU (0 - 10 milhões/ano)</v>
      </c>
      <c r="V35" s="28"/>
      <c r="W35" s="59" t="n">
        <f aca="false">W30</f>
        <v>10</v>
      </c>
      <c r="AA35" s="29" t="str">
        <f aca="false">CONCATENATE(A23," (0 - ",W35," Mp / yr)")</f>
        <v>Mortes: Previsão baixa da ONU (0 - 10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0.68167586</v>
      </c>
      <c r="AK35" s="57" t="n">
        <f aca="false">K23/$W35</f>
        <v>0.7257493</v>
      </c>
      <c r="AL35" s="57" t="n">
        <f aca="false">L23/$W35</f>
        <v>0.7674445</v>
      </c>
      <c r="AM35" s="57" t="n">
        <f aca="false">M23/$W35</f>
        <v>0.80772414</v>
      </c>
      <c r="AN35" s="57" t="n">
        <f aca="false">N23/$W35</f>
        <v>0.8500811</v>
      </c>
      <c r="AO35" s="57" t="n">
        <f aca="false">O23/$W35</f>
        <v>0.89181526</v>
      </c>
      <c r="AP35" s="57" t="n">
        <f aca="false">P23/$W35</f>
        <v>0.9278971</v>
      </c>
      <c r="AQ35" s="57" t="n">
        <f aca="false">Q23/$W35</f>
        <v>0.95398302</v>
      </c>
      <c r="AR35" s="57" t="n">
        <f aca="false">R23/$W35</f>
        <v>0.966701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(0 - 2% / ano)</v>
      </c>
      <c r="V36" s="28"/>
      <c r="W36" s="59" t="n">
        <f aca="false">W31</f>
        <v>2</v>
      </c>
      <c r="AA36" s="29" t="str">
        <f aca="false">CONCATENATE(A24," (0 - ",W36," % / yr)")</f>
        <v> Baixa taxa de natalidade da ONU (0 - 2%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0.447559964936347</v>
      </c>
      <c r="AK36" s="57" t="n">
        <f aca="false">K24/$W36</f>
        <v>0.399366926374136</v>
      </c>
      <c r="AL36" s="57" t="n">
        <f aca="false">L24/$W36</f>
        <v>0.369457115451727</v>
      </c>
      <c r="AM36" s="57" t="n">
        <f aca="false">M24/$W36</f>
        <v>0.371034557133451</v>
      </c>
      <c r="AN36" s="57" t="n">
        <f aca="false">N24/$W36</f>
        <v>0.373049513762975</v>
      </c>
      <c r="AO36" s="57" t="n">
        <f aca="false">O24/$W36</f>
        <v>0.373047166350062</v>
      </c>
      <c r="AP36" s="57" t="n">
        <f aca="false">P24/$W36</f>
        <v>0.363351797386283</v>
      </c>
      <c r="AQ36" s="57" t="n">
        <f aca="false">Q24/$W36</f>
        <v>0.34696333785291</v>
      </c>
      <c r="AR36" s="57" t="n">
        <f aca="false">R24/$W36</f>
        <v>0.335701193546494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0.462380640523225</v>
      </c>
      <c r="AK37" s="57" t="n">
        <f aca="false">K25/$W37</f>
        <v>0.488320282648597</v>
      </c>
      <c r="AL37" s="57" t="n">
        <f aca="false">L25/$W37</f>
        <v>0.516225208090732</v>
      </c>
      <c r="AM37" s="57" t="n">
        <f aca="false">M25/$W37</f>
        <v>0.546555328271782</v>
      </c>
      <c r="AN37" s="57" t="n">
        <f aca="false">N25/$W37</f>
        <v>0.58054093049541</v>
      </c>
      <c r="AO37" s="57" t="n">
        <f aca="false">O25/$W37</f>
        <v>0.616962614353202</v>
      </c>
      <c r="AP37" s="57" t="n">
        <f aca="false">P25/$W37</f>
        <v>0.652887099983745</v>
      </c>
      <c r="AQ37" s="57" t="n">
        <f aca="false">Q25/$W37</f>
        <v>0.686041160990258</v>
      </c>
      <c r="AR37" s="57" t="n">
        <f aca="false">R25/$W37</f>
        <v>0.71422568029608</v>
      </c>
    </row>
    <row r="38" s="3" customFormat="true" ht="11.25" hidden="false" customHeight="false" outlineLevel="0" collapsed="false">
      <c r="T38" s="13"/>
      <c r="U38" s="37" t="str">
        <f aca="false">AA38</f>
        <v> População, OCDE excluindo EUA Sua previsão (0 - 0,75 Gp)</v>
      </c>
      <c r="V38" s="28"/>
      <c r="W38" s="60" t="n">
        <v>750</v>
      </c>
      <c r="AA38" s="29" t="str">
        <f aca="false">CONCATENATE(A9," Your forecast (0 - ",W38/1000," Gp)")</f>
        <v> População, OCDE excluindo EUA Sua previsão (0 - 0,75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0.989004023173334</v>
      </c>
      <c r="AL38" s="57" t="n">
        <f aca="false">L17/$W38</f>
        <v>0.987712989486665</v>
      </c>
      <c r="AM38" s="57" t="n">
        <f aca="false">M17/$W38</f>
        <v>0.979850724562378</v>
      </c>
      <c r="AN38" s="57" t="n">
        <f aca="false">N17/$W38</f>
        <v>0.967698202212153</v>
      </c>
      <c r="AO38" s="57" t="n">
        <f aca="false">O17/$W38</f>
        <v>0.952947567688693</v>
      </c>
      <c r="AP38" s="57" t="n">
        <f aca="false">P17/$W38</f>
        <v>0.935020397658059</v>
      </c>
      <c r="AQ38" s="57" t="n">
        <f aca="false">Q17/$W38</f>
        <v>0.913222327157255</v>
      </c>
      <c r="AR38" s="57" t="n">
        <f aca="false">R17/$W38</f>
        <v>0.887175369096124</v>
      </c>
    </row>
    <row r="39" s="3" customFormat="true" ht="11.25" hidden="false" customHeight="false" outlineLevel="0" collapsed="false">
      <c r="T39" s="13"/>
      <c r="U39" s="37" t="str">
        <f aca="false">AA39</f>
        <v> Nascimentos, EUA (excluindo países da OCDE) Sua previsão (0 - 12 milhões/ano)</v>
      </c>
      <c r="V39" s="28"/>
      <c r="W39" s="60" t="n">
        <v>12</v>
      </c>
      <c r="AA39" s="29" t="str">
        <f aca="false">CONCATENATE(A10," Your forecast (0 - ",W39," Mp / yr)")</f>
        <v> Nascimentos, EUA (excluindo países da OCDE) Sua previsão (0 - 12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0.644994973</v>
      </c>
      <c r="AK39" s="57" t="n">
        <f aca="false">K18/$W39</f>
        <v>0.575476715983983</v>
      </c>
      <c r="AL39" s="57" t="n">
        <f aca="false">L18/$W39</f>
        <v>0.526327559272707</v>
      </c>
      <c r="AM39" s="57" t="n">
        <f aca="false">M18/$W39</f>
        <v>0.504133197787343</v>
      </c>
      <c r="AN39" s="57" t="n">
        <f aca="false">N18/$W39</f>
        <v>0.503807876526702</v>
      </c>
      <c r="AO39" s="57" t="n">
        <f aca="false">O18/$W39</f>
        <v>0.496128327427926</v>
      </c>
      <c r="AP39" s="57" t="n">
        <f aca="false">P18/$W39</f>
        <v>0.475340994659416</v>
      </c>
      <c r="AQ39" s="57" t="n">
        <f aca="false">Q18/$W39</f>
        <v>0.441885453553217</v>
      </c>
      <c r="AR39" s="57" t="n">
        <f aca="false">R18/$W39</f>
        <v>0.41841408344996</v>
      </c>
    </row>
    <row r="40" s="3" customFormat="true" ht="11.25" hidden="false" customHeight="false" outlineLevel="0" collapsed="false">
      <c r="T40" s="13"/>
      <c r="U40" s="37" t="str">
        <f aca="false">AA40</f>
        <v> Mortes, EUA sem a OCDE: Sua previsão (0 - 10 milhões/ano)</v>
      </c>
      <c r="V40" s="28"/>
      <c r="W40" s="60" t="n">
        <v>10</v>
      </c>
      <c r="AA40" s="29" t="str">
        <f aca="false">CONCATENATE(A11," Your forecast (0 - ",W40," Mp / yr)")</f>
        <v> Mortes, EUA sem a OCDE: Sua previsão (0 - 10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0.68167586</v>
      </c>
      <c r="AK40" s="57" t="n">
        <f aca="false">K19/$W40</f>
        <v>0.709937564480805</v>
      </c>
      <c r="AL40" s="57" t="n">
        <f aca="false">L19/$W40</f>
        <v>0.749527044991559</v>
      </c>
      <c r="AM40" s="57" t="n">
        <f aca="false">M19/$W40</f>
        <v>0.787247672598185</v>
      </c>
      <c r="AN40" s="57" t="n">
        <f aca="false">N19/$W40</f>
        <v>0.825828969683938</v>
      </c>
      <c r="AO40" s="57" t="n">
        <f aca="false">O19/$W40</f>
        <v>0.864261543373029</v>
      </c>
      <c r="AP40" s="57" t="n">
        <f aca="false">P19/$W40</f>
        <v>0.897380251103349</v>
      </c>
      <c r="AQ40" s="57" t="n">
        <f aca="false">Q19/$W40</f>
        <v>0.920966915180827</v>
      </c>
      <c r="AR40" s="57" t="n">
        <f aca="false">R19/$W40</f>
        <v>0.931455844355869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(0 - 2%/ano)</v>
      </c>
      <c r="V41" s="28"/>
      <c r="W41" s="60" t="n">
        <v>2</v>
      </c>
      <c r="AA41" s="29" t="str">
        <f aca="false">CONCATENATE(A12," Your forecast (0 - ",W41," % / yr)")</f>
        <v> Taxa bruta de natalidade: Sua previsão (0 - 2%/ano)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0.525</v>
      </c>
      <c r="AK41" s="57" t="n">
        <f aca="false">K15/$W41</f>
        <v>0.4655</v>
      </c>
      <c r="AL41" s="57" t="n">
        <f aca="false">L15/$W41</f>
        <v>0.4263</v>
      </c>
      <c r="AM41" s="57" t="n">
        <f aca="false">M15/$W41</f>
        <v>0.4116</v>
      </c>
      <c r="AN41" s="57" t="n">
        <f aca="false">N15/$W41</f>
        <v>0.4165</v>
      </c>
      <c r="AO41" s="57" t="n">
        <f aca="false">O15/$W41</f>
        <v>0.4165</v>
      </c>
      <c r="AP41" s="57" t="n">
        <f aca="false">P15/$W41</f>
        <v>0.4067</v>
      </c>
      <c r="AQ41" s="57" t="n">
        <f aca="false">Q15/$W41</f>
        <v>0.3871</v>
      </c>
      <c r="AR41" s="57" t="n">
        <f aca="false">R15/$W41</f>
        <v>0.3773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0.462380640523225</v>
      </c>
      <c r="AK42" s="57" t="n">
        <f aca="false">K16/$W42</f>
        <v>0.478553876995625</v>
      </c>
      <c r="AL42" s="57" t="n">
        <f aca="false">L16/$W42</f>
        <v>0.505900703928918</v>
      </c>
      <c r="AM42" s="57" t="n">
        <f aca="false">M16/$W42</f>
        <v>0.535624221706346</v>
      </c>
      <c r="AN42" s="57" t="n">
        <f aca="false">N16/$W42</f>
        <v>0.568930111885502</v>
      </c>
      <c r="AO42" s="57" t="n">
        <f aca="false">O16/$W42</f>
        <v>0.604623362066138</v>
      </c>
      <c r="AP42" s="57" t="n">
        <f aca="false">P16/$W42</f>
        <v>0.639829357984071</v>
      </c>
      <c r="AQ42" s="57" t="n">
        <f aca="false">Q16/$W42</f>
        <v>0.672320337770453</v>
      </c>
      <c r="AR42" s="57" t="n">
        <f aca="false">R16/$W42</f>
        <v>0.699941166690158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EUA (excluindo os países da OCDE) de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170</v>
      </c>
      <c r="B55" s="26" t="n">
        <f aca="false">B9</f>
        <v>595.374227</v>
      </c>
      <c r="C55" s="26" t="n">
        <f aca="false">C9</f>
        <v>621.516447</v>
      </c>
      <c r="D55" s="26" t="n">
        <f aca="false">D9</f>
        <v>641.189034</v>
      </c>
      <c r="E55" s="26" t="n">
        <f aca="false">E9</f>
        <v>657.807805</v>
      </c>
      <c r="F55" s="26" t="n">
        <f aca="false">F9</f>
        <v>673.722234</v>
      </c>
      <c r="G55" s="26" t="n">
        <f aca="false">G9</f>
        <v>691.036587</v>
      </c>
      <c r="H55" s="26" t="n">
        <f aca="false">H9</f>
        <v>702.813644</v>
      </c>
      <c r="I55" s="26" t="n">
        <f aca="false">I9</f>
        <v>719.529145</v>
      </c>
      <c r="J55" s="26" t="n">
        <f aca="false">J9</f>
        <v>737.137112</v>
      </c>
      <c r="K55" s="27" t="n">
        <f aca="false">K9</f>
        <v>741.75301738</v>
      </c>
      <c r="L55" s="27" t="n">
        <f aca="false">L9</f>
        <v>740.764981395305</v>
      </c>
      <c r="M55" s="27" t="n">
        <f aca="false">M9</f>
        <v>734.748102419289</v>
      </c>
      <c r="N55" s="27" t="n">
        <f aca="false">N9</f>
        <v>725.449473689415</v>
      </c>
      <c r="O55" s="27" t="n">
        <f aca="false">O9</f>
        <v>714.165765072909</v>
      </c>
      <c r="P55" s="27" t="n">
        <f aca="false">P9</f>
        <v>700.456452338414</v>
      </c>
      <c r="Q55" s="27" t="n">
        <f aca="false">Q9</f>
        <v>683.793496927245</v>
      </c>
      <c r="R55" s="27" t="n">
        <f aca="false">R9</f>
        <v>663.892291604916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173</v>
      </c>
      <c r="B56" s="62" t="n">
        <v>379.204463</v>
      </c>
      <c r="C56" s="62" t="n">
        <v>397.568414</v>
      </c>
      <c r="D56" s="62" t="n">
        <v>416.370221</v>
      </c>
      <c r="E56" s="62" t="n">
        <v>438.968605</v>
      </c>
      <c r="F56" s="62" t="n">
        <v>454.735896</v>
      </c>
      <c r="G56" s="62" t="n">
        <v>466.900183</v>
      </c>
      <c r="H56" s="62" t="n">
        <v>474.639951</v>
      </c>
      <c r="I56" s="62" t="n">
        <v>484.427258</v>
      </c>
      <c r="J56" s="62" t="n">
        <v>492.931689</v>
      </c>
      <c r="K56" s="27" t="n">
        <f aca="false">K57</f>
        <v>488.778764</v>
      </c>
      <c r="L56" s="27" t="n">
        <f aca="false">L57</f>
        <v>482.555007</v>
      </c>
      <c r="M56" s="27" t="n">
        <f aca="false">M57</f>
        <v>475.204504</v>
      </c>
      <c r="N56" s="27" t="n">
        <f aca="false">N57</f>
        <v>459.152022</v>
      </c>
      <c r="O56" s="27" t="n">
        <f aca="false">O57</f>
        <v>438.879139</v>
      </c>
      <c r="P56" s="27" t="n">
        <f aca="false">P57</f>
        <v>416.914921</v>
      </c>
      <c r="Q56" s="27" t="n">
        <f aca="false">Q57</f>
        <v>397.304064</v>
      </c>
      <c r="R56" s="27" t="n">
        <f aca="false">R57</f>
        <v>378.83848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64" t="n">
        <v>488.778764</v>
      </c>
      <c r="L57" s="64" t="n">
        <v>482.555007</v>
      </c>
      <c r="M57" s="64" t="n">
        <v>475.204504</v>
      </c>
      <c r="N57" s="64" t="n">
        <v>459.152022</v>
      </c>
      <c r="O57" s="64" t="n">
        <v>438.879139</v>
      </c>
      <c r="P57" s="64" t="n">
        <v>416.914921</v>
      </c>
      <c r="Q57" s="64" t="n">
        <v>397.304064</v>
      </c>
      <c r="R57" s="64" t="n">
        <v>378.83848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63.6917833865187</v>
      </c>
      <c r="C58" s="65" t="n">
        <f aca="false">C56/C55*100</f>
        <v>63.9674808155157</v>
      </c>
      <c r="D58" s="65" t="n">
        <f aca="false">D56/D55*100</f>
        <v>64.9372024350622</v>
      </c>
      <c r="E58" s="65" t="n">
        <f aca="false">E56/E55*100</f>
        <v>66.7320456922824</v>
      </c>
      <c r="F58" s="65" t="n">
        <f aca="false">F56/F55*100</f>
        <v>67.4960500116135</v>
      </c>
      <c r="G58" s="65" t="n">
        <f aca="false">G56/G55*100</f>
        <v>67.5651900034636</v>
      </c>
      <c r="H58" s="65" t="n">
        <f aca="false">H56/H55*100</f>
        <v>67.5342539309041</v>
      </c>
      <c r="I58" s="65" t="n">
        <f aca="false">I56/I55*100</f>
        <v>67.3255922107228</v>
      </c>
      <c r="J58" s="65" t="n">
        <f aca="false">J56/J55*100</f>
        <v>66.8710991449851</v>
      </c>
      <c r="K58" s="65" t="n">
        <f aca="false">K56/K55*100</f>
        <v>65.8950826686828</v>
      </c>
      <c r="L58" s="65" t="n">
        <f aca="false">L56/L55*100</f>
        <v>65.1427941546399</v>
      </c>
      <c r="M58" s="65" t="n">
        <f aca="false">M56/M55*100</f>
        <v>64.6758395748563</v>
      </c>
      <c r="N58" s="65" t="n">
        <f aca="false">N56/N55*100</f>
        <v>63.2920745899632</v>
      </c>
      <c r="O58" s="65" t="n">
        <f aca="false">O56/O55*100</f>
        <v>61.4533992616119</v>
      </c>
      <c r="P58" s="65" t="n">
        <f aca="false">P56/P55*100</f>
        <v>59.5204626366372</v>
      </c>
      <c r="Q58" s="65" t="n">
        <f aca="false">Q56/Q55*100</f>
        <v>58.1029310435622</v>
      </c>
      <c r="R58" s="65" t="n">
        <f aca="false">R56/R55*100</f>
        <v>57.0632442627377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1.57006123369387</v>
      </c>
      <c r="C59" s="32" t="n">
        <f aca="false">C55/C56</f>
        <v>1.56329432901076</v>
      </c>
      <c r="D59" s="32" t="n">
        <f aca="false">D55/D56</f>
        <v>1.53994930871869</v>
      </c>
      <c r="E59" s="32" t="n">
        <f aca="false">E55/E56</f>
        <v>1.49853041312601</v>
      </c>
      <c r="F59" s="32" t="n">
        <f aca="false">F55/F56</f>
        <v>1.48156818040158</v>
      </c>
      <c r="G59" s="32" t="n">
        <f aca="false">G55/G56</f>
        <v>1.48005207999672</v>
      </c>
      <c r="H59" s="32" t="n">
        <f aca="false">H55/H56</f>
        <v>1.4807300618485</v>
      </c>
      <c r="I59" s="32" t="n">
        <f aca="false">I55/I56</f>
        <v>1.48531927780166</v>
      </c>
      <c r="J59" s="32" t="n">
        <f aca="false">J55/J56</f>
        <v>1.4954143311326</v>
      </c>
      <c r="K59" s="32" t="n">
        <f aca="false">K55/K56</f>
        <v>1.51756392055527</v>
      </c>
      <c r="L59" s="32" t="n">
        <f aca="false">L55/L56</f>
        <v>1.53508920361343</v>
      </c>
      <c r="M59" s="32" t="n">
        <f aca="false">M55/M56</f>
        <v>1.54617242941639</v>
      </c>
      <c r="N59" s="32" t="n">
        <f aca="false">N55/N56</f>
        <v>1.57997665028123</v>
      </c>
      <c r="O59" s="32" t="n">
        <f aca="false">O55/O56</f>
        <v>1.62724928484903</v>
      </c>
      <c r="P59" s="32" t="n">
        <f aca="false">P55/P56</f>
        <v>1.68009446785526</v>
      </c>
      <c r="Q59" s="32" t="n">
        <f aca="false">Q55/Q56</f>
        <v>1.72108357020794</v>
      </c>
      <c r="R59" s="32" t="n">
        <f aca="false">R55/R56</f>
        <v>1.75244154607767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6"/>
      <c r="G61" s="66"/>
      <c r="H61" s="67" t="s">
        <v>42</v>
      </c>
      <c r="I61" s="39"/>
      <c r="J61" s="38" t="s">
        <v>7</v>
      </c>
      <c r="K61" s="68" t="n">
        <f aca="false">K57</f>
        <v>488.778764</v>
      </c>
      <c r="L61" s="68" t="n">
        <f aca="false">L57*0.98</f>
        <v>472.90390686</v>
      </c>
      <c r="M61" s="68" t="n">
        <f aca="false">M57*0.98</f>
        <v>465.70041392</v>
      </c>
      <c r="N61" s="68" t="n">
        <f aca="false">N57*0.98</f>
        <v>449.96898156</v>
      </c>
      <c r="O61" s="68" t="n">
        <f aca="false">O57*0.98</f>
        <v>430.10155622</v>
      </c>
      <c r="P61" s="68" t="n">
        <f aca="false">P57*0.98</f>
        <v>408.57662258</v>
      </c>
      <c r="Q61" s="68" t="n">
        <f aca="false">Q57*0.98</f>
        <v>389.35798272</v>
      </c>
      <c r="R61" s="68" t="n">
        <f aca="false">R57*0.98</f>
        <v>371.2617104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65.8950826686828</v>
      </c>
      <c r="L62" s="45" t="n">
        <f aca="false">L61/L17*100</f>
        <v>63.8382353164864</v>
      </c>
      <c r="M62" s="45" t="n">
        <f aca="false">M61/M17*100</f>
        <v>63.3702532091293</v>
      </c>
      <c r="N62" s="45" t="n">
        <f aca="false">N61/N17*100</f>
        <v>61.9985281266926</v>
      </c>
      <c r="O62" s="45" t="n">
        <f aca="false">O61/O17*100</f>
        <v>60.178414959133</v>
      </c>
      <c r="P62" s="45" t="n">
        <f aca="false">P61/P17*100</f>
        <v>58.2627749588294</v>
      </c>
      <c r="Q62" s="45" t="n">
        <f aca="false">Q61/Q17*100</f>
        <v>56.8474906407544</v>
      </c>
      <c r="R62" s="45" t="n">
        <f aca="false">R61/R17*100</f>
        <v>55.7968166283742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1.51756392055527</v>
      </c>
      <c r="L63" s="43" t="n">
        <f aca="false">L17/L61</f>
        <v>1.56645934061675</v>
      </c>
      <c r="M63" s="43" t="n">
        <f aca="false">M17/M61</f>
        <v>1.57802746455799</v>
      </c>
      <c r="N63" s="43" t="n">
        <f aca="false">N17/N61</f>
        <v>1.61294151686395</v>
      </c>
      <c r="O63" s="43" t="n">
        <f aca="false">O17/O61</f>
        <v>1.66172538887755</v>
      </c>
      <c r="P63" s="43" t="n">
        <f aca="false">P17/P61</f>
        <v>1.71636177766445</v>
      </c>
      <c r="Q63" s="43" t="n">
        <f aca="false">Q17/Q61</f>
        <v>1.75909259798196</v>
      </c>
      <c r="R63" s="43" t="n">
        <f aca="false">R17/R61</f>
        <v>1.79221694072682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47" t="n">
        <f aca="false">K21</f>
        <v>743.10788</v>
      </c>
      <c r="L65" s="47" t="n">
        <f aca="false">L21</f>
        <v>743.323348</v>
      </c>
      <c r="M65" s="47" t="n">
        <f aca="false">M21</f>
        <v>738.922574</v>
      </c>
      <c r="N65" s="47" t="n">
        <f aca="false">N21</f>
        <v>732.145707</v>
      </c>
      <c r="O65" s="47" t="n">
        <f aca="false">O21</f>
        <v>722.746597</v>
      </c>
      <c r="P65" s="47" t="n">
        <f aca="false">P21</f>
        <v>710.610686</v>
      </c>
      <c r="Q65" s="47" t="n">
        <f aca="false">Q21</f>
        <v>695.281183</v>
      </c>
      <c r="R65" s="47" t="n">
        <f aca="false">R21</f>
        <v>676.747579</v>
      </c>
      <c r="S65" s="28" t="s">
        <v>17</v>
      </c>
      <c r="T65" s="13"/>
    </row>
    <row r="66" customFormat="false" ht="11.25" hidden="false" customHeight="false" outlineLevel="0" collapsed="false">
      <c r="A66" s="11" t="s">
        <v>174</v>
      </c>
      <c r="B66" s="41"/>
      <c r="C66" s="41"/>
      <c r="D66" s="41"/>
      <c r="E66" s="41"/>
      <c r="F66" s="41"/>
      <c r="G66" s="41"/>
      <c r="H66" s="41"/>
      <c r="I66" s="41"/>
      <c r="J66" s="48"/>
      <c r="K66" s="47" t="n">
        <v>488.778764</v>
      </c>
      <c r="L66" s="47" t="n">
        <v>482.555007</v>
      </c>
      <c r="M66" s="47" t="n">
        <v>475.204504</v>
      </c>
      <c r="N66" s="47" t="n">
        <v>459.152022</v>
      </c>
      <c r="O66" s="47" t="n">
        <v>438.879139</v>
      </c>
      <c r="P66" s="47" t="n">
        <v>416.914921</v>
      </c>
      <c r="Q66" s="47" t="n">
        <v>397.304064</v>
      </c>
      <c r="R66" s="47" t="n">
        <v>378.83848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48" t="n">
        <f aca="false">K65/K66</f>
        <v>1.52033585485314</v>
      </c>
      <c r="L67" s="48" t="n">
        <f aca="false">L65/L66</f>
        <v>1.54039091340316</v>
      </c>
      <c r="M67" s="48" t="n">
        <f aca="false">M65/M66</f>
        <v>1.55495700857246</v>
      </c>
      <c r="N67" s="48" t="n">
        <f aca="false">N65/N66</f>
        <v>1.59456056364704</v>
      </c>
      <c r="O67" s="48" t="n">
        <f aca="false">O65/O66</f>
        <v>1.64680098180743</v>
      </c>
      <c r="P67" s="48" t="n">
        <f aca="false">P65/P66</f>
        <v>1.70445011729383</v>
      </c>
      <c r="Q67" s="48" t="n">
        <f aca="false">Q65/Q66</f>
        <v>1.74999766174051</v>
      </c>
      <c r="R67" s="48" t="n">
        <f aca="false">R65/R66</f>
        <v>1.78637497172938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5" t="s">
        <v>37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 Pessoas dos EUA (excluindo países da OCDE) com idade entre 15 e 64 anos (0 - 0,5 Gp)</v>
      </c>
      <c r="V70" s="25" t="n">
        <v>500</v>
      </c>
      <c r="W70" s="70" t="n">
        <f aca="false">W74</f>
        <v>500</v>
      </c>
      <c r="AA70" s="29" t="str">
        <f aca="false">CONCATENATE(A55," (0 - ",V28/1000," Gp)")</f>
        <v> População, OCDE-excluindo EUA (0 - 0,75 Gp)</v>
      </c>
      <c r="AB70" s="57" t="n">
        <f aca="false">B55/$V28</f>
        <v>0.793832302666667</v>
      </c>
      <c r="AC70" s="57" t="n">
        <f aca="false">C55/$V28</f>
        <v>0.828688596</v>
      </c>
      <c r="AD70" s="57" t="n">
        <f aca="false">D55/$V28</f>
        <v>0.854918712</v>
      </c>
      <c r="AE70" s="57" t="n">
        <f aca="false">E55/$V28</f>
        <v>0.877077073333333</v>
      </c>
      <c r="AF70" s="57" t="n">
        <f aca="false">F55/$V28</f>
        <v>0.898296312</v>
      </c>
      <c r="AG70" s="57" t="n">
        <f aca="false">G55/$V28</f>
        <v>0.921382116</v>
      </c>
      <c r="AH70" s="57" t="n">
        <f aca="false">H55/$V28</f>
        <v>0.937084858666667</v>
      </c>
      <c r="AI70" s="57" t="n">
        <f aca="false">I55/$V28</f>
        <v>0.959372193333333</v>
      </c>
      <c r="AJ70" s="57" t="n">
        <f aca="false">J55/$V28</f>
        <v>0.982849482666667</v>
      </c>
      <c r="AK70" s="57" t="n">
        <f aca="false">K55/$V28</f>
        <v>0.989004023173334</v>
      </c>
      <c r="AL70" s="57" t="n">
        <f aca="false">L55/$V28</f>
        <v>0.987686641860406</v>
      </c>
      <c r="AM70" s="57" t="n">
        <f aca="false">M55/$V28</f>
        <v>0.979664136559052</v>
      </c>
      <c r="AN70" s="57" t="n">
        <f aca="false">N55/$V28</f>
        <v>0.96726596491922</v>
      </c>
      <c r="AO70" s="57" t="n">
        <f aca="false">O55/$V28</f>
        <v>0.952221020097212</v>
      </c>
      <c r="AP70" s="57" t="n">
        <f aca="false">P55/$V28</f>
        <v>0.933941936451219</v>
      </c>
      <c r="AQ70" s="57" t="n">
        <f aca="false">Q55/$V28</f>
        <v>0.91172466256966</v>
      </c>
      <c r="AR70" s="57" t="n">
        <f aca="false">R55/$V28</f>
        <v>0.885189722139888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 Sobrecarga de apoio (população/idade 15-64) (0 - 1,8)</v>
      </c>
      <c r="V71" s="25" t="n">
        <v>1.8</v>
      </c>
      <c r="W71" s="70" t="n">
        <f aca="false">W75</f>
        <v>1.8</v>
      </c>
      <c r="AA71" s="29" t="str">
        <f aca="false">CONCATENATE(A56," (0 - ",W70/1000," Gp)")</f>
        <v>Pessoas de países não pertencentes à OCDE, com idade entre 15 e 64 anos (0 - 0,5 Gp)</v>
      </c>
      <c r="AB71" s="57" t="n">
        <f aca="false">B56/$W70</f>
        <v>0.758408926</v>
      </c>
      <c r="AC71" s="57" t="n">
        <f aca="false">C56/$W70</f>
        <v>0.795136828</v>
      </c>
      <c r="AD71" s="57" t="n">
        <f aca="false">D56/$W70</f>
        <v>0.832740442</v>
      </c>
      <c r="AE71" s="57" t="n">
        <f aca="false">E56/$W70</f>
        <v>0.87793721</v>
      </c>
      <c r="AF71" s="57" t="n">
        <f aca="false">F56/$W70</f>
        <v>0.909471792</v>
      </c>
      <c r="AG71" s="57" t="n">
        <f aca="false">G56/$W70</f>
        <v>0.933800366</v>
      </c>
      <c r="AH71" s="57" t="n">
        <f aca="false">H56/$W70</f>
        <v>0.949279902</v>
      </c>
      <c r="AI71" s="57" t="n">
        <f aca="false">I56/$W70</f>
        <v>0.968854516</v>
      </c>
      <c r="AJ71" s="57" t="n">
        <f aca="false">J56/$W70</f>
        <v>0.985863378</v>
      </c>
      <c r="AK71" s="57" t="n">
        <f aca="false">K56/$W70</f>
        <v>0.977557528</v>
      </c>
      <c r="AL71" s="57" t="n">
        <f aca="false">L56/$W70</f>
        <v>0.965110014</v>
      </c>
      <c r="AM71" s="57" t="n">
        <f aca="false">M56/$W70</f>
        <v>0.950409008</v>
      </c>
      <c r="AN71" s="57" t="n">
        <f aca="false">N56/$W70</f>
        <v>0.918304044</v>
      </c>
      <c r="AO71" s="57" t="n">
        <f aca="false">O56/$W70</f>
        <v>0.877758278</v>
      </c>
      <c r="AP71" s="57" t="n">
        <f aca="false">P56/$W70</f>
        <v>0.833829842</v>
      </c>
      <c r="AQ71" s="57" t="n">
        <f aca="false">Q56/$W70</f>
        <v>0.794608128</v>
      </c>
      <c r="AR71" s="57" t="n">
        <f aca="false">R56/$W70</f>
        <v>0.75767696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Pessoas de 15 a 64 anos, fora dos EUA e países da OCDE: Previsão baixa da ONU (Mp) (0 - 0,5 Gp)</v>
      </c>
      <c r="W72" s="71" t="n">
        <f aca="false">W70</f>
        <v>500</v>
      </c>
      <c r="AA72" s="29" t="str">
        <f aca="false">CONCATENATE(A59," (0 - ",W71,")")</f>
        <v> Sobrecarga de apoio (população/idade 15-64) (0 - 1,8)</v>
      </c>
      <c r="AB72" s="57" t="n">
        <f aca="false">B59/$W71</f>
        <v>0.872256240941037</v>
      </c>
      <c r="AC72" s="57" t="n">
        <f aca="false">C59/$W71</f>
        <v>0.86849684945042</v>
      </c>
      <c r="AD72" s="57" t="n">
        <f aca="false">D59/$W71</f>
        <v>0.855527393732608</v>
      </c>
      <c r="AE72" s="57" t="n">
        <f aca="false">E59/$W71</f>
        <v>0.832516896181119</v>
      </c>
      <c r="AF72" s="57" t="n">
        <f aca="false">F59/$W71</f>
        <v>0.823093433556431</v>
      </c>
      <c r="AG72" s="57" t="n">
        <f aca="false">G59/$W71</f>
        <v>0.822251155553734</v>
      </c>
      <c r="AH72" s="57" t="n">
        <f aca="false">H59/$W71</f>
        <v>0.822627812138057</v>
      </c>
      <c r="AI72" s="57" t="n">
        <f aca="false">I59/$W71</f>
        <v>0.82517737655648</v>
      </c>
      <c r="AJ72" s="57" t="n">
        <f aca="false">J59/$W71</f>
        <v>0.830785739518114</v>
      </c>
      <c r="AK72" s="57" t="n">
        <f aca="false">K59/$W71</f>
        <v>0.843091066975151</v>
      </c>
      <c r="AL72" s="57" t="n">
        <f aca="false">L59/$W71</f>
        <v>0.852827335340796</v>
      </c>
      <c r="AM72" s="57" t="n">
        <f aca="false">M59/$W71</f>
        <v>0.858984683009104</v>
      </c>
      <c r="AN72" s="57" t="n">
        <f aca="false">N59/$W71</f>
        <v>0.877764805711795</v>
      </c>
      <c r="AO72" s="57" t="n">
        <f aca="false">O59/$W71</f>
        <v>0.904027380471684</v>
      </c>
      <c r="AP72" s="57" t="n">
        <f aca="false">P59/$W71</f>
        <v>0.933385815475146</v>
      </c>
      <c r="AQ72" s="57" t="n">
        <f aca="false">Q59/$W71</f>
        <v>0.956157539004413</v>
      </c>
      <c r="AR72" s="57" t="n">
        <f aca="false">R59/$W71</f>
        <v>0.973578636709819</v>
      </c>
    </row>
    <row r="73" s="3" customFormat="true" ht="11.25" hidden="false" customHeight="false" outlineLevel="0" collapsed="false">
      <c r="S73" s="28"/>
      <c r="T73" s="13"/>
      <c r="U73" s="58" t="str">
        <f aca="false">AA74</f>
        <v> Sobrecarga de apoio ONU Baixa (população/idade 15-64) (0 - 1,8)</v>
      </c>
      <c r="W73" s="71" t="n">
        <f aca="false">W71</f>
        <v>1.8</v>
      </c>
      <c r="Y73" s="72"/>
      <c r="AA73" s="29" t="str">
        <f aca="false">CONCATENATE(A66," (0 - ",W72/1000," Gp)")</f>
        <v> Pessoas de 15 a 64 anos, fora dos EUA e países da OCDE: Previsão baixa da ONU (Mp) (0 - 0,5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0.977557528</v>
      </c>
      <c r="AL73" s="57" t="n">
        <f aca="false">L66/$W72</f>
        <v>0.965110014</v>
      </c>
      <c r="AM73" s="57" t="n">
        <f aca="false">M66/$W72</f>
        <v>0.950409008</v>
      </c>
      <c r="AN73" s="57" t="n">
        <f aca="false">N66/$W72</f>
        <v>0.918304044</v>
      </c>
      <c r="AO73" s="57" t="n">
        <f aca="false">O66/$W72</f>
        <v>0.877758278</v>
      </c>
      <c r="AP73" s="57" t="n">
        <f aca="false">P66/$W72</f>
        <v>0.833829842</v>
      </c>
      <c r="AQ73" s="57" t="n">
        <f aca="false">Q66/$W72</f>
        <v>0.794608128</v>
      </c>
      <c r="AR73" s="57" t="n">
        <f aca="false">R66/$W72</f>
        <v>0.75767696</v>
      </c>
    </row>
    <row r="74" s="3" customFormat="true" ht="11.25" hidden="false" customHeight="false" outlineLevel="0" collapsed="false">
      <c r="S74" s="28"/>
      <c r="T74" s="13"/>
      <c r="U74" s="37" t="str">
        <f aca="false">AA75</f>
        <v> Pessoas de países da OCDE, exceto EUA, com idade entre 15 e 64 anos (0 - 0,5 Gp). Sua previsão.</v>
      </c>
      <c r="W74" s="4" t="n">
        <v>500</v>
      </c>
      <c r="Y74" s="72"/>
      <c r="AA74" s="29" t="str">
        <f aca="false">CONCATENATE(A67," (0 - ",W73,")")</f>
        <v> Sobrecarga de apoio ONU Baixa (população/idade 15-64) (0 - 1,8)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0.844631030473966</v>
      </c>
      <c r="AL74" s="57" t="n">
        <f aca="false">L67/$W73</f>
        <v>0.855772729668424</v>
      </c>
      <c r="AM74" s="57" t="n">
        <f aca="false">M67/$W73</f>
        <v>0.863865004762478</v>
      </c>
      <c r="AN74" s="57" t="n">
        <f aca="false">N67/$W73</f>
        <v>0.885866979803913</v>
      </c>
      <c r="AO74" s="57" t="n">
        <f aca="false">O67/$W73</f>
        <v>0.914889434337462</v>
      </c>
      <c r="AP74" s="57" t="n">
        <f aca="false">P67/$W73</f>
        <v>0.946916731829908</v>
      </c>
      <c r="AQ74" s="57" t="n">
        <f aca="false">Q67/$W73</f>
        <v>0.972220923189169</v>
      </c>
      <c r="AR74" s="57" t="n">
        <f aca="false">R67/$W73</f>
        <v>0.992430539849654</v>
      </c>
    </row>
    <row r="75" s="3" customFormat="true" ht="11.25" hidden="false" customHeight="false" outlineLevel="0" collapsed="false">
      <c r="S75" s="28"/>
      <c r="T75" s="13"/>
      <c r="U75" s="37" t="str">
        <f aca="false">AA76</f>
        <v> Sobrecarga de apoio (população/idade 15-64) (0 - 1,8) Sua previsão</v>
      </c>
      <c r="W75" s="4" t="n">
        <v>1.8</v>
      </c>
      <c r="AA75" s="29" t="str">
        <f aca="false">CONCATENATE(AA71," Your forecast")</f>
        <v> Pessoas de países da OCDE, exceto EUA, com idade entre 15 e 64 anos (0 - 0,5 Gp). Sua previsão.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0.977557528</v>
      </c>
      <c r="AL75" s="57" t="n">
        <f aca="false">L61/$W74</f>
        <v>0.94580781372</v>
      </c>
      <c r="AM75" s="57" t="n">
        <f aca="false">M61/$W74</f>
        <v>0.93140082784</v>
      </c>
      <c r="AN75" s="57" t="n">
        <f aca="false">N61/$W74</f>
        <v>0.89993796312</v>
      </c>
      <c r="AO75" s="57" t="n">
        <f aca="false">O61/$W74</f>
        <v>0.86020311244</v>
      </c>
      <c r="AP75" s="57" t="n">
        <f aca="false">P61/$W74</f>
        <v>0.81715324516</v>
      </c>
      <c r="AQ75" s="57" t="n">
        <f aca="false">Q61/$W74</f>
        <v>0.77871596544</v>
      </c>
      <c r="AR75" s="57" t="n">
        <f aca="false">R61/$W74</f>
        <v>0.7425234208</v>
      </c>
    </row>
    <row r="76" s="3" customFormat="true" ht="11.25" hidden="false" customHeight="false" outlineLevel="0" collapsed="false">
      <c r="S76" s="28"/>
      <c r="T76" s="13"/>
      <c r="AA76" s="29" t="str">
        <f aca="false">CONCATENATE(AA72," Your forecast ")</f>
        <v> Sobrecarga de apoio (população/idade 15-64) (0 - 1,8)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0.843091066975151</v>
      </c>
      <c r="AL76" s="57" t="n">
        <f aca="false">L63/$W75</f>
        <v>0.870255189231525</v>
      </c>
      <c r="AM76" s="57" t="n">
        <f aca="false">M63/$W75</f>
        <v>0.876681924754438</v>
      </c>
      <c r="AN76" s="57" t="n">
        <f aca="false">N63/$W75</f>
        <v>0.896078620479974</v>
      </c>
      <c r="AO76" s="57" t="n">
        <f aca="false">O63/$W75</f>
        <v>0.92318077159864</v>
      </c>
      <c r="AP76" s="57" t="n">
        <f aca="false">P63/$W75</f>
        <v>0.953534320924692</v>
      </c>
      <c r="AQ76" s="57" t="n">
        <f aca="false">Q63/$W75</f>
        <v>0.977273665545535</v>
      </c>
      <c r="AR76" s="57" t="n">
        <f aca="false">R63/$W75</f>
        <v>0.995676078181565</v>
      </c>
    </row>
    <row r="77" customFormat="false" ht="11.25" hidden="false" customHeight="false" outlineLevel="0" collapsed="false">
      <c r="T77" s="13"/>
    </row>
    <row r="78" customFormat="false" ht="11.25" hidden="false" customHeight="false" outlineLevel="0" collapsed="false"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OCDE (excluindo EUA) de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175</v>
      </c>
      <c r="B96" s="74" t="n">
        <v>8.0601523701427</v>
      </c>
      <c r="C96" s="74" t="n">
        <v>9.64417111611257</v>
      </c>
      <c r="D96" s="74" t="n">
        <v>11.4565226041584</v>
      </c>
      <c r="E96" s="74" t="n">
        <v>12.616682108126</v>
      </c>
      <c r="F96" s="74" t="n">
        <v>15.4525796383615</v>
      </c>
      <c r="G96" s="74" t="n">
        <v>16.95702974134</v>
      </c>
      <c r="H96" s="74" t="n">
        <v>19.3777579831424</v>
      </c>
      <c r="I96" s="74" t="n">
        <v>21.4454293886402</v>
      </c>
      <c r="J96" s="74" t="n">
        <v>22.0211424655663</v>
      </c>
      <c r="K96" s="75" t="n">
        <f aca="false">K97*K98/1000000</f>
        <v>23.3641085142743</v>
      </c>
      <c r="L96" s="75" t="n">
        <f aca="false">L97*L98/1000000</f>
        <v>24.5082696951679</v>
      </c>
      <c r="M96" s="75" t="n">
        <f aca="false">M97*M98/1000000</f>
        <v>25.4623704533066</v>
      </c>
      <c r="N96" s="75" t="n">
        <f aca="false">N97*N98/1000000</f>
        <v>25.7708543841576</v>
      </c>
      <c r="O96" s="75" t="n">
        <f aca="false">O97*O98/1000000</f>
        <v>25.6183168866672</v>
      </c>
      <c r="P96" s="75" t="n">
        <f aca="false">P97*P98/1000000</f>
        <v>25.1271454581234</v>
      </c>
      <c r="Q96" s="75" t="n">
        <f aca="false">Q97*Q98/1000000</f>
        <v>24.543844360064</v>
      </c>
      <c r="R96" s="75" t="n">
        <f aca="false">R97*R98/1000000</f>
        <v>23.8126694893583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173</v>
      </c>
      <c r="B97" s="26" t="n">
        <f aca="false">B56</f>
        <v>379.204463</v>
      </c>
      <c r="C97" s="26" t="n">
        <f aca="false">C56</f>
        <v>397.568414</v>
      </c>
      <c r="D97" s="26" t="n">
        <f aca="false">D56</f>
        <v>416.370221</v>
      </c>
      <c r="E97" s="26" t="n">
        <f aca="false">E56</f>
        <v>438.968605</v>
      </c>
      <c r="F97" s="26" t="n">
        <f aca="false">F56</f>
        <v>454.735896</v>
      </c>
      <c r="G97" s="26" t="n">
        <f aca="false">G56</f>
        <v>466.900183</v>
      </c>
      <c r="H97" s="26" t="n">
        <f aca="false">H56</f>
        <v>474.639951</v>
      </c>
      <c r="I97" s="26" t="n">
        <f aca="false">I56</f>
        <v>484.427258</v>
      </c>
      <c r="J97" s="26" t="n">
        <f aca="false">J56</f>
        <v>492.931689</v>
      </c>
      <c r="K97" s="27" t="n">
        <f aca="false">K56</f>
        <v>488.778764</v>
      </c>
      <c r="L97" s="27" t="n">
        <f aca="false">L56</f>
        <v>482.555007</v>
      </c>
      <c r="M97" s="27" t="n">
        <f aca="false">M56</f>
        <v>475.204504</v>
      </c>
      <c r="N97" s="27" t="n">
        <f aca="false">N56</f>
        <v>459.152022</v>
      </c>
      <c r="O97" s="27" t="n">
        <f aca="false">O56</f>
        <v>438.879139</v>
      </c>
      <c r="P97" s="27" t="n">
        <f aca="false">P56</f>
        <v>416.914921</v>
      </c>
      <c r="Q97" s="27" t="n">
        <f aca="false">Q56</f>
        <v>397.304064</v>
      </c>
      <c r="R97" s="27" t="n">
        <f aca="false">R56</f>
        <v>378.83848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21255.4259155507</v>
      </c>
      <c r="C98" s="27" t="n">
        <f aca="false">C96/C97*1000000</f>
        <v>24257.8906585687</v>
      </c>
      <c r="D98" s="27" t="n">
        <f aca="false">D96/D97*1000000</f>
        <v>27515.2305000178</v>
      </c>
      <c r="E98" s="27" t="n">
        <f aca="false">E96/E97*1000000</f>
        <v>28741.6502328816</v>
      </c>
      <c r="F98" s="27" t="n">
        <f aca="false">F96/F97*1000000</f>
        <v>33981.4379605553</v>
      </c>
      <c r="G98" s="27" t="n">
        <f aca="false">G96/G97*1000000</f>
        <v>36318.3189014513</v>
      </c>
      <c r="H98" s="27" t="n">
        <f aca="false">H96/H97*1000000</f>
        <v>40826.2261579882</v>
      </c>
      <c r="I98" s="27" t="n">
        <f aca="false">I96/I97*1000000</f>
        <v>44269.6587247784</v>
      </c>
      <c r="J98" s="27" t="n">
        <f aca="false">J96/J97*1000000</f>
        <v>44673.821864121</v>
      </c>
      <c r="K98" s="27" t="n">
        <f aca="false">J98*(1+K99 /100*5)</f>
        <v>47800.9893946095</v>
      </c>
      <c r="L98" s="27" t="n">
        <f aca="false">K98*(1+L99 /100*5)</f>
        <v>50788.5512317726</v>
      </c>
      <c r="M98" s="27" t="n">
        <f aca="false">L98*(1+M99 /100*5)</f>
        <v>53581.9215495201</v>
      </c>
      <c r="N98" s="27" t="n">
        <f aca="false">M98*(1+N99 /100*5)</f>
        <v>56127.0628231223</v>
      </c>
      <c r="O98" s="27" t="n">
        <f aca="false">N98*(1+O99 /100*5)</f>
        <v>58372.1453360472</v>
      </c>
      <c r="P98" s="27" t="n">
        <f aca="false">O98*(1+P99 /100*5)</f>
        <v>60269.2400594687</v>
      </c>
      <c r="Q98" s="27" t="n">
        <f aca="false">P98*(1+Q99 /100*5)</f>
        <v>61775.9710609554</v>
      </c>
      <c r="R98" s="27" t="n">
        <f aca="false">Q98*(1+R99 /100*5)</f>
        <v>62857.0505545221</v>
      </c>
      <c r="S98" s="76" t="s">
        <v>57</v>
      </c>
      <c r="T98" s="13"/>
      <c r="U98" s="41"/>
    </row>
    <row r="99" customFormat="false" ht="11.25" hidden="false" customHeight="false" outlineLevel="0" collapsed="false">
      <c r="A99" s="11" t="s">
        <v>59</v>
      </c>
      <c r="B99" s="75"/>
      <c r="C99" s="75" t="n">
        <f aca="false">(((C98/B98)-1)/5)*100</f>
        <v>2.82512780966793</v>
      </c>
      <c r="D99" s="75" t="n">
        <f aca="false">(((D98/C98)-1)/5)*100</f>
        <v>2.6855919892594</v>
      </c>
      <c r="E99" s="75" t="n">
        <f aca="false">(((E98/D98)-1)/5)*100</f>
        <v>0.891447907632852</v>
      </c>
      <c r="F99" s="75" t="n">
        <f aca="false">(((F98/E98)-1)/5)*100</f>
        <v>3.64612865664837</v>
      </c>
      <c r="G99" s="75" t="n">
        <f aca="false">(((G98/F98)-1)/5)*100</f>
        <v>1.37538672943065</v>
      </c>
      <c r="H99" s="75" t="n">
        <f aca="false">(((H98/G98)-1)/5)*100</f>
        <v>2.48244268616562</v>
      </c>
      <c r="I99" s="75" t="n">
        <f aca="false">(((I98/H98)-1)/5)*100</f>
        <v>1.68687282212414</v>
      </c>
      <c r="J99" s="75" t="n">
        <f aca="false">(((J98/I98)-1)/5)*100</f>
        <v>0.182591486351993</v>
      </c>
      <c r="K99" s="78" t="n">
        <v>1.4</v>
      </c>
      <c r="L99" s="78" t="n">
        <v>1.25</v>
      </c>
      <c r="M99" s="78" t="n">
        <v>1.1</v>
      </c>
      <c r="N99" s="78" t="n">
        <v>0.95</v>
      </c>
      <c r="O99" s="78" t="n">
        <v>0.8</v>
      </c>
      <c r="P99" s="78" t="n">
        <v>0.65</v>
      </c>
      <c r="Q99" s="78" t="n">
        <v>0.5</v>
      </c>
      <c r="R99" s="78" t="n">
        <v>0.35</v>
      </c>
      <c r="S99" s="76" t="s">
        <v>60</v>
      </c>
      <c r="T99" s="13"/>
      <c r="U99" s="41"/>
    </row>
    <row r="100" customFormat="false" ht="11.25" hidden="false" customHeight="false" outlineLevel="0" collapsed="false">
      <c r="A100" s="11" t="str">
        <f aca="false">A9</f>
        <v> População, EUA sem a OCDE</v>
      </c>
      <c r="B100" s="26" t="n">
        <f aca="false">B9</f>
        <v>595.374227</v>
      </c>
      <c r="C100" s="26" t="n">
        <f aca="false">C9</f>
        <v>621.516447</v>
      </c>
      <c r="D100" s="26" t="n">
        <f aca="false">D9</f>
        <v>641.189034</v>
      </c>
      <c r="E100" s="26" t="n">
        <f aca="false">E9</f>
        <v>657.807805</v>
      </c>
      <c r="F100" s="26" t="n">
        <f aca="false">F9</f>
        <v>673.722234</v>
      </c>
      <c r="G100" s="26" t="n">
        <f aca="false">G9</f>
        <v>691.036587</v>
      </c>
      <c r="H100" s="26" t="n">
        <f aca="false">H9</f>
        <v>702.813644</v>
      </c>
      <c r="I100" s="26" t="n">
        <f aca="false">I9</f>
        <v>719.529145</v>
      </c>
      <c r="J100" s="26" t="n">
        <f aca="false">J9</f>
        <v>737.137112</v>
      </c>
      <c r="K100" s="27" t="n">
        <f aca="false">K9</f>
        <v>741.75301738</v>
      </c>
      <c r="L100" s="27" t="n">
        <f aca="false">L9</f>
        <v>740.764981395305</v>
      </c>
      <c r="M100" s="27" t="n">
        <f aca="false">M9</f>
        <v>734.748102419289</v>
      </c>
      <c r="N100" s="27" t="n">
        <f aca="false">N9</f>
        <v>725.449473689415</v>
      </c>
      <c r="O100" s="27" t="n">
        <f aca="false">O9</f>
        <v>714.165765072909</v>
      </c>
      <c r="P100" s="27" t="n">
        <f aca="false">P9</f>
        <v>700.456452338414</v>
      </c>
      <c r="Q100" s="27" t="n">
        <f aca="false">Q9</f>
        <v>683.793496927245</v>
      </c>
      <c r="R100" s="27" t="n">
        <f aca="false">R9</f>
        <v>663.892291604916</v>
      </c>
      <c r="S100" s="76" t="s">
        <v>17</v>
      </c>
      <c r="T100" s="13"/>
      <c r="U100" s="41"/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13537.9598320145</v>
      </c>
      <c r="C101" s="27" t="n">
        <f aca="false">C96/C100*1000000</f>
        <v>15517.1615532687</v>
      </c>
      <c r="D101" s="27" t="n">
        <f aca="false">D96/D100*1000000</f>
        <v>17867.6209302705</v>
      </c>
      <c r="E101" s="27" t="n">
        <f aca="false">E96/E100*1000000</f>
        <v>19179.8911661226</v>
      </c>
      <c r="F101" s="27" t="n">
        <f aca="false">F96/F100*1000000</f>
        <v>22936.1283605218</v>
      </c>
      <c r="G101" s="27" t="n">
        <f aca="false">G96/G100*1000000</f>
        <v>24538.5411718294</v>
      </c>
      <c r="H101" s="27" t="n">
        <f aca="false">H96/H100*1000000</f>
        <v>27571.6872439409</v>
      </c>
      <c r="I101" s="27" t="n">
        <f aca="false">I96/I100*1000000</f>
        <v>29804.8099061229</v>
      </c>
      <c r="J101" s="27" t="n">
        <f aca="false">J96/J100*1000000</f>
        <v>29873.8757106104</v>
      </c>
      <c r="K101" s="27" t="n">
        <f aca="false">K96/K100*1000000</f>
        <v>31498.5014780262</v>
      </c>
      <c r="L101" s="27" t="n">
        <f aca="false">L96/L100*1000000</f>
        <v>33085.0813830374</v>
      </c>
      <c r="M101" s="27" t="n">
        <f aca="false">M96/M100*1000000</f>
        <v>34654.5576224929</v>
      </c>
      <c r="N101" s="27" t="n">
        <f aca="false">N96/N100*1000000</f>
        <v>35523.9824671661</v>
      </c>
      <c r="O101" s="27" t="n">
        <f aca="false">O96/O100*1000000</f>
        <v>35871.6675309294</v>
      </c>
      <c r="P101" s="27" t="n">
        <f aca="false">P96/P100*1000000</f>
        <v>35872.5305109812</v>
      </c>
      <c r="Q101" s="27" t="n">
        <f aca="false">Q96/Q100*1000000</f>
        <v>35893.6498670379</v>
      </c>
      <c r="R101" s="27" t="n">
        <f aca="false">R96/R100*1000000</f>
        <v>35868.2722942795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6"/>
      <c r="T102" s="13"/>
      <c r="U102" s="36"/>
    </row>
    <row r="103" customFormat="false" ht="11.25" hidden="false" customHeight="false" outlineLevel="0" collapsed="false">
      <c r="A103" s="63"/>
      <c r="B103" s="41"/>
      <c r="C103" s="41"/>
      <c r="D103" s="41"/>
      <c r="E103" s="47"/>
      <c r="F103" s="47"/>
      <c r="G103" s="80"/>
      <c r="H103" s="80"/>
      <c r="I103" s="81"/>
      <c r="J103" s="82" t="s">
        <v>65</v>
      </c>
      <c r="K103" s="83" t="n">
        <f aca="false">K99</f>
        <v>1.4</v>
      </c>
      <c r="L103" s="83" t="n">
        <f aca="false">L99*0.95</f>
        <v>1.1875</v>
      </c>
      <c r="M103" s="83" t="n">
        <f aca="false">M99*0.95</f>
        <v>1.045</v>
      </c>
      <c r="N103" s="83" t="n">
        <f aca="false">N99*0.95</f>
        <v>0.9025</v>
      </c>
      <c r="O103" s="83" t="n">
        <f aca="false">O99*0.95</f>
        <v>0.76</v>
      </c>
      <c r="P103" s="83" t="n">
        <f aca="false">P99*0.95</f>
        <v>0.6175</v>
      </c>
      <c r="Q103" s="83" t="n">
        <f aca="false">Q99*0.95</f>
        <v>0.475</v>
      </c>
      <c r="R103" s="83" t="n">
        <f aca="false">R99*0.95</f>
        <v>0.3325</v>
      </c>
      <c r="S103" s="76" t="s">
        <v>60</v>
      </c>
      <c r="T103" s="13"/>
    </row>
    <row r="104" customFormat="false" ht="11.25" hidden="false" customHeight="fals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dos EUA (excluindo a OCDE): sua previsão</v>
      </c>
      <c r="K104" s="43" t="n">
        <f aca="false">K105*K61/1000000</f>
        <v>23.3641085142743</v>
      </c>
      <c r="L104" s="43" t="n">
        <f aca="false">L105*L61/1000000</f>
        <v>23.9474628180255</v>
      </c>
      <c r="M104" s="43" t="n">
        <f aca="false">M105*M61/1000000</f>
        <v>24.8148791251725</v>
      </c>
      <c r="N104" s="43" t="n">
        <f aca="false">N105*N61/1000000</f>
        <v>25.0585740195756</v>
      </c>
      <c r="O104" s="43" t="n">
        <f aca="false">O105*O61/1000000</f>
        <v>24.8623481725835</v>
      </c>
      <c r="P104" s="43" t="n">
        <f aca="false">P105*P61/1000000</f>
        <v>24.3472912947185</v>
      </c>
      <c r="Q104" s="43" t="n">
        <f aca="false">Q105*Q61/1000000</f>
        <v>23.7530911637235</v>
      </c>
      <c r="R104" s="43" t="n">
        <f aca="false">R105*R61/1000000</f>
        <v>23.0256552990849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J98*(1+K103/100*5)</f>
        <v>47800.9893946095</v>
      </c>
      <c r="L105" s="84" t="n">
        <f aca="false">K105*(1+L103/100*5)</f>
        <v>50639.1731399144</v>
      </c>
      <c r="M105" s="84" t="n">
        <f aca="false">L105*(1+M103/100*5)</f>
        <v>53285.0699364749</v>
      </c>
      <c r="N105" s="84" t="n">
        <f aca="false">M105*(1+N103/100*5)</f>
        <v>55689.5587173584</v>
      </c>
      <c r="O105" s="84" t="n">
        <f aca="false">N105*(1+O103/100*5)</f>
        <v>57805.761948618</v>
      </c>
      <c r="P105" s="84" t="n">
        <f aca="false">O105*(1+P103/100*5)</f>
        <v>59590.5148487816</v>
      </c>
      <c r="Q105" s="84" t="n">
        <f aca="false">P105*(1+Q103/100*5)</f>
        <v>61005.7895764401</v>
      </c>
      <c r="R105" s="84" t="n">
        <f aca="false">Q105*(1+R103/100*5)</f>
        <v>62020.0108281484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5" t="s">
        <v>37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PIB da OCDE excluindo os EUA (0 - 18 trilhões de dólares/ano)</v>
      </c>
      <c r="V108" s="25" t="n">
        <v>28</v>
      </c>
      <c r="W108" s="70" t="n">
        <v>18</v>
      </c>
      <c r="AA108" s="29" t="str">
        <f aca="false">CONCATENATE(A96," (0 - ",W108," T$ / yr)")</f>
        <v> PIB da OCDE excluindo os EUA (0 - 18 trilhões de dólares/ano)</v>
      </c>
      <c r="AB108" s="57" t="n">
        <f aca="false">B96/$W108</f>
        <v>0.447786242785706</v>
      </c>
      <c r="AC108" s="57" t="n">
        <f aca="false">C96/$W108</f>
        <v>0.535787284228476</v>
      </c>
      <c r="AD108" s="57" t="n">
        <f aca="false">D96/$W108</f>
        <v>0.636473478008797</v>
      </c>
      <c r="AE108" s="57" t="n">
        <f aca="false">E96/$W108</f>
        <v>0.700926783784776</v>
      </c>
      <c r="AF108" s="57" t="n">
        <f aca="false">F96/$W108</f>
        <v>0.858476646575641</v>
      </c>
      <c r="AG108" s="57" t="n">
        <f aca="false">G96/$W108</f>
        <v>0.94205720785222</v>
      </c>
      <c r="AH108" s="57" t="n">
        <f aca="false">H96/$W108</f>
        <v>1.07654211017458</v>
      </c>
      <c r="AI108" s="57" t="n">
        <f aca="false">I96/$W108</f>
        <v>1.19141274381334</v>
      </c>
      <c r="AJ108" s="57" t="n">
        <f aca="false">J96/$W108</f>
        <v>1.22339680364257</v>
      </c>
      <c r="AK108" s="57" t="n">
        <f aca="false">K96/$W108</f>
        <v>1.2980060285708</v>
      </c>
      <c r="AL108" s="57" t="n">
        <f aca="false">L96/$W108</f>
        <v>1.36157053862044</v>
      </c>
      <c r="AM108" s="57" t="n">
        <f aca="false">M96/$W108</f>
        <v>1.41457613629481</v>
      </c>
      <c r="AN108" s="57" t="n">
        <f aca="false">N96/$W108</f>
        <v>1.4317141324532</v>
      </c>
      <c r="AO108" s="57" t="n">
        <f aca="false">O96/$W108</f>
        <v>1.42323982703707</v>
      </c>
      <c r="AP108" s="57" t="n">
        <f aca="false">P96/$W108</f>
        <v>1.3959525254513</v>
      </c>
      <c r="AQ108" s="57" t="n">
        <f aca="false">Q96/$W108</f>
        <v>1.36354690889244</v>
      </c>
      <c r="AR108" s="57" t="n">
        <f aca="false">R96/$W108</f>
        <v>1.32292608274213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(0 - 65000 $ / pessoa-ano)</v>
      </c>
      <c r="V109" s="25" t="n">
        <v>65000</v>
      </c>
      <c r="W109" s="70" t="n">
        <f aca="false">W112</f>
        <v>65000</v>
      </c>
      <c r="AA109" s="29" t="str">
        <f aca="false">CONCATENATE(A98," (0 - ",W109," $ / person-yr)")</f>
        <v> Produtividade do trabalho (0 - 65000 $ / pessoa-ano)</v>
      </c>
      <c r="AB109" s="57" t="n">
        <f aca="false">B98/$W109</f>
        <v>0.327006552546935</v>
      </c>
      <c r="AC109" s="57" t="n">
        <f aca="false">C98/$W109</f>
        <v>0.373198317824134</v>
      </c>
      <c r="AD109" s="57" t="n">
        <f aca="false">D98/$W109</f>
        <v>0.423311238461812</v>
      </c>
      <c r="AE109" s="57" t="n">
        <f aca="false">E98/$W109</f>
        <v>0.442179234352025</v>
      </c>
      <c r="AF109" s="57" t="n">
        <f aca="false">F98/$W109</f>
        <v>0.522791353239313</v>
      </c>
      <c r="AG109" s="57" t="n">
        <f aca="false">G98/$W109</f>
        <v>0.558743367714635</v>
      </c>
      <c r="AH109" s="57" t="n">
        <f aca="false">H98/$W109</f>
        <v>0.628095787045972</v>
      </c>
      <c r="AI109" s="57" t="n">
        <f aca="false">I98/$W109</f>
        <v>0.681071672688898</v>
      </c>
      <c r="AJ109" s="57" t="n">
        <f aca="false">J98/$W109</f>
        <v>0.687289567140323</v>
      </c>
      <c r="AK109" s="57" t="n">
        <f aca="false">K98/$W109</f>
        <v>0.735399836840146</v>
      </c>
      <c r="AL109" s="57" t="n">
        <f aca="false">L98/$W109</f>
        <v>0.781362326642655</v>
      </c>
      <c r="AM109" s="57" t="n">
        <f aca="false">M98/$W109</f>
        <v>0.824337254608001</v>
      </c>
      <c r="AN109" s="57" t="n">
        <f aca="false">N98/$W109</f>
        <v>0.863493274201881</v>
      </c>
      <c r="AO109" s="57" t="n">
        <f aca="false">O98/$W109</f>
        <v>0.898033005169956</v>
      </c>
      <c r="AP109" s="57" t="n">
        <f aca="false">P98/$W109</f>
        <v>0.92721907783798</v>
      </c>
      <c r="AQ109" s="57" t="n">
        <f aca="false">Q98/$W109</f>
        <v>0.950399554783929</v>
      </c>
      <c r="AR109" s="57" t="n">
        <f aca="false">R98/$W109</f>
        <v>0.967031546992648</v>
      </c>
    </row>
    <row r="110" customFormat="false" ht="11.25" hidden="false" customHeight="false" outlineLevel="0" collapsed="false">
      <c r="T110" s="13"/>
      <c r="U110" s="15" t="str">
        <f aca="false">AA110</f>
        <v> PIB per capita (0 - 50.000 $ / pessoa-ano)</v>
      </c>
      <c r="V110" s="25" t="n">
        <v>36000</v>
      </c>
      <c r="W110" s="70" t="n">
        <v>50000</v>
      </c>
      <c r="AA110" s="29" t="str">
        <f aca="false">CONCATENATE(A101," (0 - ",W110," $ / person-yr)")</f>
        <v>PIB per capita (0 - 50.000 $ / pessoa-ano)</v>
      </c>
      <c r="AB110" s="57" t="n">
        <f aca="false">B101/$W110</f>
        <v>0.270759196640291</v>
      </c>
      <c r="AC110" s="57" t="n">
        <f aca="false">C101/$W110</f>
        <v>0.310343231065374</v>
      </c>
      <c r="AD110" s="57" t="n">
        <f aca="false">D101/$W110</f>
        <v>0.357352418605411</v>
      </c>
      <c r="AE110" s="57" t="n">
        <f aca="false">E101/$W110</f>
        <v>0.383597823322451</v>
      </c>
      <c r="AF110" s="57" t="n">
        <f aca="false">F101/$W110</f>
        <v>0.458722567210437</v>
      </c>
      <c r="AG110" s="57" t="n">
        <f aca="false">G101/$W110</f>
        <v>0.490770823436588</v>
      </c>
      <c r="AH110" s="57" t="n">
        <f aca="false">H101/$W110</f>
        <v>0.551433744878818</v>
      </c>
      <c r="AI110" s="57" t="n">
        <f aca="false">I101/$W110</f>
        <v>0.596096198122459</v>
      </c>
      <c r="AJ110" s="57" t="n">
        <f aca="false">J101/$W110</f>
        <v>0.597477514212208</v>
      </c>
      <c r="AK110" s="57" t="n">
        <f aca="false">K101/$W110</f>
        <v>0.629970029560524</v>
      </c>
      <c r="AL110" s="57" t="n">
        <f aca="false">L101/$W110</f>
        <v>0.661701627660749</v>
      </c>
      <c r="AM110" s="57" t="n">
        <f aca="false">M101/$W110</f>
        <v>0.693091152449859</v>
      </c>
      <c r="AN110" s="57" t="n">
        <f aca="false">N101/$W110</f>
        <v>0.710479649343322</v>
      </c>
      <c r="AO110" s="57" t="n">
        <f aca="false">O101/$W110</f>
        <v>0.717433350618589</v>
      </c>
      <c r="AP110" s="57" t="n">
        <f aca="false">P101/$W110</f>
        <v>0.717450610219625</v>
      </c>
      <c r="AQ110" s="57" t="n">
        <f aca="false">Q101/$W110</f>
        <v>0.717872997340757</v>
      </c>
      <c r="AR110" s="57" t="n">
        <f aca="false">R101/$W110</f>
        <v>0.71736544588559</v>
      </c>
    </row>
    <row r="111" customFormat="false" ht="11.25" hidden="false" customHeight="false" outlineLevel="0" collapsed="false">
      <c r="T111" s="13"/>
      <c r="U111" s="15" t="str">
        <f aca="false">AA111</f>
        <v> Crescimento da produtividade (0 - 4 % / ano)</v>
      </c>
      <c r="V111" s="86" t="n">
        <v>4</v>
      </c>
      <c r="W111" s="70" t="n">
        <f aca="false">W113</f>
        <v>4</v>
      </c>
      <c r="AA111" s="29" t="str">
        <f aca="false">CONCATENATE(A99," (0 - ",W111," % / yr)")</f>
        <v> Crescimento da produtividade (0 - 4 % / ano)</v>
      </c>
      <c r="AB111" s="57"/>
      <c r="AC111" s="57" t="n">
        <f aca="false">C99/$W111</f>
        <v>0.706281952416982</v>
      </c>
      <c r="AD111" s="57" t="n">
        <f aca="false">D99/$W111</f>
        <v>0.671397997314849</v>
      </c>
      <c r="AE111" s="57" t="n">
        <f aca="false">E99/$W111</f>
        <v>0.222861976908213</v>
      </c>
      <c r="AF111" s="57" t="n">
        <f aca="false">F99/$W111</f>
        <v>0.911532164162092</v>
      </c>
      <c r="AG111" s="57" t="n">
        <f aca="false">G99/$W111</f>
        <v>0.343846682357664</v>
      </c>
      <c r="AH111" s="57" t="n">
        <f aca="false">H99/$W111</f>
        <v>0.620610671541404</v>
      </c>
      <c r="AI111" s="57" t="n">
        <f aca="false">I99/$W111</f>
        <v>0.421718205531035</v>
      </c>
      <c r="AJ111" s="57" t="n">
        <f aca="false">J99/$W111</f>
        <v>0.0456478715879982</v>
      </c>
      <c r="AK111" s="57" t="n">
        <f aca="false">K99/$W111</f>
        <v>0.35</v>
      </c>
      <c r="AL111" s="57" t="n">
        <f aca="false">L99/$W111</f>
        <v>0.3125</v>
      </c>
      <c r="AM111" s="57" t="n">
        <f aca="false">M99/$W111</f>
        <v>0.275</v>
      </c>
      <c r="AN111" s="57" t="n">
        <f aca="false">N99/$W111</f>
        <v>0.2375</v>
      </c>
      <c r="AO111" s="57" t="n">
        <f aca="false">O99/$W111</f>
        <v>0.2</v>
      </c>
      <c r="AP111" s="57" t="n">
        <f aca="false">P99/$W111</f>
        <v>0.1625</v>
      </c>
      <c r="AQ111" s="57" t="n">
        <f aca="false">Q99/$W111</f>
        <v>0.125</v>
      </c>
      <c r="AR111" s="57" t="n">
        <f aca="false">R99/$W111</f>
        <v>0.0875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(0 - 65.000 $/pessoa-ano) Sua previsão</v>
      </c>
      <c r="W112" s="4" t="n">
        <v>65000</v>
      </c>
      <c r="AA112" s="29" t="str">
        <f aca="false">CONCATENATE(A98," (0 - ",W112," $ / person-yr) Your forecast")</f>
        <v> Produtividade do trabalho (0 - 65.000 $/pessoa-ano)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0.735399836840146</v>
      </c>
      <c r="AL112" s="57" t="n">
        <f aca="false">L105/$W112</f>
        <v>0.779064202152529</v>
      </c>
      <c r="AM112" s="57" t="n">
        <f aca="false">M105/$W112</f>
        <v>0.819770306714999</v>
      </c>
      <c r="AN112" s="57" t="n">
        <f aca="false">N105/$W112</f>
        <v>0.856762441805513</v>
      </c>
      <c r="AO112" s="57" t="n">
        <f aca="false">O105/$W112</f>
        <v>0.889319414594123</v>
      </c>
      <c r="AP112" s="57" t="n">
        <f aca="false">P105/$W112</f>
        <v>0.916777151519716</v>
      </c>
      <c r="AQ112" s="57" t="n">
        <f aca="false">Q105/$W112</f>
        <v>0.93855060886831</v>
      </c>
      <c r="AR112" s="57" t="n">
        <f aca="false">R105/$W112</f>
        <v>0.954154012740745</v>
      </c>
    </row>
    <row r="113" customFormat="false" ht="11.25" hidden="false" customHeight="false" outlineLevel="0" collapsed="false">
      <c r="T113" s="13"/>
      <c r="U113" s="37" t="str">
        <f aca="false">AA113</f>
        <v> Crescimento da produtividade (0 - 4% ao ano) Sua previsão</v>
      </c>
      <c r="W113" s="87" t="n">
        <v>4</v>
      </c>
      <c r="AA113" s="29" t="str">
        <f aca="false">CONCATENATE(A99," (0 - ",W113," % / yr) Your forecast")</f>
        <v> Crescimento da produtividade (0 - 4%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0.35</v>
      </c>
      <c r="AL113" s="57" t="n">
        <f aca="false">L103/$W113</f>
        <v>0.296875</v>
      </c>
      <c r="AM113" s="57" t="n">
        <f aca="false">M103/$W113</f>
        <v>0.26125</v>
      </c>
      <c r="AN113" s="57" t="n">
        <f aca="false">N103/$W113</f>
        <v>0.225625</v>
      </c>
      <c r="AO113" s="57" t="n">
        <f aca="false">O103/$W113</f>
        <v>0.19</v>
      </c>
      <c r="AP113" s="57" t="n">
        <f aca="false">P103/$W113</f>
        <v>0.154375</v>
      </c>
      <c r="AQ113" s="57" t="n">
        <f aca="false">Q103/$W113</f>
        <v>0.11875</v>
      </c>
      <c r="AR113" s="57" t="n">
        <f aca="false">R103/$W113</f>
        <v>0.083125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OCDE (excluindo EUA)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 PIB dos EUA sem a OCDE</v>
      </c>
      <c r="B134" s="88" t="n">
        <f aca="false">B96</f>
        <v>8.0601523701427</v>
      </c>
      <c r="C134" s="88" t="n">
        <f aca="false">C96</f>
        <v>9.64417111611257</v>
      </c>
      <c r="D134" s="88" t="n">
        <f aca="false">D96</f>
        <v>11.4565226041584</v>
      </c>
      <c r="E134" s="88" t="n">
        <f aca="false">E96</f>
        <v>12.616682108126</v>
      </c>
      <c r="F134" s="88" t="n">
        <f aca="false">F96</f>
        <v>15.4525796383615</v>
      </c>
      <c r="G134" s="88" t="n">
        <f aca="false">G96</f>
        <v>16.95702974134</v>
      </c>
      <c r="H134" s="88" t="n">
        <f aca="false">H96</f>
        <v>19.3777579831424</v>
      </c>
      <c r="I134" s="88" t="n">
        <f aca="false">I96</f>
        <v>21.4454293886402</v>
      </c>
      <c r="J134" s="88" t="n">
        <f aca="false">J96</f>
        <v>22.0211424655663</v>
      </c>
      <c r="K134" s="31" t="n">
        <f aca="false">K96</f>
        <v>23.3641085142743</v>
      </c>
      <c r="L134" s="31" t="n">
        <f aca="false">L96</f>
        <v>24.5082696951679</v>
      </c>
      <c r="M134" s="31" t="n">
        <f aca="false">M96</f>
        <v>25.4623704533066</v>
      </c>
      <c r="N134" s="31" t="n">
        <f aca="false">N96</f>
        <v>25.7708543841576</v>
      </c>
      <c r="O134" s="31" t="n">
        <f aca="false">O96</f>
        <v>25.6183168866672</v>
      </c>
      <c r="P134" s="31" t="n">
        <f aca="false">P96</f>
        <v>25.1271454581234</v>
      </c>
      <c r="Q134" s="31" t="n">
        <f aca="false">Q96</f>
        <v>24.543844360064</v>
      </c>
      <c r="R134" s="31" t="n">
        <f aca="false">R96</f>
        <v>23.8126694893583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0" t="n">
        <v>2.07808488069921</v>
      </c>
      <c r="C135" s="30" t="n">
        <v>2.17895063531051</v>
      </c>
      <c r="D135" s="30" t="n">
        <v>2.61255922225271</v>
      </c>
      <c r="E135" s="30" t="n">
        <v>2.66642993940274</v>
      </c>
      <c r="F135" s="30" t="n">
        <v>3.79591067833682</v>
      </c>
      <c r="G135" s="30" t="n">
        <v>3.96884995916522</v>
      </c>
      <c r="H135" s="30" t="n">
        <v>4.61685572257291</v>
      </c>
      <c r="I135" s="30" t="n">
        <v>5.01130837451391</v>
      </c>
      <c r="J135" s="30" t="n">
        <v>4.63685741476381</v>
      </c>
      <c r="K135" s="31" t="n">
        <f aca="false">K134*K137/100</f>
        <v>5.14998495950035</v>
      </c>
      <c r="L135" s="31" t="n">
        <f aca="false">L134*L137/100</f>
        <v>5.99085506829552</v>
      </c>
      <c r="M135" s="31" t="n">
        <f aca="false">M134*M137/100</f>
        <v>6.68595101731261</v>
      </c>
      <c r="N135" s="31" t="n">
        <f aca="false">N134*N137/100</f>
        <v>7.20775312586164</v>
      </c>
      <c r="O135" s="31" t="n">
        <f aca="false">O134*O137/100</f>
        <v>7.58339769758066</v>
      </c>
      <c r="P135" s="31" t="n">
        <f aca="false">P134*P137/100</f>
        <v>7.83366411567409</v>
      </c>
      <c r="Q135" s="31" t="n">
        <f aca="false">Q134*Q137/100</f>
        <v>8.17483673716979</v>
      </c>
      <c r="R135" s="31" t="n">
        <f aca="false">R134*R137/100</f>
        <v>8.50238663171327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PIB da OCDE excluindo os EUA (0 - 28 trilhões de dólares/ano)</v>
      </c>
      <c r="AB135" s="57" t="n">
        <f aca="false">B134/$W155</f>
        <v>0.287862584647954</v>
      </c>
      <c r="AC135" s="57" t="n">
        <f aca="false">C134/$W155</f>
        <v>0.344434682718306</v>
      </c>
      <c r="AD135" s="57" t="n">
        <f aca="false">D134/$W155</f>
        <v>0.409161521577084</v>
      </c>
      <c r="AE135" s="57" t="n">
        <f aca="false">E134/$W155</f>
        <v>0.450595789575928</v>
      </c>
      <c r="AF135" s="57" t="n">
        <f aca="false">F134/$W155</f>
        <v>0.551877844227198</v>
      </c>
      <c r="AG135" s="57" t="n">
        <f aca="false">G134/$W155</f>
        <v>0.605608205047856</v>
      </c>
      <c r="AH135" s="57" t="n">
        <f aca="false">H134/$W155</f>
        <v>0.692062785112229</v>
      </c>
      <c r="AI135" s="57" t="n">
        <f aca="false">I134/$W155</f>
        <v>0.765908192451434</v>
      </c>
      <c r="AJ135" s="57" t="n">
        <f aca="false">J134/$W155</f>
        <v>0.786469373770225</v>
      </c>
      <c r="AK135" s="57" t="n">
        <f aca="false">K134/$W155</f>
        <v>0.834432446938369</v>
      </c>
      <c r="AL135" s="57" t="n">
        <f aca="false">L134/$W155</f>
        <v>0.875295346255996</v>
      </c>
      <c r="AM135" s="57" t="n">
        <f aca="false">M134/$W155</f>
        <v>0.909370373332378</v>
      </c>
      <c r="AN135" s="57" t="n">
        <f aca="false">N134/$W155</f>
        <v>0.920387656577058</v>
      </c>
      <c r="AO135" s="57" t="n">
        <f aca="false">O134/$W155</f>
        <v>0.914939888809545</v>
      </c>
      <c r="AP135" s="57" t="n">
        <f aca="false">P134/$W155</f>
        <v>0.897398052075837</v>
      </c>
      <c r="AQ135" s="57" t="n">
        <f aca="false">Q134/$W155</f>
        <v>0.876565870002285</v>
      </c>
      <c r="AR135" s="57" t="n">
        <f aca="false">R134/$W155</f>
        <v>0.850452481762797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5.98206748944349</v>
      </c>
      <c r="C136" s="65" t="n">
        <f aca="false">C134-C135</f>
        <v>7.46522048080206</v>
      </c>
      <c r="D136" s="65" t="n">
        <f aca="false">D134-D135</f>
        <v>8.84396338190564</v>
      </c>
      <c r="E136" s="65" t="n">
        <f aca="false">E134-E135</f>
        <v>9.95025216872323</v>
      </c>
      <c r="F136" s="65" t="n">
        <f aca="false">F134-F135</f>
        <v>11.6566689600247</v>
      </c>
      <c r="G136" s="65" t="n">
        <f aca="false">G134-G135</f>
        <v>12.9881797821747</v>
      </c>
      <c r="H136" s="65" t="n">
        <f aca="false">H134-H135</f>
        <v>14.7609022605695</v>
      </c>
      <c r="I136" s="65" t="n">
        <f aca="false">I134-I135</f>
        <v>16.4341210141262</v>
      </c>
      <c r="J136" s="65" t="n">
        <f aca="false">J134-J135</f>
        <v>17.3842850508025</v>
      </c>
      <c r="K136" s="65" t="n">
        <f aca="false">K134-K135</f>
        <v>18.214123554774</v>
      </c>
      <c r="L136" s="65" t="n">
        <f aca="false">L134-L135</f>
        <v>18.5174146268724</v>
      </c>
      <c r="M136" s="65" t="n">
        <f aca="false">M134-M135</f>
        <v>18.776419435994</v>
      </c>
      <c r="N136" s="65" t="n">
        <f aca="false">N134-N135</f>
        <v>18.563101258296</v>
      </c>
      <c r="O136" s="65" t="n">
        <f aca="false">O134-O135</f>
        <v>18.0349191890866</v>
      </c>
      <c r="P136" s="65" t="n">
        <f aca="false">P134-P135</f>
        <v>17.2934813424493</v>
      </c>
      <c r="Q136" s="65" t="n">
        <f aca="false">Q134-Q135</f>
        <v>16.3690076228942</v>
      </c>
      <c r="R136" s="65" t="n">
        <f aca="false">R134-R135</f>
        <v>15.310282857645</v>
      </c>
      <c r="S136" s="28" t="s">
        <v>53</v>
      </c>
      <c r="T136" s="13"/>
      <c r="AA136" s="29" t="str">
        <f aca="false">CONCATENATE(A137," (0 - ",W156,"% /yr)")</f>
        <v> Percentagem de investimento (0 - 40%/ano)</v>
      </c>
      <c r="AB136" s="57" t="n">
        <f aca="false">B137/$W$156</f>
        <v>0.644555085706903</v>
      </c>
      <c r="AC136" s="57" t="n">
        <f aca="false">C137/$W$156</f>
        <v>0.564836160898816</v>
      </c>
      <c r="AD136" s="57" t="n">
        <f aca="false">D137/$W$156</f>
        <v>0.570103013043512</v>
      </c>
      <c r="AE136" s="57" t="n">
        <f aca="false">E137/$W$156</f>
        <v>0.528354030907498</v>
      </c>
      <c r="AF136" s="57" t="n">
        <f aca="false">F137/$W$156</f>
        <v>0.61412249073827</v>
      </c>
      <c r="AG136" s="57" t="n">
        <f aca="false">G137/$W$156</f>
        <v>0.585133425444413</v>
      </c>
      <c r="AH136" s="57" t="n">
        <f aca="false">H137/$W$156</f>
        <v>0.595638531375678</v>
      </c>
      <c r="AI136" s="57" t="n">
        <f aca="false">I137/$W$156</f>
        <v>0.584193056209968</v>
      </c>
      <c r="AJ136" s="57" t="n">
        <f aca="false">J137/$W$156</f>
        <v>0.526409724428956</v>
      </c>
      <c r="AK136" s="57" t="n">
        <f aca="false">K137/$W$156</f>
        <v>0.551057293321717</v>
      </c>
      <c r="AL136" s="57" t="n">
        <f aca="false">L137/$W$156</f>
        <v>0.611105469991288</v>
      </c>
      <c r="AM136" s="57" t="n">
        <f aca="false">M137/$W$156</f>
        <v>0.656454102493466</v>
      </c>
      <c r="AN136" s="57" t="n">
        <f aca="false">N137/$W$156</f>
        <v>0.699215576870099</v>
      </c>
      <c r="AO136" s="57" t="n">
        <f aca="false">O137/$W$156</f>
        <v>0.740036682652575</v>
      </c>
      <c r="AP136" s="57" t="n">
        <f aca="false">P137/$W$156</f>
        <v>0.779402511989431</v>
      </c>
      <c r="AQ136" s="57" t="n">
        <f aca="false">Q137/$W$156</f>
        <v>0.832676883992073</v>
      </c>
      <c r="AR136" s="57" t="n">
        <f aca="false">R137/$W$156</f>
        <v>0.892632662994055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25.7822034282761</v>
      </c>
      <c r="C137" s="31" t="n">
        <f aca="false">C135/C134*100</f>
        <v>22.5934464359526</v>
      </c>
      <c r="D137" s="31" t="n">
        <f aca="false">D135/D134*100</f>
        <v>22.8041205217405</v>
      </c>
      <c r="E137" s="31" t="n">
        <f aca="false">E135/E134*100</f>
        <v>21.1341612362999</v>
      </c>
      <c r="F137" s="31" t="n">
        <f aca="false">F135/F134*100</f>
        <v>24.5648996295308</v>
      </c>
      <c r="G137" s="31" t="n">
        <f aca="false">G135/G134*100</f>
        <v>23.4053370177765</v>
      </c>
      <c r="H137" s="31" t="n">
        <f aca="false">H135/H134*100</f>
        <v>23.8255412550271</v>
      </c>
      <c r="I137" s="31" t="n">
        <f aca="false">I135/I134*100</f>
        <v>23.3677222483987</v>
      </c>
      <c r="J137" s="31" t="n">
        <f aca="false">J135/J134*100</f>
        <v>21.0563889771582</v>
      </c>
      <c r="K137" s="65" t="n">
        <f aca="false">SUM(K138:K141)</f>
        <v>22.0422917328687</v>
      </c>
      <c r="L137" s="65" t="n">
        <f aca="false">SUM(L138:L141)</f>
        <v>24.4442187996515</v>
      </c>
      <c r="M137" s="65" t="n">
        <f aca="false">SUM(M138:M141)</f>
        <v>26.2581640997386</v>
      </c>
      <c r="N137" s="65" t="n">
        <f aca="false">SUM(N138:N141)</f>
        <v>27.968623074804</v>
      </c>
      <c r="O137" s="65" t="n">
        <f aca="false">SUM(O138:O141)</f>
        <v>29.601467306103</v>
      </c>
      <c r="P137" s="65" t="n">
        <f aca="false">SUM(P138:P141)</f>
        <v>31.1761004795772</v>
      </c>
      <c r="Q137" s="65" t="n">
        <f aca="false">SUM(Q138:Q141)</f>
        <v>33.3070753596829</v>
      </c>
      <c r="R137" s="65" t="n">
        <f aca="false">SUM(R138:R141)</f>
        <v>35.7053065197622</v>
      </c>
      <c r="S137" s="28" t="s">
        <v>25</v>
      </c>
      <c r="T137" s="13"/>
      <c r="AA137" s="29" t="str">
        <f aca="false">CONCATENATE(A136," (0 - ",W157, " T$ / yr)")</f>
        <v> Consumo (0 - 28 T$ / ano)</v>
      </c>
      <c r="AB137" s="57" t="n">
        <f aca="false">B136/$W$157</f>
        <v>0.213645267480125</v>
      </c>
      <c r="AC137" s="57" t="n">
        <f aca="false">C136/$W$157</f>
        <v>0.266615017171502</v>
      </c>
      <c r="AD137" s="57" t="n">
        <f aca="false">D136/$W$157</f>
        <v>0.315855835068059</v>
      </c>
      <c r="AE137" s="57" t="n">
        <f aca="false">E136/$W$157</f>
        <v>0.355366148882972</v>
      </c>
      <c r="AF137" s="57" t="n">
        <f aca="false">F136/$W$157</f>
        <v>0.416309605715168</v>
      </c>
      <c r="AG137" s="57" t="n">
        <f aca="false">G136/$W$157</f>
        <v>0.463863563649098</v>
      </c>
      <c r="AH137" s="57" t="n">
        <f aca="false">H136/$W$157</f>
        <v>0.527175080734625</v>
      </c>
      <c r="AI137" s="57" t="n">
        <f aca="false">I136/$W$157</f>
        <v>0.586932893361652</v>
      </c>
      <c r="AJ137" s="57" t="n">
        <f aca="false">J136/$W$157</f>
        <v>0.620867323242946</v>
      </c>
      <c r="AK137" s="57" t="n">
        <f aca="false">K136/$W$157</f>
        <v>0.650504412670499</v>
      </c>
      <c r="AL137" s="57" t="n">
        <f aca="false">L136/$W$157</f>
        <v>0.661336236674013</v>
      </c>
      <c r="AM137" s="57" t="n">
        <f aca="false">M136/$W$157</f>
        <v>0.670586408428356</v>
      </c>
      <c r="AN137" s="57" t="n">
        <f aca="false">N136/$W$157</f>
        <v>0.662967902081999</v>
      </c>
      <c r="AO137" s="57" t="n">
        <f aca="false">O136/$W$157</f>
        <v>0.644104256753092</v>
      </c>
      <c r="AP137" s="57" t="n">
        <f aca="false">P136/$W$157</f>
        <v>0.617624333658905</v>
      </c>
      <c r="AQ137" s="57" t="n">
        <f aca="false">Q136/$W$157</f>
        <v>0.584607415103364</v>
      </c>
      <c r="AR137" s="57" t="n">
        <f aca="false">R136/$W$157</f>
        <v>0.546795816344466</v>
      </c>
    </row>
    <row r="138" customFormat="false" ht="11.25" hidden="false" customHeight="false" outlineLevel="0" collapsed="false">
      <c r="A138" s="46" t="s">
        <v>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65" t="n">
        <f aca="false">J137</f>
        <v>21.0563889771582</v>
      </c>
      <c r="L138" s="65" t="n">
        <f aca="false">K138+K141</f>
        <v>21.7922917328687</v>
      </c>
      <c r="M138" s="65" t="n">
        <f aca="false">L138+L141</f>
        <v>22.3442187996515</v>
      </c>
      <c r="N138" s="65" t="n">
        <f aca="false">M138+M141</f>
        <v>22.7581640997386</v>
      </c>
      <c r="O138" s="65" t="n">
        <f aca="false">N138+N141</f>
        <v>23.068623074804</v>
      </c>
      <c r="P138" s="65" t="n">
        <f aca="false">O138+O141</f>
        <v>23.301467306103</v>
      </c>
      <c r="Q138" s="65" t="n">
        <f aca="false">P138+P141</f>
        <v>23.4761004795772</v>
      </c>
      <c r="R138" s="65" t="n">
        <f aca="false">Q138+Q141</f>
        <v>23.6070753596829</v>
      </c>
      <c r="S138" s="28" t="s">
        <v>25</v>
      </c>
      <c r="T138" s="13"/>
      <c r="AA138" s="29" t="str">
        <f aca="false">CONCATENATE("normal + norm change inv."," (0 - ",W156,"% /yr)")</f>
        <v> normal + mudança normal inv. (0 - 40%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(K138+K141)/$W$156</f>
        <v>0.544807293321717</v>
      </c>
      <c r="AL138" s="48" t="n">
        <f aca="false">(L138+L141)/$W$156</f>
        <v>0.558605469991288</v>
      </c>
      <c r="AM138" s="48" t="n">
        <f aca="false">(M138+M141)/$W$156</f>
        <v>0.568954102493466</v>
      </c>
      <c r="AN138" s="48" t="n">
        <f aca="false">(N138+N141)/$W$156</f>
        <v>0.576715576870099</v>
      </c>
      <c r="AO138" s="48" t="n">
        <f aca="false">(O138+O141)/$W$156</f>
        <v>0.582536682652574</v>
      </c>
      <c r="AP138" s="48" t="n">
        <f aca="false">(P138+P141)/$W$156</f>
        <v>0.586902511989431</v>
      </c>
      <c r="AQ138" s="48" t="n">
        <f aca="false">(Q138+Q141)/$W$156</f>
        <v>0.590176883992073</v>
      </c>
      <c r="AR138" s="48" t="n">
        <f aca="false">(R138+R141)/$W$156</f>
        <v>0.592632662994055</v>
      </c>
    </row>
    <row r="139" customFormat="false" ht="11.25" hidden="false" customHeight="false" outlineLevel="0" collapsed="false">
      <c r="A139" s="46" t="s">
        <v>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33" t="n">
        <v>0.1</v>
      </c>
      <c r="L139" s="33" t="n">
        <v>1.3</v>
      </c>
      <c r="M139" s="33" t="n">
        <v>2</v>
      </c>
      <c r="N139" s="33" t="n">
        <v>2.7</v>
      </c>
      <c r="O139" s="33" t="n">
        <v>3.4</v>
      </c>
      <c r="P139" s="33" t="n">
        <v>4.1</v>
      </c>
      <c r="Q139" s="33" t="n">
        <v>5</v>
      </c>
      <c r="R139" s="33" t="n">
        <v>6</v>
      </c>
      <c r="S139" s="28" t="s">
        <v>25</v>
      </c>
      <c r="T139" s="13"/>
      <c r="AA139" s="29" t="str">
        <f aca="false">CONCATENATE("normal + voluntary inv."," (0 - ",W156,"% /yr)")</f>
        <v> Inventário normal + voluntário (0 - 40%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(K138+K141+K139)/$W$156</f>
        <v>0.547307293321717</v>
      </c>
      <c r="AL139" s="48" t="n">
        <f aca="false">(L138+L141+L139)/$W$156</f>
        <v>0.591105469991288</v>
      </c>
      <c r="AM139" s="48" t="n">
        <f aca="false">(M138+M141+M139)/$W$156</f>
        <v>0.618954102493466</v>
      </c>
      <c r="AN139" s="48" t="n">
        <f aca="false">(N138+N141+N139)/$W$156</f>
        <v>0.644215576870099</v>
      </c>
      <c r="AO139" s="48" t="n">
        <f aca="false">(O138+O141+O139)/$W$156</f>
        <v>0.667536682652574</v>
      </c>
      <c r="AP139" s="48" t="n">
        <f aca="false">(P138+P141+P139)/$W$156</f>
        <v>0.689402511989431</v>
      </c>
      <c r="AQ139" s="48" t="n">
        <f aca="false">(Q138+Q141+Q139)/$W$156</f>
        <v>0.715176883992073</v>
      </c>
      <c r="AR139" s="48" t="n">
        <f aca="false">(R138+R141+R139)/$W$156</f>
        <v>0.742632662994055</v>
      </c>
    </row>
    <row r="140" customFormat="false" ht="11.25" hidden="false" customHeight="false" outlineLevel="0" collapsed="false">
      <c r="A140" s="46" t="s">
        <v>72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33" t="n">
        <v>0.15</v>
      </c>
      <c r="L140" s="33" t="n">
        <v>0.8</v>
      </c>
      <c r="M140" s="33" t="n">
        <v>1.5</v>
      </c>
      <c r="N140" s="33" t="n">
        <v>2.2</v>
      </c>
      <c r="O140" s="33" t="n">
        <v>2.9</v>
      </c>
      <c r="P140" s="33" t="n">
        <v>3.6</v>
      </c>
      <c r="Q140" s="33" t="n">
        <v>4.7</v>
      </c>
      <c r="R140" s="33" t="n">
        <v>6</v>
      </c>
      <c r="S140" s="28" t="s">
        <v>25</v>
      </c>
      <c r="T140" s="13"/>
      <c r="AA140" s="29" t="str">
        <f aca="false">CONCATENATE("normal + voluntary + forced inv."," (0 - ",W156,"% /yr)")</f>
        <v> Inventário normal + voluntário + forçado (0 - 40%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(K138+K139+K140+K141)/$W$156</f>
        <v>0.551057293321717</v>
      </c>
      <c r="AL140" s="48" t="n">
        <f aca="false">(L138+L139+L140+L141)/$W$156</f>
        <v>0.611105469991288</v>
      </c>
      <c r="AM140" s="48" t="n">
        <f aca="false">(M138+M139+M140+M141)/$W$156</f>
        <v>0.656454102493466</v>
      </c>
      <c r="AN140" s="48" t="n">
        <f aca="false">(N138+N139+N140+N141)/$W$156</f>
        <v>0.699215576870099</v>
      </c>
      <c r="AO140" s="48" t="n">
        <f aca="false">(O138+O139+O140+O141)/$W$156</f>
        <v>0.740036682652574</v>
      </c>
      <c r="AP140" s="48" t="n">
        <f aca="false">(P138+P139+P140+P141)/$W$156</f>
        <v>0.779402511989431</v>
      </c>
      <c r="AQ140" s="48" t="n">
        <f aca="false">(Q138+Q139+Q140+Q141)/$W$156</f>
        <v>0.832676883992073</v>
      </c>
      <c r="AR140" s="48" t="n">
        <f aca="false">(R138+R139+R140+R141)/$W$156</f>
        <v>0.892632662994055</v>
      </c>
    </row>
    <row r="141" customFormat="false" ht="11.25" hidden="false" customHeight="false" outlineLevel="0" collapsed="false">
      <c r="A141" s="46" t="s">
        <v>73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32" t="n">
        <f aca="false">5*(24 - K$138)/20</f>
        <v>0.735902755710445</v>
      </c>
      <c r="L141" s="32" t="n">
        <f aca="false">5*(24 - L$138)/20</f>
        <v>0.551927066782834</v>
      </c>
      <c r="M141" s="32" t="n">
        <f aca="false">5*(24 - M$138)/20</f>
        <v>0.413945300087125</v>
      </c>
      <c r="N141" s="32" t="n">
        <f aca="false">5*(24 - N$138)/20</f>
        <v>0.310458975065344</v>
      </c>
      <c r="O141" s="32" t="n">
        <f aca="false">5*(24 - O$138)/20</f>
        <v>0.232844231299008</v>
      </c>
      <c r="P141" s="32" t="n">
        <f aca="false">5*(24 - P$138)/20</f>
        <v>0.174633173474255</v>
      </c>
      <c r="Q141" s="32" t="n">
        <f aca="false">5*(24 - Q$138)/20</f>
        <v>0.130974880105692</v>
      </c>
      <c r="R141" s="32" t="n">
        <f aca="false">5*(24 - R$138)/20</f>
        <v>0.0982311600792691</v>
      </c>
      <c r="S141" s="28" t="s">
        <v>25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48" t="n">
        <f aca="false">K138*K$134/100</f>
        <v>4.91963756981094</v>
      </c>
      <c r="AL141" s="48" t="n">
        <f aca="false">L138*L$134/100</f>
        <v>5.34091363064923</v>
      </c>
      <c r="AM141" s="48" t="n">
        <f aca="false">M138*M$134/100</f>
        <v>5.68936776566464</v>
      </c>
      <c r="AN141" s="48" t="n">
        <f aca="false">N138*N$134/100</f>
        <v>5.86497333065128</v>
      </c>
      <c r="AO141" s="48" t="n">
        <f aca="false">O138*O$134/100</f>
        <v>5.90979296069412</v>
      </c>
      <c r="AP141" s="48" t="n">
        <f aca="false">P138*P$134/100</f>
        <v>5.85499358388157</v>
      </c>
      <c r="AQ141" s="48" t="n">
        <f aca="false">Q138*Q$134/100</f>
        <v>5.76193756351967</v>
      </c>
      <c r="AR141" s="48" t="n">
        <f aca="false">R138*R$134/100</f>
        <v>5.62147483150504</v>
      </c>
    </row>
    <row r="142" customFormat="false" ht="12.65" hidden="false" customHeight="false" outlineLevel="0" collapsed="false">
      <c r="A142" s="23" t="s">
        <v>7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28"/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48"/>
      <c r="AL142" s="48"/>
      <c r="AM142" s="48"/>
      <c r="AN142" s="48"/>
      <c r="AO142" s="48"/>
      <c r="AP142" s="48"/>
      <c r="AQ142" s="48"/>
      <c r="AR142" s="48"/>
    </row>
    <row r="143" customFormat="false" ht="11.25" hidden="false" customHeight="false" outlineLevel="0" collapsed="false">
      <c r="F143" s="5"/>
      <c r="G143" s="5"/>
      <c r="H143" s="5"/>
      <c r="I143" s="5"/>
      <c r="J143" s="90" t="str">
        <f aca="false">CONCATENATE(A139," Your forecast")</f>
        <v> % de investimento voluntário Sua previsão</v>
      </c>
      <c r="K143" s="39" t="n">
        <v>0.1</v>
      </c>
      <c r="L143" s="39" t="n">
        <f aca="false">L139*0.98</f>
        <v>1.274</v>
      </c>
      <c r="M143" s="39" t="n">
        <f aca="false">M139*0.98</f>
        <v>1.96</v>
      </c>
      <c r="N143" s="39" t="n">
        <f aca="false">N139*0.98</f>
        <v>2.646</v>
      </c>
      <c r="O143" s="39" t="n">
        <f aca="false">O139*0.98</f>
        <v>3.332</v>
      </c>
      <c r="P143" s="39" t="n">
        <f aca="false">P139*0.98</f>
        <v>4.018</v>
      </c>
      <c r="Q143" s="39" t="n">
        <f aca="false">Q139*0.98</f>
        <v>4.9</v>
      </c>
      <c r="R143" s="39" t="n">
        <f aca="false">R139*0.98</f>
        <v>5.88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48" t="n">
        <f aca="false">K139*K$134/100</f>
        <v>0.0233641085142743</v>
      </c>
      <c r="AL143" s="48" t="n">
        <f aca="false">L139*L$134/100</f>
        <v>0.318607506037182</v>
      </c>
      <c r="AM143" s="48" t="n">
        <f aca="false">M139*M$134/100</f>
        <v>0.509247409066132</v>
      </c>
      <c r="AN143" s="48" t="n">
        <f aca="false">N139*N$134/100</f>
        <v>0.695813068372256</v>
      </c>
      <c r="AO143" s="48" t="n">
        <f aca="false">O139*O$134/100</f>
        <v>0.871022774146686</v>
      </c>
      <c r="AP143" s="48" t="n">
        <f aca="false">P139*P$134/100</f>
        <v>1.03021296378306</v>
      </c>
      <c r="AQ143" s="48" t="n">
        <f aca="false">Q139*Q$134/100</f>
        <v>1.2271922180032</v>
      </c>
      <c r="AR143" s="48" t="n">
        <f aca="false">R139*R$134/100</f>
        <v>1.4287601693615</v>
      </c>
    </row>
    <row r="144" customFormat="false" ht="11.25" hidden="false" customHeight="false" outlineLevel="0" collapsed="false">
      <c r="F144" s="5"/>
      <c r="G144" s="5"/>
      <c r="H144" s="5"/>
      <c r="I144" s="5"/>
      <c r="J144" s="90" t="str">
        <f aca="false">CONCATENATE(A140," Your forecast")</f>
        <v> % de investimento forçado Sua previsão</v>
      </c>
      <c r="K144" s="39" t="n">
        <v>0.15</v>
      </c>
      <c r="L144" s="39" t="n">
        <f aca="false">L140*0.98</f>
        <v>0.784</v>
      </c>
      <c r="M144" s="39" t="n">
        <f aca="false">M140*0.98</f>
        <v>1.47</v>
      </c>
      <c r="N144" s="39" t="n">
        <f aca="false">N140*0.98</f>
        <v>2.156</v>
      </c>
      <c r="O144" s="39" t="n">
        <f aca="false">O140*0.98</f>
        <v>2.842</v>
      </c>
      <c r="P144" s="39" t="n">
        <f aca="false">P140*0.98</f>
        <v>3.528</v>
      </c>
      <c r="Q144" s="39" t="n">
        <f aca="false">Q140*0.98</f>
        <v>4.606</v>
      </c>
      <c r="R144" s="39" t="n">
        <f aca="false">R140*0.98</f>
        <v>5.88</v>
      </c>
      <c r="S144" s="28" t="s">
        <v>25</v>
      </c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48" t="n">
        <f aca="false">K140*K$134/100</f>
        <v>0.0350461627714115</v>
      </c>
      <c r="AL144" s="48" t="n">
        <f aca="false">L140*L$134/100</f>
        <v>0.196066157561343</v>
      </c>
      <c r="AM144" s="48" t="n">
        <f aca="false">M140*M$134/100</f>
        <v>0.381935556799599</v>
      </c>
      <c r="AN144" s="48" t="n">
        <f aca="false">N140*N$134/100</f>
        <v>0.566958796451468</v>
      </c>
      <c r="AO144" s="48" t="n">
        <f aca="false">O140*O$134/100</f>
        <v>0.74293118971335</v>
      </c>
      <c r="AP144" s="48" t="n">
        <f aca="false">P140*P$134/100</f>
        <v>0.904577236492443</v>
      </c>
      <c r="AQ144" s="48" t="n">
        <f aca="false">Q140*Q$134/100</f>
        <v>1.15356068492301</v>
      </c>
      <c r="AR144" s="48" t="n">
        <f aca="false">R140*R$134/100</f>
        <v>1.4287601693615</v>
      </c>
    </row>
    <row r="145" customFormat="false" ht="11.25" hidden="false" customHeight="false" outlineLevel="0" collapsed="false">
      <c r="F145" s="8"/>
      <c r="G145" s="8"/>
      <c r="H145" s="8"/>
      <c r="I145" s="8"/>
      <c r="J145" s="37" t="str">
        <f aca="false">CONCATENATE(A134," calculated from Your forecast")</f>
        <v> PIB da OCDE (excluindo os EUA) calculado a partir da sua previsão.</v>
      </c>
      <c r="K145" s="91" t="n">
        <f aca="false">K104</f>
        <v>23.3641085142743</v>
      </c>
      <c r="L145" s="91" t="n">
        <f aca="false">L104</f>
        <v>23.9474628180255</v>
      </c>
      <c r="M145" s="91" t="n">
        <f aca="false">M104</f>
        <v>24.8148791251725</v>
      </c>
      <c r="N145" s="91" t="n">
        <f aca="false">N104</f>
        <v>25.0585740195756</v>
      </c>
      <c r="O145" s="91" t="n">
        <f aca="false">O104</f>
        <v>24.8623481725835</v>
      </c>
      <c r="P145" s="91" t="n">
        <f aca="false">P104</f>
        <v>24.3472912947185</v>
      </c>
      <c r="Q145" s="91" t="n">
        <f aca="false">Q104</f>
        <v>23.7530911637235</v>
      </c>
      <c r="R145" s="91" t="n">
        <f aca="false">R104</f>
        <v>23.0256552990849</v>
      </c>
      <c r="S145" s="28" t="s">
        <v>53</v>
      </c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48" t="n">
        <f aca="false">K141*K$134/100</f>
        <v>0.171937118403723</v>
      </c>
      <c r="AL145" s="48" t="n">
        <f aca="false">L141*L$134/100</f>
        <v>0.135267774047766</v>
      </c>
      <c r="AM145" s="48" t="n">
        <f aca="false">M141*M$134/100</f>
        <v>0.105400285782235</v>
      </c>
      <c r="AN145" s="48" t="n">
        <f aca="false">N141*N$134/100</f>
        <v>0.0800079303866379</v>
      </c>
      <c r="AO145" s="48" t="n">
        <f aca="false">O141*O$134/100</f>
        <v>0.0596507730265042</v>
      </c>
      <c r="AP145" s="48" t="n">
        <f aca="false">P141*P$134/100</f>
        <v>0.0438803315170132</v>
      </c>
      <c r="AQ145" s="48" t="n">
        <f aca="false">Q141*Q$134/100</f>
        <v>0.0321462707239213</v>
      </c>
      <c r="AR145" s="48" t="n">
        <f aca="false">R141*R$134/100</f>
        <v>0.0233914614852388</v>
      </c>
    </row>
    <row r="146" customFormat="false" ht="11.25" hidden="false" customHeight="false" outlineLevel="0" collapsed="false">
      <c r="F146" s="8"/>
      <c r="G146" s="8"/>
      <c r="H146" s="8"/>
      <c r="I146" s="8"/>
      <c r="J146" s="37" t="str">
        <f aca="false">CONCATENATE(A135," calculated from Your forecast")</f>
        <v> Investimento calculado a partir da sua previsão.</v>
      </c>
      <c r="K146" s="91" t="n">
        <f aca="false">K145*K148/100</f>
        <v>5.14998495950035</v>
      </c>
      <c r="L146" s="91" t="n">
        <f aca="false">L145*L148/100</f>
        <v>5.84371227381977</v>
      </c>
      <c r="M146" s="91" t="n">
        <f aca="false">M145*M148/100</f>
        <v>6.49856126645196</v>
      </c>
      <c r="N146" s="91" t="n">
        <f aca="false">N145*N148/100</f>
        <v>6.98398071291666</v>
      </c>
      <c r="O146" s="91" t="n">
        <f aca="false">O145*O148/100</f>
        <v>7.32829330713933</v>
      </c>
      <c r="P146" s="91" t="n">
        <f aca="false">P145*P148/100</f>
        <v>7.55304116950294</v>
      </c>
      <c r="Q146" s="91" t="n">
        <f aca="false">Q145*Q148/100</f>
        <v>7.86537897729796</v>
      </c>
      <c r="R146" s="91" t="n">
        <f aca="false">R145*R148/100</f>
        <v>8.16611923000433</v>
      </c>
      <c r="S146" s="28" t="s">
        <v>53</v>
      </c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48" t="n">
        <f aca="false">K135-AK145-AK141-AK143-AK144</f>
        <v>0</v>
      </c>
      <c r="AL146" s="48" t="n">
        <f aca="false">L135-AL145-AL141-AL143-AL144</f>
        <v>0</v>
      </c>
      <c r="AM146" s="48" t="n">
        <f aca="false">M135-AM145-AM141-AM143-AM144</f>
        <v>0</v>
      </c>
      <c r="AN146" s="48" t="n">
        <f aca="false">N135-AN145-AN141-AN143-AN144</f>
        <v>0</v>
      </c>
      <c r="AO146" s="48" t="n">
        <f aca="false">O135-AO145-AO141-AO143-AO144</f>
        <v>0</v>
      </c>
      <c r="AP146" s="48" t="n">
        <f aca="false">P135-AP145-AP141-AP143-AP144</f>
        <v>0</v>
      </c>
      <c r="AQ146" s="48" t="n">
        <f aca="false">Q135-AQ145-AQ141-AQ143-AQ144</f>
        <v>0</v>
      </c>
      <c r="AR146" s="48" t="n">
        <f aca="false">R135-AR145-AR141-AR143-AR144</f>
        <v>0</v>
      </c>
    </row>
    <row r="147" customFormat="false" ht="11.25" hidden="false" customHeight="false" outlineLevel="0" collapsed="false">
      <c r="F147" s="8"/>
      <c r="G147" s="8"/>
      <c r="H147" s="8"/>
      <c r="I147" s="8"/>
      <c r="J147" s="37" t="str">
        <f aca="false">CONCATENATE(A136," calculated from Your forecast")</f>
        <v> Consumo calculado a partir da sua previsão.</v>
      </c>
      <c r="K147" s="45" t="n">
        <f aca="false">K145-K146</f>
        <v>18.214123554774</v>
      </c>
      <c r="L147" s="45" t="n">
        <f aca="false">L145-L146</f>
        <v>18.1037505442057</v>
      </c>
      <c r="M147" s="45" t="n">
        <f aca="false">M145-M146</f>
        <v>18.3163178587206</v>
      </c>
      <c r="N147" s="45" t="n">
        <f aca="false">N145-N146</f>
        <v>18.0745933066589</v>
      </c>
      <c r="O147" s="45" t="n">
        <f aca="false">O145-O146</f>
        <v>17.5340548654441</v>
      </c>
      <c r="P147" s="45" t="n">
        <f aca="false">P145-P146</f>
        <v>16.7942501252156</v>
      </c>
      <c r="Q147" s="45" t="n">
        <f aca="false">Q145-Q146</f>
        <v>15.8877121864256</v>
      </c>
      <c r="R147" s="45" t="n">
        <f aca="false">R145-R146</f>
        <v>14.8595360690806</v>
      </c>
      <c r="S147" s="28" t="s">
        <v>53</v>
      </c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48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E148" s="8"/>
      <c r="F148" s="8"/>
      <c r="G148" s="8"/>
      <c r="H148" s="8"/>
      <c r="I148" s="8"/>
      <c r="J148" s="37" t="str">
        <f aca="false">CONCATENATE(A137," calculated from Your forecast")</f>
        <v> A porcentagem de participação no investimento é calculada a partir da sua previsão.</v>
      </c>
      <c r="K148" s="45" t="n">
        <f aca="false">SUM(K149:K152)</f>
        <v>22.0422917328687</v>
      </c>
      <c r="L148" s="45" t="n">
        <f aca="false">SUM(L149:L152)</f>
        <v>24.4022187996515</v>
      </c>
      <c r="M148" s="45" t="n">
        <f aca="false">SUM(M149:M152)</f>
        <v>26.1881640997386</v>
      </c>
      <c r="N148" s="45" t="n">
        <f aca="false">SUM(N149:N152)</f>
        <v>27.870623074804</v>
      </c>
      <c r="O148" s="45" t="n">
        <f aca="false">SUM(O149:O152)</f>
        <v>29.475467306103</v>
      </c>
      <c r="P148" s="45" t="n">
        <f aca="false">SUM(P149:P152)</f>
        <v>31.0221004795772</v>
      </c>
      <c r="Q148" s="45" t="n">
        <f aca="false">SUM(Q149:Q152)</f>
        <v>33.1130753596829</v>
      </c>
      <c r="R148" s="45" t="n">
        <f aca="false">SUM(R149:R152)</f>
        <v>35.4653065197622</v>
      </c>
      <c r="S148" s="28" t="s">
        <v>25</v>
      </c>
      <c r="T148" s="13"/>
      <c r="AA148" s="29" t="str">
        <f aca="false">CONCATENATE(A96," (0 - ",W158," T$ / yr)")</f>
        <v>PIB da OCDE excluindo os EUA (0 - 28 trilhões de dólares/ano)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K145/$W158</f>
        <v>0.834432446938369</v>
      </c>
      <c r="AL148" s="57" t="n">
        <f aca="false">L145/$W158</f>
        <v>0.855266529215197</v>
      </c>
      <c r="AM148" s="57" t="n">
        <f aca="false">M145/$W158</f>
        <v>0.886245683041876</v>
      </c>
      <c r="AN148" s="57" t="n">
        <f aca="false">N145/$W158</f>
        <v>0.894949072127699</v>
      </c>
      <c r="AO148" s="57" t="n">
        <f aca="false">O145/$W158</f>
        <v>0.887941006163695</v>
      </c>
      <c r="AP148" s="57" t="n">
        <f aca="false">P145/$W158</f>
        <v>0.869546117668518</v>
      </c>
      <c r="AQ148" s="57" t="n">
        <f aca="false">Q145/$W158</f>
        <v>0.848324684418698</v>
      </c>
      <c r="AR148" s="57" t="n">
        <f aca="false">R145/$W158</f>
        <v>0.822344832110175</v>
      </c>
    </row>
    <row r="149" customFormat="false" ht="11.25" hidden="false" customHeight="false" outlineLevel="0" collapsed="false">
      <c r="A149" s="92"/>
      <c r="B149" s="8"/>
      <c r="C149" s="8"/>
      <c r="D149" s="8"/>
      <c r="E149" s="8"/>
      <c r="F149" s="8"/>
      <c r="G149" s="8"/>
      <c r="H149" s="8"/>
      <c r="I149" s="8"/>
      <c r="J149" s="37" t="str">
        <f aca="false">CONCATENATE(A138," calculated from Your forecast")</f>
        <v> Participação no investimento do ano passado mais a variação percentual na taxa de investimento normal calculada a partir da sua previsão.</v>
      </c>
      <c r="K149" s="91" t="n">
        <f aca="false">J137</f>
        <v>21.0563889771582</v>
      </c>
      <c r="L149" s="45" t="n">
        <f aca="false">K149+K152</f>
        <v>21.7922917328687</v>
      </c>
      <c r="M149" s="45" t="n">
        <f aca="false">L149+L152</f>
        <v>22.3442187996515</v>
      </c>
      <c r="N149" s="45" t="n">
        <f aca="false">M149+M152</f>
        <v>22.7581640997386</v>
      </c>
      <c r="O149" s="45" t="n">
        <f aca="false">N149+N152</f>
        <v>23.068623074804</v>
      </c>
      <c r="P149" s="45" t="n">
        <f aca="false">O149+O152</f>
        <v>23.301467306103</v>
      </c>
      <c r="Q149" s="45" t="n">
        <f aca="false">P149+P152</f>
        <v>23.4761004795772</v>
      </c>
      <c r="R149" s="45" t="n">
        <f aca="false">Q149+Q152</f>
        <v>23.6070753596829</v>
      </c>
      <c r="S149" s="28" t="s">
        <v>25</v>
      </c>
      <c r="T149" s="13"/>
      <c r="AA149" s="29" t="str">
        <f aca="false">CONCATENATE(A137," (0 - ",W159,"% /yr)")</f>
        <v> Percentagem de investimento (0 - 40%/ano)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K148/$W$159</f>
        <v>0.551057293321717</v>
      </c>
      <c r="AL149" s="57" t="n">
        <f aca="false">L148/$W$159</f>
        <v>0.610055469991288</v>
      </c>
      <c r="AM149" s="57" t="n">
        <f aca="false">M148/$W$159</f>
        <v>0.654704102493466</v>
      </c>
      <c r="AN149" s="57" t="n">
        <f aca="false">N148/$W$159</f>
        <v>0.696765576870099</v>
      </c>
      <c r="AO149" s="57" t="n">
        <f aca="false">O148/$W$159</f>
        <v>0.736886682652574</v>
      </c>
      <c r="AP149" s="57" t="n">
        <f aca="false">P148/$W$159</f>
        <v>0.775552511989431</v>
      </c>
      <c r="AQ149" s="57" t="n">
        <f aca="false">Q148/$W$159</f>
        <v>0.827826883992073</v>
      </c>
      <c r="AR149" s="57" t="n">
        <f aca="false">R148/$W$159</f>
        <v>0.886632662994055</v>
      </c>
    </row>
    <row r="150" customFormat="false" ht="11.25" hidden="false" customHeight="false" outlineLevel="0" collapsed="false">
      <c r="E150" s="8"/>
      <c r="F150" s="8"/>
      <c r="G150" s="8"/>
      <c r="H150" s="8"/>
      <c r="I150" s="8"/>
      <c r="J150" s="37" t="str">
        <f aca="false">CONCATENATE(A139," calculated from Your forecast")</f>
        <v> % de investimento voluntário calculado a partir da sua previsão</v>
      </c>
      <c r="K150" s="43" t="n">
        <f aca="false">K143</f>
        <v>0.1</v>
      </c>
      <c r="L150" s="43" t="n">
        <f aca="false">L143</f>
        <v>1.274</v>
      </c>
      <c r="M150" s="43" t="n">
        <f aca="false">M143</f>
        <v>1.96</v>
      </c>
      <c r="N150" s="43" t="n">
        <f aca="false">N143</f>
        <v>2.646</v>
      </c>
      <c r="O150" s="43" t="n">
        <f aca="false">O143</f>
        <v>3.332</v>
      </c>
      <c r="P150" s="43" t="n">
        <f aca="false">P143</f>
        <v>4.018</v>
      </c>
      <c r="Q150" s="43" t="n">
        <f aca="false">Q143</f>
        <v>4.9</v>
      </c>
      <c r="R150" s="43" t="n">
        <f aca="false">R143</f>
        <v>5.88</v>
      </c>
      <c r="S150" s="28" t="s">
        <v>25</v>
      </c>
      <c r="T150" s="13"/>
      <c r="AA150" s="29" t="str">
        <f aca="false">CONCATENATE(A136," (0 - ",W160, " T$ / yr)")</f>
        <v> Consumo (0 - 28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K147/$W$160</f>
        <v>0.650504412670499</v>
      </c>
      <c r="AL150" s="57" t="n">
        <f aca="false">L147/$W$160</f>
        <v>0.646562519435919</v>
      </c>
      <c r="AM150" s="57" t="n">
        <f aca="false">M147/$W$160</f>
        <v>0.65415420924002</v>
      </c>
      <c r="AN150" s="57" t="n">
        <f aca="false">N147/$W$160</f>
        <v>0.645521189523532</v>
      </c>
      <c r="AO150" s="57" t="n">
        <f aca="false">O147/$W$160</f>
        <v>0.626216245194433</v>
      </c>
      <c r="AP150" s="57" t="n">
        <f aca="false">P147/$W$160</f>
        <v>0.599794647329128</v>
      </c>
      <c r="AQ150" s="57" t="n">
        <f aca="false">Q147/$W$160</f>
        <v>0.567418292372342</v>
      </c>
      <c r="AR150" s="57" t="n">
        <f aca="false">R147/$W$160</f>
        <v>0.530697716752878</v>
      </c>
    </row>
    <row r="151" customFormat="false" ht="11.25" hidden="false" customHeight="false" outlineLevel="0" collapsed="false">
      <c r="E151" s="8"/>
      <c r="F151" s="8"/>
      <c r="G151" s="8"/>
      <c r="H151" s="8"/>
      <c r="I151" s="8"/>
      <c r="J151" s="37" t="str">
        <f aca="false">CONCATENATE(A140," calculated from Your forecast")</f>
        <v> % de investimento forçado calculado a partir da sua previsão</v>
      </c>
      <c r="K151" s="43" t="n">
        <f aca="false">K144</f>
        <v>0.15</v>
      </c>
      <c r="L151" s="43" t="n">
        <f aca="false">L144</f>
        <v>0.784</v>
      </c>
      <c r="M151" s="43" t="n">
        <f aca="false">M144</f>
        <v>1.47</v>
      </c>
      <c r="N151" s="43" t="n">
        <f aca="false">N144</f>
        <v>2.156</v>
      </c>
      <c r="O151" s="43" t="n">
        <f aca="false">O144</f>
        <v>2.842</v>
      </c>
      <c r="P151" s="43" t="n">
        <f aca="false">P144</f>
        <v>3.528</v>
      </c>
      <c r="Q151" s="43" t="n">
        <f aca="false">Q144</f>
        <v>4.606</v>
      </c>
      <c r="R151" s="43" t="n">
        <f aca="false">R144</f>
        <v>5.88</v>
      </c>
      <c r="S151" s="28" t="s">
        <v>25</v>
      </c>
      <c r="T151" s="13"/>
      <c r="AA151" s="29" t="str">
        <f aca="false">CONCATENATE("normal + norm change inv."," (0 - ",W159,"% /yr)")</f>
        <v> normal + mudança normal inv. (0 - 40%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(K149+K152)/$W$159</f>
        <v>0.544807293321717</v>
      </c>
      <c r="AL151" s="48" t="n">
        <f aca="false">(L149+L152)/$W$159</f>
        <v>0.558605469991288</v>
      </c>
      <c r="AM151" s="48" t="n">
        <f aca="false">(M149+M152)/$W$159</f>
        <v>0.568954102493466</v>
      </c>
      <c r="AN151" s="48" t="n">
        <f aca="false">(N149+N152)/$W$159</f>
        <v>0.576715576870099</v>
      </c>
      <c r="AO151" s="48" t="n">
        <f aca="false">(O149+O152)/$W$159</f>
        <v>0.582536682652574</v>
      </c>
      <c r="AP151" s="48" t="n">
        <f aca="false">(P149+P152)/$W$159</f>
        <v>0.586902511989431</v>
      </c>
      <c r="AQ151" s="48" t="n">
        <f aca="false">(Q149+Q152)/$W$159</f>
        <v>0.590176883992073</v>
      </c>
      <c r="AR151" s="48" t="n">
        <f aca="false">(R149+R152)/$W$159</f>
        <v>0.592632662994055</v>
      </c>
    </row>
    <row r="152" s="3" customFormat="true" ht="11.25" hidden="false" customHeight="false" outlineLevel="0" collapsed="false">
      <c r="D152" s="8"/>
      <c r="E152" s="8"/>
      <c r="F152" s="8"/>
      <c r="G152" s="8"/>
      <c r="H152" s="8"/>
      <c r="I152" s="8"/>
      <c r="J152" s="37" t="str">
        <f aca="false">CONCATENATE(A141," calculated from Your forecast")</f>
        <v> Variação percentual na taxa de investimento normal calculada a partir da sua previsão.</v>
      </c>
      <c r="K152" s="43" t="n">
        <f aca="false">5*(24 - K$149)/20</f>
        <v>0.735902755710445</v>
      </c>
      <c r="L152" s="43" t="n">
        <f aca="false">5*(24 - L$149)/20</f>
        <v>0.551927066782834</v>
      </c>
      <c r="M152" s="43" t="n">
        <f aca="false">5*(24 - M$149)/20</f>
        <v>0.413945300087125</v>
      </c>
      <c r="N152" s="43" t="n">
        <f aca="false">5*(24 - N$149)/20</f>
        <v>0.310458975065344</v>
      </c>
      <c r="O152" s="43" t="n">
        <f aca="false">5*(24 - O$149)/20</f>
        <v>0.232844231299008</v>
      </c>
      <c r="P152" s="43" t="n">
        <f aca="false">5*(24 - P$149)/20</f>
        <v>0.174633173474255</v>
      </c>
      <c r="Q152" s="43" t="n">
        <f aca="false">5*(24 - Q$149)/20</f>
        <v>0.130974880105692</v>
      </c>
      <c r="R152" s="43" t="n">
        <f aca="false">5*(24 - R$149)/20</f>
        <v>0.0982311600792691</v>
      </c>
      <c r="S152" s="28" t="s">
        <v>25</v>
      </c>
      <c r="T152" s="13"/>
      <c r="X152" s="15" t="s">
        <v>33</v>
      </c>
      <c r="AA152" s="29" t="str">
        <f aca="false">CONCATENATE("normal + voluntary inv."," (0 - ",W159,"% /yr)")</f>
        <v> Inventário normal + voluntário (0 - 40%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(K149+K152+K150)/$W$159</f>
        <v>0.547307293321717</v>
      </c>
      <c r="AL152" s="48" t="n">
        <f aca="false">(L149+L152+L150)/$W$159</f>
        <v>0.590455469991288</v>
      </c>
      <c r="AM152" s="48" t="n">
        <f aca="false">(M149+M152+M150)/$W$159</f>
        <v>0.617954102493466</v>
      </c>
      <c r="AN152" s="48" t="n">
        <f aca="false">(N149+N152+N150)/$W$159</f>
        <v>0.642865576870099</v>
      </c>
      <c r="AO152" s="48" t="n">
        <f aca="false">(O149+O152+O150)/$W$159</f>
        <v>0.665836682652575</v>
      </c>
      <c r="AP152" s="48" t="n">
        <f aca="false">(P149+P152+P150)/$W$159</f>
        <v>0.687352511989431</v>
      </c>
      <c r="AQ152" s="48" t="n">
        <f aca="false">(Q149+Q152+Q150)/$W$159</f>
        <v>0.712676883992073</v>
      </c>
      <c r="AR152" s="48" t="n">
        <f aca="false">(R149+R152+R150)/$W$159</f>
        <v>0.739632662994055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(0 - 40%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(K149+K150+K151+K152)/$W$159</f>
        <v>0.551057293321717</v>
      </c>
      <c r="AL153" s="48" t="n">
        <f aca="false">(L149+L150+L151+L152)/$W$159</f>
        <v>0.610055469991288</v>
      </c>
      <c r="AM153" s="48" t="n">
        <f aca="false">(M149+M150+M151+M152)/$W$159</f>
        <v>0.654704102493466</v>
      </c>
      <c r="AN153" s="48" t="n">
        <f aca="false">(N149+N150+N151+N152)/$W$159</f>
        <v>0.696765576870099</v>
      </c>
      <c r="AO153" s="48" t="n">
        <f aca="false">(O149+O150+O151+O152)/$W$159</f>
        <v>0.736886682652574</v>
      </c>
      <c r="AP153" s="48" t="n">
        <f aca="false">(P149+P150+P151+P152)/$W$159</f>
        <v>0.775552511989431</v>
      </c>
      <c r="AQ153" s="48" t="n">
        <f aca="false">(Q149+Q150+Q151+Q152)/$W$159</f>
        <v>0.827826883992073</v>
      </c>
      <c r="AR153" s="48" t="n">
        <f aca="false">(R149+R150+R151+R152)/$W$159</f>
        <v>0.886632662994055</v>
      </c>
    </row>
    <row r="154" s="3" customFormat="true" ht="28.3" hidden="false" customHeight="false" outlineLevel="0" collapsed="false">
      <c r="T154" s="13"/>
      <c r="U154" s="55" t="s">
        <v>37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48" t="n">
        <f aca="false">K149*K$104/100</f>
        <v>4.91963756981094</v>
      </c>
      <c r="AL154" s="48" t="n">
        <f aca="false">L149*L$104/100</f>
        <v>5.21870095992437</v>
      </c>
      <c r="AM154" s="48" t="n">
        <f aca="false">M149*M$104/100</f>
        <v>5.54469088659759</v>
      </c>
      <c r="AN154" s="48" t="n">
        <f aca="false">N149*N$104/100</f>
        <v>5.70287139642948</v>
      </c>
      <c r="AO154" s="48" t="n">
        <f aca="false">O149*O$104/100</f>
        <v>5.73540138747869</v>
      </c>
      <c r="AP154" s="48" t="n">
        <f aca="false">P149*P$104/100</f>
        <v>5.67327612096049</v>
      </c>
      <c r="AQ154" s="48" t="n">
        <f aca="false">Q149*Q$104/100</f>
        <v>5.57629954860132</v>
      </c>
      <c r="AR154" s="48" t="n">
        <f aca="false">R149*R$104/100</f>
        <v>5.4356837985158</v>
      </c>
    </row>
    <row r="155" s="3" customFormat="true" ht="11.25" hidden="false" customHeight="false" outlineLevel="0" collapsed="false">
      <c r="T155" s="13"/>
      <c r="U155" s="15" t="str">
        <f aca="false">AA135</f>
        <v> PIB da OCDE excluindo os EUA (0 - 28 trilhões de dólares/ano)</v>
      </c>
      <c r="V155" s="25" t="n">
        <v>28</v>
      </c>
      <c r="W155" s="70" t="n">
        <f aca="false">W158</f>
        <v>28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48" t="n">
        <f aca="false">K150*K$104/100</f>
        <v>0.0233641085142743</v>
      </c>
      <c r="AL155" s="48" t="n">
        <f aca="false">L150*L$104/100</f>
        <v>0.305090676301645</v>
      </c>
      <c r="AM155" s="48" t="n">
        <f aca="false">M150*M$104/100</f>
        <v>0.486371630853381</v>
      </c>
      <c r="AN155" s="48" t="n">
        <f aca="false">N150*N$104/100</f>
        <v>0.66304986855797</v>
      </c>
      <c r="AO155" s="48" t="n">
        <f aca="false">O150*O$104/100</f>
        <v>0.828413441110481</v>
      </c>
      <c r="AP155" s="48" t="n">
        <f aca="false">P150*P$104/100</f>
        <v>0.97827416422179</v>
      </c>
      <c r="AQ155" s="48" t="n">
        <f aca="false">Q150*Q$104/100</f>
        <v>1.16390146702245</v>
      </c>
      <c r="AR155" s="48" t="n">
        <f aca="false">R150*R$104/100</f>
        <v>1.35390853158619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(0 - 40%/ano)</v>
      </c>
      <c r="V156" s="25" t="n">
        <v>40</v>
      </c>
      <c r="W156" s="70" t="n">
        <f aca="false">W159</f>
        <v>40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48" t="n">
        <f aca="false">K151*K$104/100</f>
        <v>0.0350461627714115</v>
      </c>
      <c r="AL156" s="48" t="n">
        <f aca="false">L151*L$104/100</f>
        <v>0.18774810849332</v>
      </c>
      <c r="AM156" s="48" t="n">
        <f aca="false">M151*M$104/100</f>
        <v>0.364778723140036</v>
      </c>
      <c r="AN156" s="48" t="n">
        <f aca="false">N151*N$104/100</f>
        <v>0.540262855862049</v>
      </c>
      <c r="AO156" s="48" t="n">
        <f aca="false">O151*O$104/100</f>
        <v>0.706587935064822</v>
      </c>
      <c r="AP156" s="48" t="n">
        <f aca="false">P151*P$104/100</f>
        <v>0.858972436877669</v>
      </c>
      <c r="AQ156" s="48" t="n">
        <f aca="false">Q151*Q$104/100</f>
        <v>1.09406737900111</v>
      </c>
      <c r="AR156" s="48" t="n">
        <f aca="false">R151*R$104/100</f>
        <v>1.35390853158619</v>
      </c>
    </row>
    <row r="157" s="3" customFormat="true" ht="11.25" hidden="false" customHeight="false" outlineLevel="0" collapsed="false">
      <c r="T157" s="13"/>
      <c r="U157" s="15" t="str">
        <f aca="false">AA137</f>
        <v> Consumo (0 - 28 T$ / ano)</v>
      </c>
      <c r="V157" s="25" t="n">
        <f aca="false">V155</f>
        <v>28</v>
      </c>
      <c r="W157" s="70" t="n">
        <f aca="false">W160</f>
        <v>28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48" t="n">
        <f aca="false">K152*K$104/100</f>
        <v>0.171937118403723</v>
      </c>
      <c r="AL157" s="48" t="n">
        <f aca="false">L152*L$104/100</f>
        <v>0.132172529100438</v>
      </c>
      <c r="AM157" s="48" t="n">
        <f aca="false">M152*M$104/100</f>
        <v>0.102720025860953</v>
      </c>
      <c r="AN157" s="48" t="n">
        <f aca="false">N152*N$104/100</f>
        <v>0.0777965920671648</v>
      </c>
      <c r="AO157" s="48" t="n">
        <f aca="false">O152*O$104/100</f>
        <v>0.0578905434853348</v>
      </c>
      <c r="AP157" s="48" t="n">
        <f aca="false">P152*P$104/100</f>
        <v>0.0425184474429881</v>
      </c>
      <c r="AQ157" s="48" t="n">
        <f aca="false">Q152*Q$104/100</f>
        <v>0.0311105826730825</v>
      </c>
      <c r="AR157" s="48" t="n">
        <f aca="false">R152*R$104/100</f>
        <v>0.0226183683161448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PIB da OCDE excluindo EUA (0 - 28 trilhões de dólares/ano) sua previsão</v>
      </c>
      <c r="W158" s="4" t="n">
        <v>28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K146-AK157-AK154-AK155-AK156</f>
        <v>0</v>
      </c>
      <c r="AL158" s="48" t="n">
        <f aca="false">L146-AL157-AL154-AL155-AL156</f>
        <v>0</v>
      </c>
      <c r="AM158" s="48" t="n">
        <f aca="false">M146-AM157-AM154-AM155-AM156</f>
        <v>0</v>
      </c>
      <c r="AN158" s="48" t="n">
        <f aca="false">N146-AN157-AN154-AN155-AN156</f>
        <v>0</v>
      </c>
      <c r="AO158" s="48" t="n">
        <f aca="false">O146-AO157-AO154-AO155-AO156</f>
        <v>0</v>
      </c>
      <c r="AP158" s="48" t="n">
        <f aca="false">P146-AP157-AP154-AP155-AP156</f>
        <v>0</v>
      </c>
      <c r="AQ158" s="48" t="n">
        <f aca="false">Q146-AQ157-AQ154-AQ155-AQ156</f>
        <v>0</v>
      </c>
      <c r="AR158" s="48" t="n">
        <f aca="false">R146-AR157-AR154-AR155-AR156</f>
        <v>0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(0 - 40%/ano) sua previsão</v>
      </c>
      <c r="W159" s="4" t="n">
        <v>40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(0 - 28 T$/ano) sua previsão</v>
      </c>
      <c r="W160" s="93" t="n">
        <f aca="false">W158</f>
        <v>28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 Gráfico 4a. Participação no investimento - OCDE (excluindo EUA)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1.25" hidden="false" customHeight="false" outlineLevel="0" collapsed="false">
      <c r="T194" s="13"/>
    </row>
    <row r="195" customFormat="false" ht="11.25" hidden="false" customHeight="false" outlineLevel="0" collapsed="false">
      <c r="T195" s="13"/>
    </row>
    <row r="196" customFormat="false" ht="11.25" hidden="false" customHeight="false" outlineLevel="0" collapsed="false">
      <c r="T196" s="13"/>
    </row>
    <row r="197" customFormat="false" ht="11.25" hidden="false" customHeight="false" outlineLevel="0" collapsed="false">
      <c r="T197" s="13"/>
    </row>
    <row r="198" customFormat="false" ht="11.25" hidden="false" customHeight="false" outlineLevel="0" collapsed="false">
      <c r="T198" s="13"/>
    </row>
    <row r="199" customFormat="false" ht="11.25" hidden="false" customHeight="false" outlineLevel="0" collapsed="false">
      <c r="T199" s="13"/>
    </row>
    <row r="200" customFormat="false" ht="11.25" hidden="false" customHeight="false" outlineLevel="0" collapsed="false">
      <c r="T200" s="13"/>
    </row>
    <row r="201" customFormat="false" ht="11.25" hidden="false" customHeight="false" outlineLevel="0" collapsed="false">
      <c r="T201" s="13"/>
    </row>
    <row r="202" customFormat="false" ht="11.25" hidden="false" customHeight="false" outlineLevel="0" collapsed="false">
      <c r="T202" s="13"/>
    </row>
    <row r="203" customFormat="false" ht="11.25" hidden="false" customHeight="false" outlineLevel="0" collapsed="false">
      <c r="T203" s="13"/>
    </row>
    <row r="204" customFormat="false" ht="12.65" hidden="false" customHeight="false" outlineLevel="0" collapsed="false">
      <c r="B204" s="95"/>
      <c r="T204" s="13"/>
    </row>
    <row r="205" customFormat="false" ht="12.65" hidden="false" customHeight="false" outlineLevel="0" collapsed="false">
      <c r="A205" s="61" t="s">
        <v>78</v>
      </c>
      <c r="T205" s="13"/>
    </row>
    <row r="206" customFormat="false" ht="12.65" hidden="false" customHeight="false" outlineLevel="0" collapsed="false">
      <c r="A206" s="23" t="str">
        <f aca="false">CONCATENATE(A205,". Consumption per person - ",A5," 1970 to 2050")</f>
        <v> Gráfico 5. Consumo per capita - OCDE (excluindo EUA) de 1970 a 2050</v>
      </c>
      <c r="T206" s="13"/>
    </row>
    <row r="207" customFormat="false" ht="11.25" hidden="false" customHeight="false" outlineLevel="0" collapsed="false">
      <c r="B207" s="24" t="n">
        <v>1970</v>
      </c>
      <c r="C207" s="24" t="n">
        <v>1975</v>
      </c>
      <c r="D207" s="24" t="n">
        <v>1980</v>
      </c>
      <c r="E207" s="24" t="n">
        <v>1985</v>
      </c>
      <c r="F207" s="24" t="n">
        <v>1990</v>
      </c>
      <c r="G207" s="24" t="n">
        <v>1995</v>
      </c>
      <c r="H207" s="24" t="n">
        <v>2000</v>
      </c>
      <c r="I207" s="24" t="n">
        <v>2005</v>
      </c>
      <c r="J207" s="24" t="n">
        <v>2010</v>
      </c>
      <c r="K207" s="24" t="n">
        <v>2015</v>
      </c>
      <c r="L207" s="24" t="n">
        <v>2020</v>
      </c>
      <c r="M207" s="24" t="n">
        <v>2025</v>
      </c>
      <c r="N207" s="24" t="n">
        <v>2030</v>
      </c>
      <c r="O207" s="24" t="n">
        <v>2035</v>
      </c>
      <c r="P207" s="24" t="n">
        <v>2040</v>
      </c>
      <c r="Q207" s="24" t="n">
        <v>2045</v>
      </c>
      <c r="R207" s="24" t="n">
        <v>2050</v>
      </c>
      <c r="S207" s="25" t="s">
        <v>15</v>
      </c>
      <c r="T207" s="13"/>
      <c r="V207" s="96"/>
      <c r="AA207" s="52" t="s">
        <v>36</v>
      </c>
    </row>
    <row r="208" customFormat="false" ht="11.25" hidden="false" customHeight="false" outlineLevel="0" collapsed="false">
      <c r="A208" s="11" t="str">
        <f aca="false">A9</f>
        <v> População, EUA sem a OCDE</v>
      </c>
      <c r="B208" s="27" t="n">
        <f aca="false">B9</f>
        <v>595.374227</v>
      </c>
      <c r="C208" s="27" t="n">
        <f aca="false">C9</f>
        <v>621.516447</v>
      </c>
      <c r="D208" s="27" t="n">
        <f aca="false">D9</f>
        <v>641.189034</v>
      </c>
      <c r="E208" s="27" t="n">
        <f aca="false">E9</f>
        <v>657.807805</v>
      </c>
      <c r="F208" s="27" t="n">
        <f aca="false">F9</f>
        <v>673.722234</v>
      </c>
      <c r="G208" s="27" t="n">
        <f aca="false">G9</f>
        <v>691.036587</v>
      </c>
      <c r="H208" s="27" t="n">
        <f aca="false">H9</f>
        <v>702.813644</v>
      </c>
      <c r="I208" s="27" t="n">
        <f aca="false">I9</f>
        <v>719.529145</v>
      </c>
      <c r="J208" s="27" t="n">
        <f aca="false">J9</f>
        <v>737.137112</v>
      </c>
      <c r="K208" s="27" t="n">
        <f aca="false">K9</f>
        <v>741.75301738</v>
      </c>
      <c r="L208" s="27" t="n">
        <f aca="false">L9</f>
        <v>740.764981395305</v>
      </c>
      <c r="M208" s="27" t="n">
        <f aca="false">M9</f>
        <v>734.748102419289</v>
      </c>
      <c r="N208" s="27" t="n">
        <f aca="false">N9</f>
        <v>725.449473689415</v>
      </c>
      <c r="O208" s="27" t="n">
        <f aca="false">O9</f>
        <v>714.165765072909</v>
      </c>
      <c r="P208" s="27" t="n">
        <f aca="false">P9</f>
        <v>700.456452338414</v>
      </c>
      <c r="Q208" s="27" t="n">
        <f aca="false">Q9</f>
        <v>683.793496927245</v>
      </c>
      <c r="R208" s="27" t="n">
        <f aca="false">R9</f>
        <v>663.892291604916</v>
      </c>
      <c r="S208" s="28" t="s">
        <v>17</v>
      </c>
      <c r="T208" s="13"/>
      <c r="V208" s="96"/>
      <c r="AA208" s="52"/>
      <c r="AB208" s="24" t="n">
        <v>1970</v>
      </c>
      <c r="AC208" s="24" t="n">
        <v>1975</v>
      </c>
      <c r="AD208" s="24" t="n">
        <v>1980</v>
      </c>
      <c r="AE208" s="24" t="n">
        <v>1985</v>
      </c>
      <c r="AF208" s="24" t="n">
        <v>1990</v>
      </c>
      <c r="AG208" s="24" t="n">
        <v>1995</v>
      </c>
      <c r="AH208" s="24" t="n">
        <v>2000</v>
      </c>
      <c r="AI208" s="24" t="n">
        <v>2005</v>
      </c>
      <c r="AJ208" s="24" t="n">
        <v>2010</v>
      </c>
      <c r="AK208" s="24" t="n">
        <v>2015</v>
      </c>
      <c r="AL208" s="24" t="n">
        <v>2020</v>
      </c>
      <c r="AM208" s="24" t="n">
        <v>2025</v>
      </c>
      <c r="AN208" s="24" t="n">
        <v>2030</v>
      </c>
      <c r="AO208" s="24" t="n">
        <v>2035</v>
      </c>
      <c r="AP208" s="24" t="n">
        <v>2040</v>
      </c>
      <c r="AQ208" s="24" t="n">
        <v>2045</v>
      </c>
      <c r="AR208" s="24" t="n">
        <v>2050</v>
      </c>
    </row>
    <row r="209" customFormat="false" ht="11.25" hidden="false" customHeight="false" outlineLevel="0" collapsed="false">
      <c r="A209" s="11" t="str">
        <f aca="false">A136</f>
        <v> Consumo</v>
      </c>
      <c r="B209" s="75" t="n">
        <f aca="false">B136</f>
        <v>5.98206748944349</v>
      </c>
      <c r="C209" s="75" t="n">
        <f aca="false">C136</f>
        <v>7.46522048080206</v>
      </c>
      <c r="D209" s="75" t="n">
        <f aca="false">D136</f>
        <v>8.84396338190564</v>
      </c>
      <c r="E209" s="75" t="n">
        <f aca="false">E136</f>
        <v>9.95025216872323</v>
      </c>
      <c r="F209" s="75" t="n">
        <f aca="false">F136</f>
        <v>11.6566689600247</v>
      </c>
      <c r="G209" s="75" t="n">
        <f aca="false">G136</f>
        <v>12.9881797821747</v>
      </c>
      <c r="H209" s="75" t="n">
        <f aca="false">H136</f>
        <v>14.7609022605695</v>
      </c>
      <c r="I209" s="75" t="n">
        <f aca="false">I136</f>
        <v>16.4341210141262</v>
      </c>
      <c r="J209" s="75" t="n">
        <f aca="false">J136</f>
        <v>17.3842850508025</v>
      </c>
      <c r="K209" s="75" t="n">
        <f aca="false">K136</f>
        <v>18.214123554774</v>
      </c>
      <c r="L209" s="75" t="n">
        <f aca="false">L136</f>
        <v>18.5174146268724</v>
      </c>
      <c r="M209" s="75" t="n">
        <f aca="false">M136</f>
        <v>18.776419435994</v>
      </c>
      <c r="N209" s="75" t="n">
        <f aca="false">N136</f>
        <v>18.563101258296</v>
      </c>
      <c r="O209" s="75" t="n">
        <f aca="false">O136</f>
        <v>18.0349191890866</v>
      </c>
      <c r="P209" s="75" t="n">
        <f aca="false">P136</f>
        <v>17.2934813424493</v>
      </c>
      <c r="Q209" s="75" t="n">
        <f aca="false">Q136</f>
        <v>16.3690076228942</v>
      </c>
      <c r="R209" s="75" t="n">
        <f aca="false">R136</f>
        <v>15.310282857645</v>
      </c>
      <c r="S209" s="28" t="s">
        <v>53</v>
      </c>
      <c r="T209" s="13"/>
      <c r="V209" s="96"/>
      <c r="AA209" s="29" t="str">
        <f aca="false">CONCATENATE(A209," (0 - ",W213, " T$ / yr)")</f>
        <v> Consumo (0 - 28 T$ / ano)</v>
      </c>
      <c r="AB209" s="57" t="n">
        <f aca="false">B209/$W$213</f>
        <v>0.213645267480125</v>
      </c>
      <c r="AC209" s="57" t="n">
        <f aca="false">C209/$W$213</f>
        <v>0.266615017171502</v>
      </c>
      <c r="AD209" s="57" t="n">
        <f aca="false">D209/$W$213</f>
        <v>0.315855835068059</v>
      </c>
      <c r="AE209" s="57" t="n">
        <f aca="false">E209/$W$213</f>
        <v>0.355366148882972</v>
      </c>
      <c r="AF209" s="57" t="n">
        <f aca="false">F209/$W$213</f>
        <v>0.416309605715168</v>
      </c>
      <c r="AG209" s="57" t="n">
        <f aca="false">G209/$W$213</f>
        <v>0.463863563649098</v>
      </c>
      <c r="AH209" s="57" t="n">
        <f aca="false">H209/$W$213</f>
        <v>0.527175080734625</v>
      </c>
      <c r="AI209" s="57" t="n">
        <f aca="false">I209/$W$213</f>
        <v>0.586932893361652</v>
      </c>
      <c r="AJ209" s="57" t="n">
        <f aca="false">J209/$W$213</f>
        <v>0.620867323242946</v>
      </c>
      <c r="AK209" s="57" t="n">
        <f aca="false">K209/$W$213</f>
        <v>0.650504412670499</v>
      </c>
      <c r="AL209" s="57" t="n">
        <f aca="false">L209/$W$213</f>
        <v>0.661336236674013</v>
      </c>
      <c r="AM209" s="57" t="n">
        <f aca="false">M209/$W$213</f>
        <v>0.670586408428356</v>
      </c>
      <c r="AN209" s="57" t="n">
        <f aca="false">N209/$W$213</f>
        <v>0.662967902081999</v>
      </c>
      <c r="AO209" s="57" t="n">
        <f aca="false">O209/$W$213</f>
        <v>0.644104256753092</v>
      </c>
      <c r="AP209" s="57" t="n">
        <f aca="false">P209/$W$213</f>
        <v>0.617624333658905</v>
      </c>
      <c r="AQ209" s="57" t="n">
        <f aca="false">Q209/$W$213</f>
        <v>0.584607415103364</v>
      </c>
      <c r="AR209" s="57" t="n">
        <f aca="false">R209/$W$213</f>
        <v>0.546795816344466</v>
      </c>
      <c r="AS209" s="29"/>
    </row>
    <row r="210" customFormat="false" ht="11.25" hidden="false" customHeight="false" outlineLevel="0" collapsed="false">
      <c r="A210" s="11" t="s">
        <v>79</v>
      </c>
      <c r="B210" s="27" t="n">
        <f aca="false">B209/B208*1000000</f>
        <v>10047.5754880862</v>
      </c>
      <c r="C210" s="27" t="n">
        <f aca="false">C209/C208*1000000</f>
        <v>12011.2999693507</v>
      </c>
      <c r="D210" s="27" t="n">
        <f aca="false">D209/D208*1000000</f>
        <v>13793.0671189639</v>
      </c>
      <c r="E210" s="27" t="n">
        <f aca="false">E209/E208*1000000</f>
        <v>15126.3820421274</v>
      </c>
      <c r="F210" s="27" t="n">
        <f aca="false">F209/F208*1000000</f>
        <v>17301.8914498593</v>
      </c>
      <c r="G210" s="27" t="n">
        <f aca="false">G209/G208*1000000</f>
        <v>18795.2129113169</v>
      </c>
      <c r="H210" s="27" t="n">
        <f aca="false">H209/H208*1000000</f>
        <v>21002.5835249287</v>
      </c>
      <c r="I210" s="27" t="n">
        <f aca="false">I209/I208*1000000</f>
        <v>22840.1047105969</v>
      </c>
      <c r="J210" s="27" t="n">
        <f aca="false">J209/J208*1000000</f>
        <v>23583.5162384315</v>
      </c>
      <c r="K210" s="27" t="n">
        <f aca="false">K209/K208*1000000</f>
        <v>24555.5098907577</v>
      </c>
      <c r="L210" s="27" t="n">
        <f aca="false">L209/L208*1000000</f>
        <v>24997.691699725</v>
      </c>
      <c r="M210" s="27" t="n">
        <f aca="false">M209/M208*1000000</f>
        <v>25554.9070139403</v>
      </c>
      <c r="N210" s="27" t="n">
        <f aca="false">N209/N208*1000000</f>
        <v>25588.4137097649</v>
      </c>
      <c r="O210" s="27" t="n">
        <f aca="false">O209/O208*1000000</f>
        <v>25253.1275946074</v>
      </c>
      <c r="P210" s="27" t="n">
        <f aca="false">P209/P208*1000000</f>
        <v>24688.8743543107</v>
      </c>
      <c r="Q210" s="27" t="n">
        <f aca="false">Q209/Q208*1000000</f>
        <v>23938.5248564828</v>
      </c>
      <c r="R210" s="27" t="n">
        <f aca="false">R209/R208*1000000</f>
        <v>23061.395728264</v>
      </c>
      <c r="S210" s="28" t="s">
        <v>80</v>
      </c>
      <c r="T210" s="13"/>
      <c r="V210" s="96"/>
      <c r="X210" s="15" t="s">
        <v>33</v>
      </c>
      <c r="AA210" s="29" t="str">
        <f aca="false">CONCATENATE(A210," (0 - ",W214, " $ / yr)")</f>
        <v>Consumo por pessoa (0 - 26000 $ / ano)</v>
      </c>
      <c r="AB210" s="57" t="n">
        <f aca="false">B210/$W$214</f>
        <v>0.38644521108024</v>
      </c>
      <c r="AC210" s="57" t="n">
        <f aca="false">C210/$W$214</f>
        <v>0.461973075744258</v>
      </c>
      <c r="AD210" s="57" t="n">
        <f aca="false">D210/$W$214</f>
        <v>0.530502581498612</v>
      </c>
      <c r="AE210" s="57" t="n">
        <f aca="false">E210/$W$214</f>
        <v>0.581783924697207</v>
      </c>
      <c r="AF210" s="57" t="n">
        <f aca="false">F210/$W$214</f>
        <v>0.665457363456127</v>
      </c>
      <c r="AG210" s="57" t="n">
        <f aca="false">G210/$W$214</f>
        <v>0.722892804281418</v>
      </c>
      <c r="AH210" s="57" t="n">
        <f aca="false">H210/$W$214</f>
        <v>0.80779167403572</v>
      </c>
      <c r="AI210" s="57" t="n">
        <f aca="false">I210/$W$214</f>
        <v>0.878465565792188</v>
      </c>
      <c r="AJ210" s="57" t="n">
        <f aca="false">J210/$W$214</f>
        <v>0.907058316862749</v>
      </c>
      <c r="AK210" s="57" t="n">
        <f aca="false">K210/$W$214</f>
        <v>0.944442688106066</v>
      </c>
      <c r="AL210" s="57" t="n">
        <f aca="false">L210/$W$214</f>
        <v>0.961449680758654</v>
      </c>
      <c r="AM210" s="57" t="n">
        <f aca="false">M210/$W$214</f>
        <v>0.982881038997702</v>
      </c>
      <c r="AN210" s="57" t="n">
        <f aca="false">N210/$W$214</f>
        <v>0.984169758067882</v>
      </c>
      <c r="AO210" s="57" t="n">
        <f aca="false">O210/$W$214</f>
        <v>0.971274138254131</v>
      </c>
      <c r="AP210" s="57" t="n">
        <f aca="false">P210/$W$214</f>
        <v>0.949572090550412</v>
      </c>
      <c r="AQ210" s="57" t="n">
        <f aca="false">Q210/$W$214</f>
        <v>0.920712494480109</v>
      </c>
      <c r="AR210" s="57" t="n">
        <f aca="false">R210/$W$214</f>
        <v>0.886976758779386</v>
      </c>
      <c r="AS210" s="29"/>
    </row>
    <row r="211" customFormat="false" ht="11.25" hidden="false" customHeight="false" outlineLevel="0" collapsed="false">
      <c r="A211" s="97"/>
      <c r="T211" s="13"/>
      <c r="V211" s="3" t="s">
        <v>35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98" t="n">
        <f aca="false">K17</f>
        <v>741.75301738</v>
      </c>
      <c r="AL211" s="98" t="n">
        <f aca="false">L17</f>
        <v>740.784742114999</v>
      </c>
      <c r="AM211" s="98" t="n">
        <f aca="false">M17</f>
        <v>734.888043421783</v>
      </c>
      <c r="AN211" s="98" t="n">
        <f aca="false">N17</f>
        <v>725.773651659115</v>
      </c>
      <c r="AO211" s="98" t="n">
        <f aca="false">O17</f>
        <v>714.71067576652</v>
      </c>
      <c r="AP211" s="98" t="n">
        <f aca="false">P17</f>
        <v>701.265298243544</v>
      </c>
      <c r="AQ211" s="98" t="n">
        <f aca="false">Q17</f>
        <v>684.916745367941</v>
      </c>
      <c r="AR211" s="98" t="n">
        <f aca="false">R17</f>
        <v>665.381526822093</v>
      </c>
      <c r="AS211" s="29"/>
    </row>
    <row r="212" customFormat="false" ht="28.3" hidden="false" customHeight="false" outlineLevel="0" collapsed="false">
      <c r="T212" s="13"/>
      <c r="U212" s="55" t="s">
        <v>37</v>
      </c>
      <c r="V212" s="54" t="s">
        <v>38</v>
      </c>
      <c r="W212" s="54" t="s">
        <v>39</v>
      </c>
      <c r="X212" s="55"/>
      <c r="Y212" s="55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48" t="n">
        <f aca="false">K147</f>
        <v>18.214123554774</v>
      </c>
      <c r="AL212" s="48" t="n">
        <f aca="false">L147</f>
        <v>18.1037505442057</v>
      </c>
      <c r="AM212" s="48" t="n">
        <f aca="false">M147</f>
        <v>18.3163178587206</v>
      </c>
      <c r="AN212" s="48" t="n">
        <f aca="false">N147</f>
        <v>18.0745933066589</v>
      </c>
      <c r="AO212" s="48" t="n">
        <f aca="false">O147</f>
        <v>17.5340548654441</v>
      </c>
      <c r="AP212" s="48" t="n">
        <f aca="false">P147</f>
        <v>16.7942501252156</v>
      </c>
      <c r="AQ212" s="48" t="n">
        <f aca="false">Q147</f>
        <v>15.8877121864256</v>
      </c>
      <c r="AR212" s="48" t="n">
        <f aca="false">R147</f>
        <v>14.8595360690806</v>
      </c>
      <c r="AS212" s="29"/>
    </row>
    <row r="213" customFormat="false" ht="11.25" hidden="false" customHeight="false" outlineLevel="0" collapsed="false">
      <c r="T213" s="13"/>
      <c r="U213" s="99" t="str">
        <f aca="false">AA209</f>
        <v> Consumo (0 - 28 T$ / ano)</v>
      </c>
      <c r="V213" s="25" t="n">
        <v>28</v>
      </c>
      <c r="W213" s="70" t="n">
        <f aca="false">W215</f>
        <v>28</v>
      </c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47" t="n">
        <f aca="false">AK212/AK211*1000000</f>
        <v>24555.5098907577</v>
      </c>
      <c r="AL213" s="47" t="n">
        <f aca="false">AL212/AL211*1000000</f>
        <v>24438.6115358128</v>
      </c>
      <c r="AM213" s="47" t="n">
        <f aca="false">AM212/AM211*1000000</f>
        <v>24923.9568158385</v>
      </c>
      <c r="AN213" s="47" t="n">
        <f aca="false">AN212/AN211*1000000</f>
        <v>24903.8984335412</v>
      </c>
      <c r="AO213" s="47" t="n">
        <f aca="false">AO212/AO211*1000000</f>
        <v>24533.080951448</v>
      </c>
      <c r="AP213" s="47" t="n">
        <f aca="false">AP212/AP211*1000000</f>
        <v>23948.4973337196</v>
      </c>
      <c r="AQ213" s="47" t="n">
        <f aca="false">AQ212/AQ211*1000000</f>
        <v>23196.5597189343</v>
      </c>
      <c r="AR213" s="47" t="n">
        <f aca="false">AR212/AR211*1000000</f>
        <v>22332.3544013173</v>
      </c>
      <c r="AS213" s="29"/>
    </row>
    <row r="214" customFormat="false" ht="11.25" hidden="false" customHeight="false" outlineLevel="0" collapsed="false">
      <c r="T214" s="13"/>
      <c r="U214" s="99" t="str">
        <f aca="false">AA210</f>
        <v> Consumo por pessoa (0 - 26000 $ / ano)</v>
      </c>
      <c r="V214" s="25" t="n">
        <v>26000</v>
      </c>
      <c r="W214" s="70" t="n">
        <f aca="false">W216</f>
        <v>26000</v>
      </c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customFormat="false" ht="11.25" hidden="false" customHeight="false" outlineLevel="0" collapsed="false">
      <c r="T215" s="13"/>
      <c r="U215" s="100" t="str">
        <f aca="false">CONCATENATE("Consumption from Your forecast (0 - ",W215, " T$ / yr)")</f>
        <v> Consumo previsto (0 - 28 T$/ano)</v>
      </c>
      <c r="W215" s="4" t="n">
        <v>28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57" t="n">
        <f aca="false">AK212/$W$215</f>
        <v>0.650504412670499</v>
      </c>
      <c r="AL215" s="57" t="n">
        <f aca="false">AL212/$W$215</f>
        <v>0.646562519435919</v>
      </c>
      <c r="AM215" s="57" t="n">
        <f aca="false">AM212/$W$215</f>
        <v>0.65415420924002</v>
      </c>
      <c r="AN215" s="57" t="n">
        <f aca="false">AN212/$W$215</f>
        <v>0.645521189523532</v>
      </c>
      <c r="AO215" s="57" t="n">
        <f aca="false">AO212/$W$215</f>
        <v>0.626216245194433</v>
      </c>
      <c r="AP215" s="57" t="n">
        <f aca="false">AP212/$W$215</f>
        <v>0.599794647329128</v>
      </c>
      <c r="AQ215" s="57" t="n">
        <f aca="false">AQ212/$W$215</f>
        <v>0.567418292372342</v>
      </c>
      <c r="AR215" s="57" t="n">
        <f aca="false">AR212/$W$215</f>
        <v>0.530697716752878</v>
      </c>
      <c r="AS215" s="29"/>
    </row>
    <row r="216" customFormat="false" ht="11.25" hidden="false" customHeight="false" outlineLevel="0" collapsed="false">
      <c r="T216" s="13"/>
      <c r="U216" s="37" t="str">
        <f aca="false">CONCATENATE("Consumption per person from Your forecast (0 - ",W216, " $ / yr)")</f>
        <v> Consumo por pessoa de acordo com sua previsão (0 - 26.000 $/ano)</v>
      </c>
      <c r="W216" s="4" t="n">
        <v>26000</v>
      </c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57" t="n">
        <f aca="false">AK213/$W$216</f>
        <v>0.944442688106066</v>
      </c>
      <c r="AL216" s="57" t="n">
        <f aca="false">AL213/$W$216</f>
        <v>0.939946597531262</v>
      </c>
      <c r="AM216" s="57" t="n">
        <f aca="false">AM213/$W$216</f>
        <v>0.958613723686095</v>
      </c>
      <c r="AN216" s="57" t="n">
        <f aca="false">AN213/$W$216</f>
        <v>0.957842247443893</v>
      </c>
      <c r="AO216" s="57" t="n">
        <f aca="false">AO213/$W$216</f>
        <v>0.943580036594154</v>
      </c>
      <c r="AP216" s="57" t="n">
        <f aca="false">AP213/$W$216</f>
        <v>0.921096051296907</v>
      </c>
      <c r="AQ216" s="57" t="n">
        <f aca="false">AQ213/$W$216</f>
        <v>0.892175373805166</v>
      </c>
      <c r="AR216" s="57" t="n">
        <f aca="false">AR213/$W$216</f>
        <v>0.858936707742972</v>
      </c>
      <c r="AS216" s="29"/>
    </row>
    <row r="217" customFormat="false" ht="11.25" hidden="false" customHeight="false" outlineLevel="0" collapsed="false">
      <c r="T217" s="13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S217" s="29"/>
    </row>
    <row r="218" customFormat="false" ht="11.25" hidden="false" customHeight="false" outlineLevel="0" collapsed="false">
      <c r="T218" s="13"/>
    </row>
    <row r="219" customFormat="fals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s="3" customFormat="true" ht="11.25" hidden="false" customHeight="false" outlineLevel="0" collapsed="false">
      <c r="T225" s="13"/>
    </row>
    <row r="226" s="35" customFormat="true" ht="13.8" hidden="false" customHeight="false" outlineLevel="0" collapsed="false">
      <c r="T226" s="13"/>
      <c r="V226" s="3"/>
      <c r="W226" s="3"/>
      <c r="X226" s="3"/>
      <c r="Y226" s="3"/>
    </row>
    <row r="227" s="35" customFormat="true" ht="13.8" hidden="false" customHeight="false" outlineLevel="0" collapsed="false">
      <c r="T227" s="13"/>
      <c r="V227" s="3"/>
      <c r="W227" s="3"/>
      <c r="X227" s="3"/>
      <c r="Y227" s="3"/>
    </row>
    <row r="228" s="3" customFormat="true" ht="11.25" hidden="false" customHeight="false" outlineLevel="0" collapsed="false">
      <c r="T228" s="13"/>
    </row>
    <row r="229" s="3" customFormat="true" ht="11.25" hidden="false" customHeight="false" outlineLevel="0" collapsed="false">
      <c r="T229" s="13"/>
    </row>
    <row r="230" customFormat="false" ht="11.25" hidden="false" customHeight="false" outlineLevel="0" collapsed="false">
      <c r="T230" s="13"/>
    </row>
    <row r="231" customFormat="false" ht="11.25" hidden="false" customHeight="false" outlineLevel="0" collapsed="false">
      <c r="T231" s="13"/>
    </row>
    <row r="232" customFormat="false" ht="11.25" hidden="false" customHeight="false" outlineLevel="0" collapsed="false">
      <c r="T232" s="13"/>
    </row>
    <row r="233" customFormat="false" ht="11.25" hidden="false" customHeight="false" outlineLevel="0" collapsed="false">
      <c r="T233" s="13"/>
    </row>
    <row r="234" customFormat="false" ht="11.25" hidden="false" customHeight="false" outlineLevel="0" collapsed="false">
      <c r="T234" s="13"/>
    </row>
    <row r="235" customFormat="false" ht="11.25" hidden="false" customHeight="false" outlineLevel="0" collapsed="false">
      <c r="T235" s="13"/>
    </row>
    <row r="236" customFormat="false" ht="11.25" hidden="false" customHeight="false" outlineLevel="0" collapsed="false">
      <c r="T236" s="13"/>
    </row>
    <row r="237" customFormat="false" ht="11.25" hidden="false" customHeight="false" outlineLevel="0" collapsed="false">
      <c r="T237" s="13"/>
    </row>
    <row r="238" customFormat="false" ht="12.65" hidden="false" customHeight="false" outlineLevel="0" collapsed="false">
      <c r="A238" s="61" t="s">
        <v>81</v>
      </c>
      <c r="T238" s="13"/>
    </row>
    <row r="239" customFormat="false" ht="12.65" hidden="false" customHeight="false" outlineLevel="0" collapsed="false">
      <c r="A239" s="23" t="str">
        <f aca="false">CONCATENATE(A238,". Energy Use - ",A5," 1970 to 2050")</f>
        <v> Gráfico 6. Uso de energia - OCDE (excluindo EUA) de 1970 a 2050</v>
      </c>
      <c r="T239" s="13"/>
    </row>
    <row r="240" customFormat="false" ht="11.25" hidden="false" customHeight="false" outlineLevel="0" collapsed="false">
      <c r="B240" s="101" t="n">
        <v>1970</v>
      </c>
      <c r="C240" s="101" t="n">
        <v>1975</v>
      </c>
      <c r="D240" s="101" t="n">
        <v>1980</v>
      </c>
      <c r="E240" s="101" t="n">
        <v>1985</v>
      </c>
      <c r="F240" s="101" t="n">
        <v>1990</v>
      </c>
      <c r="G240" s="101" t="n">
        <v>1995</v>
      </c>
      <c r="H240" s="101" t="n">
        <v>2000</v>
      </c>
      <c r="I240" s="101" t="n">
        <v>2005</v>
      </c>
      <c r="J240" s="101" t="n">
        <v>2010</v>
      </c>
      <c r="K240" s="101" t="n">
        <v>2015</v>
      </c>
      <c r="L240" s="101" t="n">
        <v>2020</v>
      </c>
      <c r="M240" s="101" t="n">
        <v>2025</v>
      </c>
      <c r="N240" s="101" t="n">
        <v>2030</v>
      </c>
      <c r="O240" s="101" t="n">
        <v>2035</v>
      </c>
      <c r="P240" s="101" t="n">
        <v>2040</v>
      </c>
      <c r="Q240" s="101" t="n">
        <v>2045</v>
      </c>
      <c r="R240" s="101" t="n">
        <v>2050</v>
      </c>
      <c r="S240" s="25" t="s">
        <v>15</v>
      </c>
      <c r="T240" s="13"/>
    </row>
    <row r="241" customFormat="false" ht="11.25" hidden="false" customHeight="false" outlineLevel="0" collapsed="false">
      <c r="A241" s="11" t="str">
        <f aca="false">A134</f>
        <v> PIB dos EUA sem OCDE</v>
      </c>
      <c r="B241" s="102" t="n">
        <f aca="false">B134</f>
        <v>8.0601523701427</v>
      </c>
      <c r="C241" s="102" t="n">
        <f aca="false">C134</f>
        <v>9.64417111611257</v>
      </c>
      <c r="D241" s="102" t="n">
        <f aca="false">D134</f>
        <v>11.4565226041584</v>
      </c>
      <c r="E241" s="102" t="n">
        <f aca="false">E134</f>
        <v>12.616682108126</v>
      </c>
      <c r="F241" s="102" t="n">
        <f aca="false">F134</f>
        <v>15.4525796383615</v>
      </c>
      <c r="G241" s="102" t="n">
        <f aca="false">G134</f>
        <v>16.95702974134</v>
      </c>
      <c r="H241" s="102" t="n">
        <f aca="false">H134</f>
        <v>19.3777579831424</v>
      </c>
      <c r="I241" s="102" t="n">
        <f aca="false">I134</f>
        <v>21.4454293886402</v>
      </c>
      <c r="J241" s="102" t="n">
        <f aca="false">J134</f>
        <v>22.0211424655663</v>
      </c>
      <c r="K241" s="32" t="n">
        <f aca="false">K134</f>
        <v>23.3641085142743</v>
      </c>
      <c r="L241" s="32" t="n">
        <f aca="false">L134</f>
        <v>24.5082696951679</v>
      </c>
      <c r="M241" s="32" t="n">
        <f aca="false">M134</f>
        <v>25.4623704533066</v>
      </c>
      <c r="N241" s="32" t="n">
        <f aca="false">N134</f>
        <v>25.7708543841576</v>
      </c>
      <c r="O241" s="32" t="n">
        <f aca="false">O134</f>
        <v>25.6183168866672</v>
      </c>
      <c r="P241" s="32" t="n">
        <f aca="false">P134</f>
        <v>25.1271454581234</v>
      </c>
      <c r="Q241" s="32" t="n">
        <f aca="false">Q134</f>
        <v>24.543844360064</v>
      </c>
      <c r="R241" s="32" t="n">
        <f aca="false">R134</f>
        <v>23.8126694893583</v>
      </c>
      <c r="S241" s="28" t="s">
        <v>53</v>
      </c>
      <c r="T241" s="13"/>
      <c r="U241" s="103" t="s">
        <v>82</v>
      </c>
    </row>
    <row r="242" customFormat="false" ht="11.25" hidden="false" customHeight="false" outlineLevel="0" collapsed="false">
      <c r="A242" s="11" t="s">
        <v>83</v>
      </c>
      <c r="B242" s="62" t="n">
        <v>963.165</v>
      </c>
      <c r="C242" s="62" t="n">
        <v>1073.30477</v>
      </c>
      <c r="D242" s="62" t="n">
        <v>1110.85710197782</v>
      </c>
      <c r="E242" s="62" t="n">
        <v>950.577587707208</v>
      </c>
      <c r="F242" s="62" t="n">
        <v>1069.42959928588</v>
      </c>
      <c r="G242" s="62" t="n">
        <v>1167.16100139336</v>
      </c>
      <c r="H242" s="62" t="n">
        <v>1210.37006777269</v>
      </c>
      <c r="I242" s="62" t="n">
        <v>1237.96241919183</v>
      </c>
      <c r="J242" s="62" t="n">
        <v>1142.66847140886</v>
      </c>
      <c r="K242" s="27" t="n">
        <f aca="false">K$250*K253/100</f>
        <v>1028.19676270419</v>
      </c>
      <c r="L242" s="27" t="n">
        <f aca="false">L$250*L253/100</f>
        <v>934.213309663509</v>
      </c>
      <c r="M242" s="27" t="n">
        <f aca="false">M$250*M253/100</f>
        <v>862.565614525777</v>
      </c>
      <c r="N242" s="27" t="n">
        <f aca="false">N$250*N253/100</f>
        <v>743.568667706083</v>
      </c>
      <c r="O242" s="27" t="n">
        <f aca="false">O$250*O253/100</f>
        <v>621.18498698406</v>
      </c>
      <c r="P242" s="27" t="n">
        <f aca="false">P$250*P253/100</f>
        <v>503.314307891557</v>
      </c>
      <c r="Q242" s="27" t="n">
        <f aca="false">Q$250*Q253/100</f>
        <v>396.991530795638</v>
      </c>
      <c r="R242" s="27" t="n">
        <f aca="false">R$250*R253/100</f>
        <v>279.810993798551</v>
      </c>
      <c r="S242" s="28" t="s">
        <v>84</v>
      </c>
      <c r="T242" s="13"/>
      <c r="U242" s="103" t="s">
        <v>85</v>
      </c>
    </row>
    <row r="243" customFormat="false" ht="11.25" hidden="false" customHeight="false" outlineLevel="0" collapsed="false">
      <c r="A243" s="11" t="s">
        <v>86</v>
      </c>
      <c r="B243" s="62" t="n">
        <v>114.938992038256</v>
      </c>
      <c r="C243" s="62" t="n">
        <v>224.908368765589</v>
      </c>
      <c r="D243" s="62" t="n">
        <v>290.957826943642</v>
      </c>
      <c r="E243" s="62" t="n">
        <v>329.862568756754</v>
      </c>
      <c r="F243" s="62" t="n">
        <v>384.379038959746</v>
      </c>
      <c r="G243" s="62" t="n">
        <v>468.100416293106</v>
      </c>
      <c r="H243" s="62" t="n">
        <v>575.330240617684</v>
      </c>
      <c r="I243" s="62" t="n">
        <v>644.848542406456</v>
      </c>
      <c r="J243" s="62" t="n">
        <v>677.973225533051</v>
      </c>
      <c r="K243" s="27" t="n">
        <f aca="false">K$250*K254/100</f>
        <v>771.147572028145</v>
      </c>
      <c r="L243" s="27" t="n">
        <f aca="false">L$250*L254/100</f>
        <v>843.805570018653</v>
      </c>
      <c r="M243" s="27" t="n">
        <f aca="false">M$250*M254/100</f>
        <v>862.565614525777</v>
      </c>
      <c r="N243" s="27" t="n">
        <f aca="false">N$250*N254/100</f>
        <v>872.263244809059</v>
      </c>
      <c r="O243" s="27" t="n">
        <f aca="false">O$250*O254/100</f>
        <v>837.249330282863</v>
      </c>
      <c r="P243" s="27" t="n">
        <f aca="false">P$250*P254/100</f>
        <v>754.971461837335</v>
      </c>
      <c r="Q243" s="27" t="n">
        <f aca="false">Q$250*Q254/100</f>
        <v>677.220846651382</v>
      </c>
      <c r="R243" s="27" t="n">
        <f aca="false">R$250*R254/100</f>
        <v>581.145910196991</v>
      </c>
      <c r="S243" s="28" t="s">
        <v>84</v>
      </c>
      <c r="T243" s="13"/>
    </row>
    <row r="244" customFormat="false" ht="11.25" hidden="false" customHeight="false" outlineLevel="0" collapsed="false">
      <c r="A244" s="11" t="s">
        <v>87</v>
      </c>
      <c r="B244" s="62" t="n">
        <v>566.626075978764</v>
      </c>
      <c r="C244" s="62" t="n">
        <v>512.371678614869</v>
      </c>
      <c r="D244" s="62" t="n">
        <v>576.351184806707</v>
      </c>
      <c r="E244" s="62" t="n">
        <v>620.402663243476</v>
      </c>
      <c r="F244" s="62" t="n">
        <v>591.677909039724</v>
      </c>
      <c r="G244" s="62" t="n">
        <v>524.134039042541</v>
      </c>
      <c r="H244" s="62" t="n">
        <v>531.42314544931</v>
      </c>
      <c r="I244" s="62" t="n">
        <v>569.032740206252</v>
      </c>
      <c r="J244" s="62" t="n">
        <v>534.988951829482</v>
      </c>
      <c r="K244" s="27" t="n">
        <f aca="false">K$250*K257/100</f>
        <v>529.218921980099</v>
      </c>
      <c r="L244" s="27" t="n">
        <f aca="false">L$250*L257/100</f>
        <v>482.17461143923</v>
      </c>
      <c r="M244" s="27" t="n">
        <f aca="false">M$250*M257/100</f>
        <v>446.154628202988</v>
      </c>
      <c r="N244" s="27" t="n">
        <f aca="false">N$250*N257/100</f>
        <v>400.383128764814</v>
      </c>
      <c r="O244" s="27" t="n">
        <f aca="false">O$250*O257/100</f>
        <v>367.309383607966</v>
      </c>
      <c r="P244" s="27" t="n">
        <f aca="false">P$250*P257/100</f>
        <v>329.670871668969</v>
      </c>
      <c r="Q244" s="27" t="n">
        <f aca="false">Q$250*Q257/100</f>
        <v>280.229315855744</v>
      </c>
      <c r="R244" s="27" t="n">
        <f aca="false">R$250*R257/100</f>
        <v>247.525109898719</v>
      </c>
      <c r="S244" s="28" t="s">
        <v>84</v>
      </c>
      <c r="T244" s="13"/>
    </row>
    <row r="245" customFormat="false" ht="11.25" hidden="false" customHeight="false" outlineLevel="0" collapsed="false">
      <c r="A245" s="11" t="s">
        <v>88</v>
      </c>
      <c r="B245" s="62" t="n">
        <v>11.014</v>
      </c>
      <c r="C245" s="62" t="n">
        <v>33.159</v>
      </c>
      <c r="D245" s="62" t="n">
        <v>80.091</v>
      </c>
      <c r="E245" s="62" t="n">
        <v>191.236</v>
      </c>
      <c r="F245" s="62" t="n">
        <v>249.637813956646</v>
      </c>
      <c r="G245" s="62" t="n">
        <v>299.801668942915</v>
      </c>
      <c r="H245" s="62" t="n">
        <v>324.939835138373</v>
      </c>
      <c r="I245" s="62" t="n">
        <v>342.498614958448</v>
      </c>
      <c r="J245" s="62" t="n">
        <v>326.056224445804</v>
      </c>
      <c r="K245" s="27" t="n">
        <f aca="false">K$250*K256/100</f>
        <v>332.651893816063</v>
      </c>
      <c r="L245" s="27" t="n">
        <f aca="false">L$250*L256/100</f>
        <v>301.359132149519</v>
      </c>
      <c r="M245" s="27" t="n">
        <f aca="false">M$250*M256/100</f>
        <v>267.692776921793</v>
      </c>
      <c r="N245" s="27" t="n">
        <f aca="false">N$250*N256/100</f>
        <v>214.490961838293</v>
      </c>
      <c r="O245" s="27" t="n">
        <f aca="false">O$250*O256/100</f>
        <v>172.851474639043</v>
      </c>
      <c r="P245" s="27" t="n">
        <f aca="false">P$250*P256/100</f>
        <v>148.477720828009</v>
      </c>
      <c r="Q245" s="27" t="n">
        <f aca="false">Q$250*Q256/100</f>
        <v>116.762214939893</v>
      </c>
      <c r="R245" s="27" t="n">
        <f aca="false">R$250*R256/100</f>
        <v>96.8576516994986</v>
      </c>
      <c r="S245" s="28" t="s">
        <v>84</v>
      </c>
      <c r="T245" s="13"/>
    </row>
    <row r="246" customFormat="false" ht="11.25" hidden="false" customHeight="false" outlineLevel="0" collapsed="false">
      <c r="A246" s="11" t="s">
        <v>89</v>
      </c>
      <c r="B246" s="62" t="n">
        <v>131.847044938227</v>
      </c>
      <c r="C246" s="62" t="n">
        <v>153.108203051011</v>
      </c>
      <c r="D246" s="62" t="n">
        <v>170.263685039744</v>
      </c>
      <c r="E246" s="62" t="n">
        <v>195.307553194524</v>
      </c>
      <c r="F246" s="62" t="n">
        <v>193.778309444172</v>
      </c>
      <c r="G246" s="62" t="n">
        <v>211.794075896768</v>
      </c>
      <c r="H246" s="62" t="n">
        <v>230.379269102757</v>
      </c>
      <c r="I246" s="62" t="n">
        <v>215.818596274094</v>
      </c>
      <c r="J246" s="62" t="n">
        <v>226.789348219008</v>
      </c>
      <c r="S246" s="28" t="s">
        <v>84</v>
      </c>
      <c r="T246" s="13"/>
    </row>
    <row r="247" customFormat="false" ht="11.25" hidden="false" customHeight="false" outlineLevel="0" collapsed="false">
      <c r="A247" s="11" t="s">
        <v>90</v>
      </c>
      <c r="B247" s="47"/>
      <c r="C247" s="47"/>
      <c r="D247" s="47"/>
      <c r="E247" s="47"/>
      <c r="F247" s="62" t="n">
        <v>8.92403657432156</v>
      </c>
      <c r="G247" s="62" t="n">
        <v>13.0394510123865</v>
      </c>
      <c r="H247" s="62" t="n">
        <v>21.9258858793046</v>
      </c>
      <c r="I247" s="62" t="n">
        <v>45.5064465246996</v>
      </c>
      <c r="J247" s="62" t="n">
        <v>80.0421265299538</v>
      </c>
      <c r="S247" s="28" t="s">
        <v>84</v>
      </c>
      <c r="T247" s="13"/>
    </row>
    <row r="248" customFormat="false" ht="11.25" hidden="false" customHeight="false" outlineLevel="0" collapsed="false">
      <c r="A248" s="11" t="s">
        <v>91</v>
      </c>
      <c r="B248" s="47"/>
      <c r="C248" s="47"/>
      <c r="D248" s="47"/>
      <c r="E248" s="47"/>
      <c r="F248" s="47"/>
      <c r="G248" s="47"/>
      <c r="H248" s="62" t="n">
        <v>0.849283809882353</v>
      </c>
      <c r="I248" s="62" t="n">
        <v>3.53514385863529</v>
      </c>
      <c r="J248" s="62" t="n">
        <v>11.7793015333312</v>
      </c>
      <c r="S248" s="28" t="s">
        <v>84</v>
      </c>
      <c r="T248" s="13"/>
    </row>
    <row r="249" customFormat="false" ht="11.25" hidden="false" customHeight="false" outlineLevel="0" collapsed="false">
      <c r="A249" s="11" t="s">
        <v>92</v>
      </c>
      <c r="B249" s="27" t="n">
        <f aca="false">B246+B247+B248</f>
        <v>131.847044938227</v>
      </c>
      <c r="C249" s="27" t="n">
        <f aca="false">C246+C247+C248</f>
        <v>153.108203051011</v>
      </c>
      <c r="D249" s="27" t="n">
        <f aca="false">D246+D247+D248</f>
        <v>170.263685039744</v>
      </c>
      <c r="E249" s="27" t="n">
        <f aca="false">E246+E247+E248</f>
        <v>195.307553194524</v>
      </c>
      <c r="F249" s="27" t="n">
        <f aca="false">F246+F247+F248</f>
        <v>202.702346018493</v>
      </c>
      <c r="G249" s="27" t="n">
        <f aca="false">G246+G247+G248</f>
        <v>224.833526909155</v>
      </c>
      <c r="H249" s="27" t="n">
        <f aca="false">H246+H247+H248</f>
        <v>253.154438791944</v>
      </c>
      <c r="I249" s="27" t="n">
        <f aca="false">I246+I247+I248</f>
        <v>264.860186657429</v>
      </c>
      <c r="J249" s="27" t="n">
        <f aca="false">J246+J247+J248</f>
        <v>318.610776282293</v>
      </c>
      <c r="K249" s="27" t="n">
        <f aca="false">K$250*K255/100</f>
        <v>362.892975072068</v>
      </c>
      <c r="L249" s="27" t="n">
        <f aca="false">L$250*L255/100</f>
        <v>452.038698224279</v>
      </c>
      <c r="M249" s="27" t="n">
        <f aca="false">M$250*M255/100</f>
        <v>535.385553843586</v>
      </c>
      <c r="N249" s="27" t="n">
        <f aca="false">N$250*N255/100</f>
        <v>629.173488058993</v>
      </c>
      <c r="O249" s="27" t="n">
        <f aca="false">O$250*O255/100</f>
        <v>702.209115721111</v>
      </c>
      <c r="P249" s="27" t="n">
        <f aca="false">P$250*P255/100</f>
        <v>780.137177231913</v>
      </c>
      <c r="Q249" s="27" t="n">
        <f aca="false">Q$250*Q255/100</f>
        <v>864.040390555212</v>
      </c>
      <c r="R249" s="27" t="n">
        <f aca="false">R$250*R255/100</f>
        <v>947.052594395097</v>
      </c>
      <c r="S249" s="28" t="s">
        <v>84</v>
      </c>
      <c r="T249" s="13"/>
    </row>
    <row r="250" customFormat="false" ht="11.25" hidden="false" customHeight="false" outlineLevel="0" collapsed="false">
      <c r="A250" s="11" t="s">
        <v>93</v>
      </c>
      <c r="B250" s="27" t="n">
        <f aca="false">SUM(B242:B245)+B249</f>
        <v>1787.59111295525</v>
      </c>
      <c r="C250" s="27" t="n">
        <f aca="false">SUM(C242:C245)+C249</f>
        <v>1996.85202043147</v>
      </c>
      <c r="D250" s="27" t="n">
        <f aca="false">SUM(D242:D245)+D249</f>
        <v>2228.52079876792</v>
      </c>
      <c r="E250" s="27" t="n">
        <f aca="false">SUM(E242:E245)+E249</f>
        <v>2287.38637290196</v>
      </c>
      <c r="F250" s="27" t="n">
        <f aca="false">SUM(F242:F245)+F249</f>
        <v>2497.82670726049</v>
      </c>
      <c r="G250" s="27" t="n">
        <f aca="false">SUM(G242:G245)+G249</f>
        <v>2684.03065258107</v>
      </c>
      <c r="H250" s="27" t="n">
        <f aca="false">SUM(H242:H245)+H249</f>
        <v>2895.21772777</v>
      </c>
      <c r="I250" s="27" t="n">
        <f aca="false">SUM(I242:I245)+I249</f>
        <v>3059.20250342042</v>
      </c>
      <c r="J250" s="27" t="n">
        <f aca="false">SUM(J242:J245)+J249</f>
        <v>3000.29764949949</v>
      </c>
      <c r="K250" s="27" t="n">
        <f aca="false">K241*K251</f>
        <v>3024.10812560057</v>
      </c>
      <c r="L250" s="27" t="n">
        <f aca="false">L241*L251</f>
        <v>3013.59132149519</v>
      </c>
      <c r="M250" s="27" t="n">
        <f aca="false">M241*M251</f>
        <v>2974.36418801992</v>
      </c>
      <c r="N250" s="27" t="n">
        <f aca="false">N241*N251</f>
        <v>2859.87949117724</v>
      </c>
      <c r="O250" s="27" t="n">
        <f aca="false">O241*O251</f>
        <v>2700.80429123504</v>
      </c>
      <c r="P250" s="27" t="n">
        <f aca="false">P241*P251</f>
        <v>2516.57153945778</v>
      </c>
      <c r="Q250" s="27" t="n">
        <f aca="false">Q241*Q251</f>
        <v>2335.24429879787</v>
      </c>
      <c r="R250" s="27" t="n">
        <f aca="false">R241*R251</f>
        <v>2152.39225998886</v>
      </c>
      <c r="S250" s="28" t="s">
        <v>84</v>
      </c>
      <c r="T250" s="13"/>
    </row>
    <row r="251" customFormat="false" ht="11.25" hidden="false" customHeight="false" outlineLevel="0" collapsed="false">
      <c r="A251" s="46" t="s">
        <v>94</v>
      </c>
      <c r="B251" s="27" t="n">
        <f aca="false">B250/B241</f>
        <v>221.781305224084</v>
      </c>
      <c r="C251" s="27" t="n">
        <f aca="false">C250/C241</f>
        <v>207.052736455009</v>
      </c>
      <c r="D251" s="27" t="n">
        <f aca="false">D250/D241</f>
        <v>194.519827330418</v>
      </c>
      <c r="E251" s="27" t="n">
        <f aca="false">E250/E241</f>
        <v>181.298565922394</v>
      </c>
      <c r="F251" s="27" t="n">
        <f aca="false">F250/F241</f>
        <v>161.644642235627</v>
      </c>
      <c r="G251" s="27" t="n">
        <f aca="false">G250/G241</f>
        <v>158.284245149232</v>
      </c>
      <c r="H251" s="27" t="n">
        <f aca="false">H250/H241</f>
        <v>149.40932435469</v>
      </c>
      <c r="I251" s="27" t="n">
        <f aca="false">I250/I241</f>
        <v>142.650559612525</v>
      </c>
      <c r="J251" s="27" t="n">
        <f aca="false">J250/J241</f>
        <v>136.246230375692</v>
      </c>
      <c r="K251" s="27" t="n">
        <f aca="false">J251*(1+K252/100*5)</f>
        <v>129.433918856908</v>
      </c>
      <c r="L251" s="27" t="n">
        <f aca="false">K251*(1+L252/100*5)</f>
        <v>122.962222914062</v>
      </c>
      <c r="M251" s="27" t="n">
        <f aca="false">L251*(1+M252/100*5)</f>
        <v>116.814111768359</v>
      </c>
      <c r="N251" s="27" t="n">
        <f aca="false">M251*(1+N252/100*5)</f>
        <v>110.973406179941</v>
      </c>
      <c r="O251" s="27" t="n">
        <f aca="false">N251*(1+O252/100*5)</f>
        <v>105.424735870944</v>
      </c>
      <c r="P251" s="27" t="n">
        <f aca="false">O251*(1+P252/100*5)</f>
        <v>100.153499077397</v>
      </c>
      <c r="Q251" s="27" t="n">
        <f aca="false">P251*(1+Q252/100*5)</f>
        <v>95.1458241235271</v>
      </c>
      <c r="R251" s="27" t="n">
        <f aca="false">Q251*(1+R252/100*5)</f>
        <v>90.3885329173507</v>
      </c>
      <c r="S251" s="28" t="s">
        <v>95</v>
      </c>
      <c r="T251" s="13"/>
    </row>
    <row r="252" customFormat="false" ht="11.25" hidden="false" customHeight="false" outlineLevel="0" collapsed="false">
      <c r="A252" s="46" t="s">
        <v>96</v>
      </c>
      <c r="B252" s="27"/>
      <c r="C252" s="75" t="n">
        <f aca="false">(C251-B251)/B251*100/5</f>
        <v>-1.32820651895736</v>
      </c>
      <c r="D252" s="75" t="n">
        <f aca="false">(D251-C251)/C251*100/5</f>
        <v>-1.21060067489756</v>
      </c>
      <c r="E252" s="75" t="n">
        <f aca="false">(E251-D251)/D251*100/5</f>
        <v>-1.35937416657959</v>
      </c>
      <c r="F252" s="75" t="n">
        <f aca="false">(F251-E251)/E251*100/5</f>
        <v>-2.16812787092639</v>
      </c>
      <c r="G252" s="75" t="n">
        <f aca="false">(G251-F251)/F251*100/5</f>
        <v>-0.415775869823988</v>
      </c>
      <c r="H252" s="75" t="n">
        <f aca="false">(H251-G251)/G251*100/5</f>
        <v>-1.12139029202497</v>
      </c>
      <c r="I252" s="75" t="n">
        <f aca="false">(I251-H251)/H251*100/5</f>
        <v>-0.904731317319837</v>
      </c>
      <c r="J252" s="75" t="n">
        <f aca="false">(J251-I251)/I251*100/5</f>
        <v>-0.897904537385462</v>
      </c>
      <c r="K252" s="78" t="n">
        <v>-1</v>
      </c>
      <c r="L252" s="78" t="n">
        <v>-1</v>
      </c>
      <c r="M252" s="78" t="n">
        <v>-1</v>
      </c>
      <c r="N252" s="78" t="n">
        <v>-1</v>
      </c>
      <c r="O252" s="78" t="n">
        <v>-1</v>
      </c>
      <c r="P252" s="78" t="n">
        <v>-1</v>
      </c>
      <c r="Q252" s="78" t="n">
        <v>-1</v>
      </c>
      <c r="R252" s="78" t="n">
        <v>-1</v>
      </c>
      <c r="S252" s="28" t="s">
        <v>25</v>
      </c>
      <c r="T252" s="13"/>
    </row>
    <row r="253" customFormat="false" ht="15" hidden="false" customHeight="false" outlineLevel="0" collapsed="false">
      <c r="A253" s="46" t="s">
        <v>97</v>
      </c>
      <c r="B253" s="65" t="n">
        <f aca="false">B242/B$250*100</f>
        <v>53.8806102256626</v>
      </c>
      <c r="C253" s="65" t="n">
        <f aca="false">C242/C$250*100</f>
        <v>53.7498401993797</v>
      </c>
      <c r="D253" s="65" t="n">
        <f aca="false">D242/D$250*100</f>
        <v>49.8472844674362</v>
      </c>
      <c r="E253" s="65" t="n">
        <f aca="false">E242/E$250*100</f>
        <v>41.5573686618247</v>
      </c>
      <c r="F253" s="65" t="n">
        <f aca="false">F242/F$250*100</f>
        <v>42.8144032641394</v>
      </c>
      <c r="G253" s="65" t="n">
        <f aca="false">G242/G$250*100</f>
        <v>43.4853827124131</v>
      </c>
      <c r="H253" s="65" t="n">
        <f aca="false">H242/H$250*100</f>
        <v>41.8058392003893</v>
      </c>
      <c r="I253" s="65" t="n">
        <f aca="false">I242/I$250*100</f>
        <v>40.4668346671296</v>
      </c>
      <c r="J253" s="65" t="n">
        <f aca="false">J242/J$250*100</f>
        <v>38.0851703696624</v>
      </c>
      <c r="K253" s="104" t="n">
        <v>34</v>
      </c>
      <c r="L253" s="104" t="n">
        <v>31</v>
      </c>
      <c r="M253" s="104" t="n">
        <v>29</v>
      </c>
      <c r="N253" s="104" t="n">
        <v>26</v>
      </c>
      <c r="O253" s="104" t="n">
        <v>23</v>
      </c>
      <c r="P253" s="104" t="n">
        <v>20</v>
      </c>
      <c r="Q253" s="104" t="n">
        <v>17</v>
      </c>
      <c r="R253" s="104" t="n">
        <v>13</v>
      </c>
      <c r="S253" s="28" t="s">
        <v>44</v>
      </c>
      <c r="T253" s="13"/>
      <c r="Y253" s="105"/>
      <c r="Z253" s="105"/>
    </row>
    <row r="254" customFormat="false" ht="11.25" hidden="false" customHeight="false" outlineLevel="0" collapsed="false">
      <c r="A254" s="46" t="s">
        <v>98</v>
      </c>
      <c r="B254" s="65" t="n">
        <f aca="false">B243/B$250*100</f>
        <v>6.42982565785075</v>
      </c>
      <c r="C254" s="65" t="n">
        <f aca="false">C243/C$250*100</f>
        <v>11.2631465158341</v>
      </c>
      <c r="D254" s="65" t="n">
        <f aca="false">D243/D$250*100</f>
        <v>13.0560965419081</v>
      </c>
      <c r="E254" s="65" t="n">
        <f aca="false">E243/E$250*100</f>
        <v>14.4209379169407</v>
      </c>
      <c r="F254" s="65" t="n">
        <f aca="false">F243/F$250*100</f>
        <v>15.3885390784902</v>
      </c>
      <c r="G254" s="65" t="n">
        <f aca="false">G243/G$250*100</f>
        <v>17.4402038159647</v>
      </c>
      <c r="H254" s="65" t="n">
        <f aca="false">H243/H$250*100</f>
        <v>19.8717434996097</v>
      </c>
      <c r="I254" s="65" t="n">
        <f aca="false">I243/I$250*100</f>
        <v>21.0789753762776</v>
      </c>
      <c r="J254" s="65" t="n">
        <f aca="false">J243/J$250*100</f>
        <v>22.5968655358628</v>
      </c>
      <c r="K254" s="104" t="n">
        <v>25.5</v>
      </c>
      <c r="L254" s="104" t="n">
        <v>28</v>
      </c>
      <c r="M254" s="104" t="n">
        <v>29</v>
      </c>
      <c r="N254" s="104" t="n">
        <v>30.5</v>
      </c>
      <c r="O254" s="104" t="n">
        <v>31</v>
      </c>
      <c r="P254" s="104" t="n">
        <v>30</v>
      </c>
      <c r="Q254" s="104" t="n">
        <v>29</v>
      </c>
      <c r="R254" s="104" t="n">
        <v>27</v>
      </c>
      <c r="S254" s="28" t="s">
        <v>44</v>
      </c>
      <c r="T254" s="13"/>
    </row>
    <row r="255" customFormat="false" ht="11.25" hidden="false" customHeight="false" outlineLevel="0" collapsed="false">
      <c r="A255" s="46" t="s">
        <v>99</v>
      </c>
      <c r="B255" s="65" t="n">
        <f aca="false">B249/B$250*100</f>
        <v>7.37568250270932</v>
      </c>
      <c r="C255" s="65" t="n">
        <f aca="false">C249/C$250*100</f>
        <v>7.66747868567286</v>
      </c>
      <c r="D255" s="65" t="n">
        <f aca="false">D249/D$250*100</f>
        <v>7.64021072335865</v>
      </c>
      <c r="E255" s="65" t="n">
        <f aca="false">E249/E$250*100</f>
        <v>8.53845924362752</v>
      </c>
      <c r="F255" s="65" t="n">
        <f aca="false">F249/F$250*100</f>
        <v>8.11514847804668</v>
      </c>
      <c r="G255" s="65" t="n">
        <f aca="false">G249/G$250*100</f>
        <v>8.37671234093194</v>
      </c>
      <c r="H255" s="65" t="n">
        <f aca="false">H249/H$250*100</f>
        <v>8.74388258830303</v>
      </c>
      <c r="I255" s="65" t="n">
        <f aca="false">I249/I$250*100</f>
        <v>8.65781805425745</v>
      </c>
      <c r="J255" s="65" t="n">
        <f aca="false">J249/J$250*100</f>
        <v>10.6193055990776</v>
      </c>
      <c r="K255" s="104" t="n">
        <v>12</v>
      </c>
      <c r="L255" s="104" t="n">
        <v>15</v>
      </c>
      <c r="M255" s="104" t="n">
        <v>18</v>
      </c>
      <c r="N255" s="104" t="n">
        <v>22</v>
      </c>
      <c r="O255" s="104" t="n">
        <v>26</v>
      </c>
      <c r="P255" s="104" t="n">
        <v>31</v>
      </c>
      <c r="Q255" s="104" t="n">
        <v>37</v>
      </c>
      <c r="R255" s="104" t="n">
        <v>44</v>
      </c>
      <c r="S255" s="28" t="s">
        <v>44</v>
      </c>
      <c r="T255" s="13"/>
    </row>
    <row r="256" customFormat="false" ht="11.25" hidden="false" customHeight="false" outlineLevel="0" collapsed="false">
      <c r="A256" s="46" t="s">
        <v>100</v>
      </c>
      <c r="B256" s="65" t="n">
        <f aca="false">B245/B$250*100</f>
        <v>0.616136426287757</v>
      </c>
      <c r="C256" s="65" t="n">
        <f aca="false">C245/C$250*100</f>
        <v>1.66056371031616</v>
      </c>
      <c r="D256" s="65" t="n">
        <f aca="false">D245/D$250*100</f>
        <v>3.59390857129446</v>
      </c>
      <c r="E256" s="65" t="n">
        <f aca="false">E245/E$250*100</f>
        <v>8.36045900533117</v>
      </c>
      <c r="F256" s="65" t="n">
        <f aca="false">F245/F$250*100</f>
        <v>9.99420068778261</v>
      </c>
      <c r="G256" s="65" t="n">
        <f aca="false">G245/G$250*100</f>
        <v>11.1698302943975</v>
      </c>
      <c r="H256" s="65" t="n">
        <f aca="false">H245/H$250*100</f>
        <v>11.223329838777</v>
      </c>
      <c r="I256" s="65" t="n">
        <f aca="false">I245/I$250*100</f>
        <v>11.195683011357</v>
      </c>
      <c r="J256" s="65" t="n">
        <f aca="false">J245/J$250*100</f>
        <v>10.8674625832606</v>
      </c>
      <c r="K256" s="104" t="n">
        <v>11</v>
      </c>
      <c r="L256" s="104" t="n">
        <v>10</v>
      </c>
      <c r="M256" s="104" t="n">
        <v>9</v>
      </c>
      <c r="N256" s="104" t="n">
        <v>7.5</v>
      </c>
      <c r="O256" s="104" t="n">
        <v>6.4</v>
      </c>
      <c r="P256" s="104" t="n">
        <v>5.9</v>
      </c>
      <c r="Q256" s="104" t="n">
        <v>5</v>
      </c>
      <c r="R256" s="104" t="n">
        <v>4.5</v>
      </c>
      <c r="S256" s="28" t="s">
        <v>44</v>
      </c>
      <c r="T256" s="13"/>
    </row>
    <row r="257" customFormat="false" ht="11.25" hidden="false" customHeight="false" outlineLevel="0" collapsed="false">
      <c r="A257" s="46" t="s">
        <v>101</v>
      </c>
      <c r="B257" s="65" t="n">
        <f aca="false">B244/B$250*100</f>
        <v>31.6977451874896</v>
      </c>
      <c r="C257" s="65" t="n">
        <f aca="false">C244/C$250*100</f>
        <v>25.6589708887972</v>
      </c>
      <c r="D257" s="65" t="n">
        <f aca="false">D244/D$250*100</f>
        <v>25.8624996960026</v>
      </c>
      <c r="E257" s="65" t="n">
        <f aca="false">E244/E$250*100</f>
        <v>27.1227751722759</v>
      </c>
      <c r="F257" s="65" t="n">
        <f aca="false">F244/F$250*100</f>
        <v>23.6877084915411</v>
      </c>
      <c r="G257" s="65" t="n">
        <f aca="false">G244/G$250*100</f>
        <v>19.5278708362929</v>
      </c>
      <c r="H257" s="65" t="n">
        <f aca="false">H244/H$250*100</f>
        <v>18.3552048729209</v>
      </c>
      <c r="I257" s="65" t="n">
        <f aca="false">I244/I$250*100</f>
        <v>18.6006888909783</v>
      </c>
      <c r="J257" s="65" t="n">
        <f aca="false">J244/J$250*100</f>
        <v>17.8311959121366</v>
      </c>
      <c r="K257" s="106" t="n">
        <f aca="false">100-SUM(K253:K256)</f>
        <v>17.5</v>
      </c>
      <c r="L257" s="106" t="n">
        <f aca="false">100-SUM(L253:L256)</f>
        <v>16</v>
      </c>
      <c r="M257" s="106" t="n">
        <f aca="false">100-SUM(M253:M256)</f>
        <v>15</v>
      </c>
      <c r="N257" s="106" t="n">
        <f aca="false">100-SUM(N253:N256)</f>
        <v>14</v>
      </c>
      <c r="O257" s="106" t="n">
        <f aca="false">100-SUM(O253:O256)</f>
        <v>13.6</v>
      </c>
      <c r="P257" s="106" t="n">
        <f aca="false">100-SUM(P253:P256)</f>
        <v>13.1</v>
      </c>
      <c r="Q257" s="106" t="n">
        <f aca="false">100-SUM(Q253:Q256)</f>
        <v>12</v>
      </c>
      <c r="R257" s="106" t="n">
        <f aca="false">100-SUM(R253:R256)</f>
        <v>11.5</v>
      </c>
      <c r="S257" s="28" t="s">
        <v>44</v>
      </c>
      <c r="T257" s="13"/>
    </row>
    <row r="258" customFormat="false" ht="11.25" hidden="false" customHeight="false" outlineLevel="0" collapsed="false"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T258" s="13"/>
    </row>
    <row r="259" customFormat="false" ht="12.65" hidden="false" customHeight="false" outlineLevel="0" collapsed="false">
      <c r="A259" s="23" t="s">
        <v>7</v>
      </c>
      <c r="B259" s="109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41"/>
      <c r="T259" s="13"/>
      <c r="U259" s="41"/>
      <c r="V259" s="41"/>
    </row>
    <row r="260" customFormat="false" ht="11.25" hidden="false" customHeight="false" outlineLevel="0" collapsed="false">
      <c r="A260" s="63"/>
      <c r="B260" s="101" t="n">
        <v>1970</v>
      </c>
      <c r="C260" s="101" t="n">
        <v>1975</v>
      </c>
      <c r="D260" s="101" t="n">
        <v>1980</v>
      </c>
      <c r="E260" s="101" t="n">
        <v>1985</v>
      </c>
      <c r="F260" s="101" t="n">
        <v>1990</v>
      </c>
      <c r="G260" s="101" t="n">
        <v>1995</v>
      </c>
      <c r="H260" s="101" t="n">
        <v>2000</v>
      </c>
      <c r="I260" s="101" t="n">
        <v>2005</v>
      </c>
      <c r="J260" s="101" t="n">
        <v>2010</v>
      </c>
      <c r="K260" s="101" t="n">
        <v>2015</v>
      </c>
      <c r="L260" s="101" t="n">
        <v>2020</v>
      </c>
      <c r="M260" s="101" t="n">
        <v>2025</v>
      </c>
      <c r="N260" s="101" t="n">
        <v>2030</v>
      </c>
      <c r="O260" s="101" t="n">
        <v>2035</v>
      </c>
      <c r="P260" s="101" t="n">
        <v>2040</v>
      </c>
      <c r="Q260" s="101" t="n">
        <v>2045</v>
      </c>
      <c r="R260" s="101" t="n">
        <v>2050</v>
      </c>
      <c r="S260" s="25" t="s">
        <v>15</v>
      </c>
      <c r="T260" s="13"/>
      <c r="U260" s="41"/>
      <c r="V260" s="41"/>
    </row>
    <row r="261" s="3" customFormat="true" ht="11.25" hidden="false" customHeight="false" outlineLevel="0" collapsed="false">
      <c r="B261" s="47"/>
      <c r="C261" s="47"/>
      <c r="D261" s="47"/>
      <c r="E261" s="47"/>
      <c r="F261" s="47"/>
      <c r="G261" s="47"/>
      <c r="H261" s="47"/>
      <c r="I261" s="47"/>
      <c r="K261" s="84" t="n">
        <f aca="false">K$266*K269/100</f>
        <v>1028.19676270419</v>
      </c>
      <c r="L261" s="84" t="n">
        <f aca="false">L$266*L269/100</f>
        <v>895.521247490465</v>
      </c>
      <c r="M261" s="84" t="n">
        <f aca="false">M$266*M269/100</f>
        <v>825.553783276427</v>
      </c>
      <c r="N261" s="84" t="n">
        <f aca="false">N$266*N269/100</f>
        <v>710.796741792027</v>
      </c>
      <c r="O261" s="84" t="n">
        <f aca="false">O$266*O269/100</f>
        <v>593.288901178802</v>
      </c>
      <c r="P261" s="84" t="n">
        <f aca="false">P$266*P269/100</f>
        <v>480.460189503494</v>
      </c>
      <c r="Q261" s="84" t="n">
        <f aca="false">Q$266*Q269/100</f>
        <v>378.90150885275</v>
      </c>
      <c r="R261" s="84" t="n">
        <f aca="false">R$266*R269/100</f>
        <v>267.111844238974</v>
      </c>
      <c r="S261" s="28" t="s">
        <v>84</v>
      </c>
      <c r="T261" s="13"/>
      <c r="U261" s="111" t="str">
        <f aca="false">CONCATENATE(A242," Your forecast")</f>
        <v> Uso de petróleo: sua previsão</v>
      </c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84" t="n">
        <f aca="false">K$266*K270/100</f>
        <v>771.147572028145</v>
      </c>
      <c r="L262" s="84" t="n">
        <f aca="false">L$266*L270/100</f>
        <v>808.85790095913</v>
      </c>
      <c r="M262" s="84" t="n">
        <f aca="false">M$266*M270/100</f>
        <v>825.553783276427</v>
      </c>
      <c r="N262" s="84" t="n">
        <f aca="false">N$266*N270/100</f>
        <v>833.819254794493</v>
      </c>
      <c r="O262" s="84" t="n">
        <f aca="false">O$266*O270/100</f>
        <v>799.650258110559</v>
      </c>
      <c r="P262" s="84" t="n">
        <f aca="false">P$266*P270/100</f>
        <v>720.690284255241</v>
      </c>
      <c r="Q262" s="84" t="n">
        <f aca="false">Q$266*Q270/100</f>
        <v>646.361397454691</v>
      </c>
      <c r="R262" s="84" t="n">
        <f aca="false">R$266*R270/100</f>
        <v>554.770753419406</v>
      </c>
      <c r="S262" s="28" t="s">
        <v>84</v>
      </c>
      <c r="T262" s="13"/>
      <c r="U262" s="111" t="str">
        <f aca="false">CONCATENATE(A243," Your forecast")</f>
        <v> Consumo de gás: Sua previsão</v>
      </c>
      <c r="Z262" s="113"/>
      <c r="AA262" s="114" t="s">
        <v>36</v>
      </c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6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47"/>
      <c r="H263" s="47"/>
      <c r="I263" s="47"/>
      <c r="K263" s="84" t="n">
        <f aca="false">K$266*K273/100</f>
        <v>529.218921980099</v>
      </c>
      <c r="L263" s="84" t="n">
        <f aca="false">L$266*L273/100</f>
        <v>521.159172338098</v>
      </c>
      <c r="M263" s="84" t="n">
        <f aca="false">M$266*M273/100</f>
        <v>485.107254775382</v>
      </c>
      <c r="N263" s="84" t="n">
        <f aca="false">N$266*N273/100</f>
        <v>438.529230022397</v>
      </c>
      <c r="O263" s="84" t="n">
        <f aca="false">O$266*O273/100</f>
        <v>403.457510082904</v>
      </c>
      <c r="P263" s="84" t="n">
        <f aca="false">P$266*P273/100</f>
        <v>363.727974074125</v>
      </c>
      <c r="Q263" s="84" t="n">
        <f aca="false">Q$266*Q273/100</f>
        <v>312.946264214516</v>
      </c>
      <c r="R263" s="84" t="n">
        <f aca="false">R$266*R273/100</f>
        <v>278.2240324216</v>
      </c>
      <c r="S263" s="28" t="s">
        <v>84</v>
      </c>
      <c r="T263" s="13"/>
      <c r="U263" s="111" t="str">
        <f aca="false">CONCATENATE(A244," Your forecast")</f>
        <v> Uso de carvão: Sua previsão</v>
      </c>
      <c r="Z263" s="113"/>
      <c r="AA263" s="117"/>
      <c r="AB263" s="118" t="n">
        <v>1970</v>
      </c>
      <c r="AC263" s="118" t="n">
        <v>1975</v>
      </c>
      <c r="AD263" s="118" t="n">
        <v>1980</v>
      </c>
      <c r="AE263" s="118" t="n">
        <v>1985</v>
      </c>
      <c r="AF263" s="118" t="n">
        <v>1990</v>
      </c>
      <c r="AG263" s="118" t="n">
        <v>1995</v>
      </c>
      <c r="AH263" s="118" t="n">
        <v>2000</v>
      </c>
      <c r="AI263" s="118" t="n">
        <v>2005</v>
      </c>
      <c r="AJ263" s="118" t="n">
        <v>2010</v>
      </c>
      <c r="AK263" s="118" t="n">
        <v>2015</v>
      </c>
      <c r="AL263" s="118" t="n">
        <v>2020</v>
      </c>
      <c r="AM263" s="118" t="n">
        <v>2025</v>
      </c>
      <c r="AN263" s="118" t="n">
        <v>2030</v>
      </c>
      <c r="AO263" s="118" t="n">
        <v>2035</v>
      </c>
      <c r="AP263" s="118" t="n">
        <v>2040</v>
      </c>
      <c r="AQ263" s="118" t="n">
        <v>2045</v>
      </c>
      <c r="AR263" s="119" t="n">
        <v>2050</v>
      </c>
      <c r="AS263" s="11"/>
    </row>
    <row r="264" s="3" customFormat="true" ht="11.25" hidden="false" customHeight="false" outlineLevel="0" collapsed="false">
      <c r="B264" s="47"/>
      <c r="C264" s="47"/>
      <c r="D264" s="47"/>
      <c r="E264" s="47"/>
      <c r="F264" s="47"/>
      <c r="G264" s="47"/>
      <c r="H264" s="47"/>
      <c r="I264" s="47"/>
      <c r="K264" s="84" t="n">
        <f aca="false">K$266*K272/100</f>
        <v>332.651893816063</v>
      </c>
      <c r="L264" s="84" t="n">
        <f aca="false">L$266*L272/100</f>
        <v>288.877821771118</v>
      </c>
      <c r="M264" s="84" t="n">
        <f aca="false">M$266*M272/100</f>
        <v>256.206346534064</v>
      </c>
      <c r="N264" s="84" t="n">
        <f aca="false">N$266*N272/100</f>
        <v>205.037521670777</v>
      </c>
      <c r="O264" s="84" t="n">
        <f aca="false">O$266*O272/100</f>
        <v>165.089085545406</v>
      </c>
      <c r="P264" s="84" t="n">
        <f aca="false">P$266*P272/100</f>
        <v>141.735755903531</v>
      </c>
      <c r="Q264" s="84" t="n">
        <f aca="false">Q$266*Q272/100</f>
        <v>111.441620250809</v>
      </c>
      <c r="R264" s="84" t="n">
        <f aca="false">R$266*R272/100</f>
        <v>92.4617922365678</v>
      </c>
      <c r="S264" s="28" t="s">
        <v>84</v>
      </c>
      <c r="T264" s="13"/>
      <c r="U264" s="111" t="str">
        <f aca="false">CONCATENATE(A245," Your forecast")</f>
        <v> Uso de energia nuclear: Sua previsão</v>
      </c>
      <c r="Z264" s="113"/>
      <c r="AA264" s="117" t="str">
        <f aca="false">CONCATENATE(A250," (0 - ",W277," Mtoe / yr)")</f>
        <v> Consumo de energia (0 - 3200 Mtoe / ano)</v>
      </c>
      <c r="AB264" s="120" t="n">
        <f aca="false">B250/$W277</f>
        <v>0.558622222798515</v>
      </c>
      <c r="AC264" s="120" t="n">
        <f aca="false">C250/$W277</f>
        <v>0.624016256384834</v>
      </c>
      <c r="AD264" s="120" t="n">
        <f aca="false">D250/$W277</f>
        <v>0.696412749614974</v>
      </c>
      <c r="AE264" s="120" t="n">
        <f aca="false">E250/$W277</f>
        <v>0.714808241531863</v>
      </c>
      <c r="AF264" s="120" t="n">
        <f aca="false">F250/$W277</f>
        <v>0.780570846018903</v>
      </c>
      <c r="AG264" s="120" t="n">
        <f aca="false">G250/$W277</f>
        <v>0.838759578931586</v>
      </c>
      <c r="AH264" s="120" t="n">
        <f aca="false">H250/$W277</f>
        <v>0.904755539928126</v>
      </c>
      <c r="AI264" s="120" t="n">
        <f aca="false">I250/$W277</f>
        <v>0.95600078231888</v>
      </c>
      <c r="AJ264" s="120" t="n">
        <f aca="false">J250/$W277</f>
        <v>0.937593015468589</v>
      </c>
      <c r="AK264" s="120" t="n">
        <f aca="false">K250/$W277</f>
        <v>0.945033789250178</v>
      </c>
      <c r="AL264" s="120" t="n">
        <f aca="false">L250/$W277</f>
        <v>0.941747287967247</v>
      </c>
      <c r="AM264" s="120" t="n">
        <f aca="false">M250/$W277</f>
        <v>0.929488808756226</v>
      </c>
      <c r="AN264" s="120" t="n">
        <f aca="false">N250/$W277</f>
        <v>0.893712340992888</v>
      </c>
      <c r="AO264" s="120" t="n">
        <f aca="false">O250/$W277</f>
        <v>0.844001341010951</v>
      </c>
      <c r="AP264" s="120" t="n">
        <f aca="false">P250/$W277</f>
        <v>0.786428606080557</v>
      </c>
      <c r="AQ264" s="120" t="n">
        <f aca="false">Q250/$W277</f>
        <v>0.729763843374334</v>
      </c>
      <c r="AR264" s="120" t="n">
        <f aca="false">R250/$W277</f>
        <v>0.672622581246518</v>
      </c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G265" s="47"/>
      <c r="H265" s="47"/>
      <c r="I265" s="47"/>
      <c r="K265" s="84" t="n">
        <f aca="false">K$266*K271/100</f>
        <v>362.892975072068</v>
      </c>
      <c r="L265" s="84" t="n">
        <f aca="false">L$266*L271/100</f>
        <v>433.316732656677</v>
      </c>
      <c r="M265" s="84" t="n">
        <f aca="false">M$266*M271/100</f>
        <v>512.412693068127</v>
      </c>
      <c r="N265" s="84" t="n">
        <f aca="false">N$266*N271/100</f>
        <v>601.443396900946</v>
      </c>
      <c r="O265" s="84" t="n">
        <f aca="false">O$266*O271/100</f>
        <v>670.674410028211</v>
      </c>
      <c r="P265" s="84" t="n">
        <f aca="false">P$266*P271/100</f>
        <v>744.713293730415</v>
      </c>
      <c r="Q265" s="84" t="n">
        <f aca="false">Q$266*Q271/100</f>
        <v>824.667989855985</v>
      </c>
      <c r="R265" s="84" t="n">
        <f aca="false">R$266*R271/100</f>
        <v>904.070857424218</v>
      </c>
      <c r="S265" s="28" t="s">
        <v>84</v>
      </c>
      <c r="T265" s="13"/>
      <c r="U265" s="111" t="str">
        <f aca="false">CONCATENATE(A249," Your forecast")</f>
        <v> Uso de energias renováveis: Sua previsão</v>
      </c>
      <c r="Z265" s="113"/>
      <c r="AA265" s="117" t="str">
        <f aca="false">CONCATENATE(A241," (0 - ",W278," T$ / yr)")</f>
        <v> PIB da OCDE excluindo os EUA (0 - 28 trilhões de dólares/ano)</v>
      </c>
      <c r="AB265" s="120" t="n">
        <f aca="false">B241/$W278</f>
        <v>0.287862584647954</v>
      </c>
      <c r="AC265" s="120" t="n">
        <f aca="false">C241/$W278</f>
        <v>0.344434682718306</v>
      </c>
      <c r="AD265" s="120" t="n">
        <f aca="false">D241/$W278</f>
        <v>0.409161521577084</v>
      </c>
      <c r="AE265" s="120" t="n">
        <f aca="false">E241/$W278</f>
        <v>0.450595789575928</v>
      </c>
      <c r="AF265" s="120" t="n">
        <f aca="false">F241/$W278</f>
        <v>0.551877844227198</v>
      </c>
      <c r="AG265" s="120" t="n">
        <f aca="false">G241/$W278</f>
        <v>0.605608205047856</v>
      </c>
      <c r="AH265" s="120" t="n">
        <f aca="false">H241/$W278</f>
        <v>0.692062785112229</v>
      </c>
      <c r="AI265" s="120" t="n">
        <f aca="false">I241/$W278</f>
        <v>0.765908192451434</v>
      </c>
      <c r="AJ265" s="120" t="n">
        <f aca="false">J241/$W278</f>
        <v>0.786469373770225</v>
      </c>
      <c r="AK265" s="120" t="n">
        <f aca="false">K241/$W278</f>
        <v>0.834432446938369</v>
      </c>
      <c r="AL265" s="120" t="n">
        <f aca="false">L241/$W278</f>
        <v>0.875295346255996</v>
      </c>
      <c r="AM265" s="120" t="n">
        <f aca="false">M241/$W278</f>
        <v>0.909370373332378</v>
      </c>
      <c r="AN265" s="120" t="n">
        <f aca="false">N241/$W278</f>
        <v>0.920387656577058</v>
      </c>
      <c r="AO265" s="120" t="n">
        <f aca="false">O241/$W278</f>
        <v>0.914939888809545</v>
      </c>
      <c r="AP265" s="120" t="n">
        <f aca="false">P241/$W278</f>
        <v>0.897398052075837</v>
      </c>
      <c r="AQ265" s="120" t="n">
        <f aca="false">Q241/$W278</f>
        <v>0.876565870002285</v>
      </c>
      <c r="AR265" s="120" t="n">
        <f aca="false">R241/$W278</f>
        <v>0.850452481762797</v>
      </c>
      <c r="AS265" s="11"/>
    </row>
    <row r="266" s="3" customFormat="true" ht="11.25" hidden="false" customHeight="false" outlineLevel="0" collapsed="false">
      <c r="B266" s="47"/>
      <c r="C266" s="47"/>
      <c r="D266" s="47"/>
      <c r="E266" s="47"/>
      <c r="F266" s="47"/>
      <c r="G266" s="47"/>
      <c r="H266" s="47"/>
      <c r="I266" s="47"/>
      <c r="K266" s="84" t="n">
        <f aca="false">K104*K267</f>
        <v>3024.10812560057</v>
      </c>
      <c r="L266" s="84" t="n">
        <f aca="false">L104*L267</f>
        <v>2947.73287521549</v>
      </c>
      <c r="M266" s="84" t="n">
        <f aca="false">M104*M267</f>
        <v>2904.83386093043</v>
      </c>
      <c r="N266" s="84" t="n">
        <f aca="false">N104*N267</f>
        <v>2789.62614518064</v>
      </c>
      <c r="O266" s="84" t="n">
        <f aca="false">O104*O267</f>
        <v>2632.16016494588</v>
      </c>
      <c r="P266" s="84" t="n">
        <f aca="false">P104*P267</f>
        <v>2451.32749746681</v>
      </c>
      <c r="Q266" s="84" t="n">
        <f aca="false">Q104*Q267</f>
        <v>2274.31878062875</v>
      </c>
      <c r="R266" s="84" t="n">
        <f aca="false">R104*R267</f>
        <v>2096.63927974077</v>
      </c>
      <c r="S266" s="28" t="s">
        <v>84</v>
      </c>
      <c r="T266" s="13"/>
      <c r="U266" s="111" t="str">
        <f aca="false">CONCATENATE(A250," Your forecast")</f>
        <v> Consumo de energia: Sua previsão</v>
      </c>
      <c r="Z266" s="113"/>
      <c r="AA266" s="117" t="str">
        <f aca="false">CONCATENATE(A251," (0 - ",W279," toe / M$)")</f>
        <v> Intensidade energética (0 - 250 toe / M$)</v>
      </c>
      <c r="AB266" s="120" t="n">
        <f aca="false">B251/$W279</f>
        <v>0.887125220896338</v>
      </c>
      <c r="AC266" s="120" t="n">
        <f aca="false">C251/$W279</f>
        <v>0.828210945820038</v>
      </c>
      <c r="AD266" s="120" t="n">
        <f aca="false">D251/$W279</f>
        <v>0.778079309321674</v>
      </c>
      <c r="AE266" s="120" t="n">
        <f aca="false">E251/$W279</f>
        <v>0.725194263689575</v>
      </c>
      <c r="AF266" s="120" t="n">
        <f aca="false">F251/$W279</f>
        <v>0.64657856894251</v>
      </c>
      <c r="AG266" s="120" t="n">
        <f aca="false">G251/$W279</f>
        <v>0.633136980596929</v>
      </c>
      <c r="AH266" s="120" t="n">
        <f aca="false">H251/$W279</f>
        <v>0.597637297418759</v>
      </c>
      <c r="AI266" s="120" t="n">
        <f aca="false">I251/$W279</f>
        <v>0.570602238450102</v>
      </c>
      <c r="AJ266" s="120" t="n">
        <f aca="false">J251/$W279</f>
        <v>0.544984921502769</v>
      </c>
      <c r="AK266" s="120" t="n">
        <f aca="false">K251/$W279</f>
        <v>0.517735675427631</v>
      </c>
      <c r="AL266" s="120" t="n">
        <f aca="false">L251/$W279</f>
        <v>0.491848891656249</v>
      </c>
      <c r="AM266" s="120" t="n">
        <f aca="false">M251/$W279</f>
        <v>0.467256447073437</v>
      </c>
      <c r="AN266" s="120" t="n">
        <f aca="false">N251/$W279</f>
        <v>0.443893624719765</v>
      </c>
      <c r="AO266" s="120" t="n">
        <f aca="false">O251/$W279</f>
        <v>0.421698943483777</v>
      </c>
      <c r="AP266" s="120" t="n">
        <f aca="false">P251/$W279</f>
        <v>0.400613996309588</v>
      </c>
      <c r="AQ266" s="120" t="n">
        <f aca="false">Q251/$W279</f>
        <v>0.380583296494108</v>
      </c>
      <c r="AR266" s="120" t="n">
        <f aca="false">R251/$W279</f>
        <v>0.361554131669403</v>
      </c>
      <c r="AS266" s="11"/>
    </row>
    <row r="267" s="3" customFormat="true" ht="11.25" hidden="false" customHeight="false" outlineLevel="0" collapsed="false">
      <c r="B267" s="47"/>
      <c r="C267" s="47"/>
      <c r="D267" s="47"/>
      <c r="E267" s="47"/>
      <c r="F267" s="47"/>
      <c r="G267" s="47"/>
      <c r="H267" s="47"/>
      <c r="I267" s="47"/>
      <c r="K267" s="84" t="n">
        <f aca="false">J251*(1+K268/100*5)</f>
        <v>129.433918856908</v>
      </c>
      <c r="L267" s="84" t="n">
        <f aca="false">K267*(1+L268/100*5)</f>
        <v>123.091656832919</v>
      </c>
      <c r="M267" s="84" t="n">
        <f aca="false">L267*(1+M268/100*5)</f>
        <v>117.060165648106</v>
      </c>
      <c r="N267" s="84" t="n">
        <f aca="false">M267*(1+N268/100*5)</f>
        <v>111.324217531349</v>
      </c>
      <c r="O267" s="84" t="n">
        <f aca="false">N267*(1+O268/100*5)</f>
        <v>105.869330872313</v>
      </c>
      <c r="P267" s="84" t="n">
        <f aca="false">O267*(1+P268/100*5)</f>
        <v>100.68173365957</v>
      </c>
      <c r="Q267" s="84" t="n">
        <f aca="false">P267*(1+Q268/100*5)</f>
        <v>95.7483287102506</v>
      </c>
      <c r="R267" s="84" t="n">
        <f aca="false">Q267*(1+R268/100*5)</f>
        <v>91.0566606034483</v>
      </c>
      <c r="S267" s="28" t="s">
        <v>95</v>
      </c>
      <c r="T267" s="13"/>
      <c r="U267" s="111" t="str">
        <f aca="false">CONCATENATE(A251," Your forecast")</f>
        <v> Intensidade energética Sua previsão</v>
      </c>
      <c r="Z267" s="113"/>
      <c r="AA267" s="117" t="str">
        <f aca="false">CONCATENATE(A252," (0 - ",W292*(-1),"*(-1) % / yr)")</f>
        <v> Crescimento da intensidade energética (0 - 0*(-1) % / ano)</v>
      </c>
      <c r="AB267" s="120"/>
      <c r="AC267" s="120" t="n">
        <f aca="false">C252/1</f>
        <v>-1.32820651895736</v>
      </c>
      <c r="AD267" s="120" t="n">
        <f aca="false">D252/1</f>
        <v>-1.21060067489756</v>
      </c>
      <c r="AE267" s="120" t="n">
        <f aca="false">E252/1</f>
        <v>-1.35937416657959</v>
      </c>
      <c r="AF267" s="120" t="n">
        <f aca="false">F252/1</f>
        <v>-2.16812787092639</v>
      </c>
      <c r="AG267" s="120" t="n">
        <f aca="false">G252/1</f>
        <v>-0.415775869823988</v>
      </c>
      <c r="AH267" s="120" t="n">
        <f aca="false">H252/1</f>
        <v>-1.12139029202497</v>
      </c>
      <c r="AI267" s="120" t="n">
        <f aca="false">I252/1</f>
        <v>-0.904731317319837</v>
      </c>
      <c r="AJ267" s="120" t="n">
        <f aca="false">J252/1</f>
        <v>-0.897904537385462</v>
      </c>
      <c r="AK267" s="120" t="n">
        <f aca="false">K252/1</f>
        <v>-1</v>
      </c>
      <c r="AL267" s="120" t="n">
        <f aca="false">L252/1</f>
        <v>-1</v>
      </c>
      <c r="AM267" s="120" t="n">
        <f aca="false">M252/1</f>
        <v>-1</v>
      </c>
      <c r="AN267" s="120" t="n">
        <f aca="false">N252/1</f>
        <v>-1</v>
      </c>
      <c r="AO267" s="120" t="n">
        <f aca="false">O252/1</f>
        <v>-1</v>
      </c>
      <c r="AP267" s="120" t="n">
        <f aca="false">P252/1</f>
        <v>-1</v>
      </c>
      <c r="AQ267" s="120" t="n">
        <f aca="false">Q252/1</f>
        <v>-1</v>
      </c>
      <c r="AR267" s="120" t="n">
        <f aca="false">R252/1</f>
        <v>-1</v>
      </c>
      <c r="AS267" s="11"/>
    </row>
    <row r="268" s="3" customFormat="true" ht="11.25" hidden="false" customHeight="false" outlineLevel="0" collapsed="false">
      <c r="B268" s="47"/>
      <c r="C268" s="47"/>
      <c r="D268" s="47"/>
      <c r="E268" s="47"/>
      <c r="F268" s="47"/>
      <c r="G268" s="47"/>
      <c r="H268" s="47"/>
      <c r="I268" s="47"/>
      <c r="K268" s="83" t="n">
        <f aca="false">K252</f>
        <v>-1</v>
      </c>
      <c r="L268" s="83" t="n">
        <f aca="false">L252*0.98</f>
        <v>-0.98</v>
      </c>
      <c r="M268" s="83" t="n">
        <f aca="false">M252*0.98</f>
        <v>-0.98</v>
      </c>
      <c r="N268" s="83" t="n">
        <f aca="false">N252*0.98</f>
        <v>-0.98</v>
      </c>
      <c r="O268" s="83" t="n">
        <f aca="false">O252*0.98</f>
        <v>-0.98</v>
      </c>
      <c r="P268" s="83" t="n">
        <f aca="false">P252*0.98</f>
        <v>-0.98</v>
      </c>
      <c r="Q268" s="83" t="n">
        <f aca="false">Q252*0.98</f>
        <v>-0.98</v>
      </c>
      <c r="R268" s="83" t="n">
        <f aca="false">R252*0.98</f>
        <v>-0.98</v>
      </c>
      <c r="S268" s="28" t="s">
        <v>25</v>
      </c>
      <c r="T268" s="13"/>
      <c r="U268" s="111" t="str">
        <f aca="false">CONCATENATE(A252," Your forecast")</f>
        <v> Crescimento da intensidade energética: sua previsão</v>
      </c>
      <c r="Z268" s="113"/>
      <c r="AA268" s="11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121"/>
      <c r="AS268" s="11"/>
    </row>
    <row r="269" s="3" customFormat="true" ht="11.25" hidden="false" customHeight="false" outlineLevel="0" collapsed="false">
      <c r="B269" s="47"/>
      <c r="C269" s="47"/>
      <c r="D269" s="47"/>
      <c r="E269" s="47"/>
      <c r="F269" s="47"/>
      <c r="G269" s="47"/>
      <c r="H269" s="47"/>
      <c r="I269" s="47"/>
      <c r="K269" s="83" t="n">
        <f aca="false">K253</f>
        <v>34</v>
      </c>
      <c r="L269" s="83" t="n">
        <f aca="false">L253*0.98</f>
        <v>30.38</v>
      </c>
      <c r="M269" s="83" t="n">
        <f aca="false">M253*0.98</f>
        <v>28.42</v>
      </c>
      <c r="N269" s="83" t="n">
        <f aca="false">N253*0.98</f>
        <v>25.48</v>
      </c>
      <c r="O269" s="83" t="n">
        <f aca="false">O253*0.98</f>
        <v>22.54</v>
      </c>
      <c r="P269" s="83" t="n">
        <f aca="false">P253*0.98</f>
        <v>19.6</v>
      </c>
      <c r="Q269" s="83" t="n">
        <f aca="false">Q253*0.98</f>
        <v>16.66</v>
      </c>
      <c r="R269" s="83" t="n">
        <f aca="false">R253*0.98</f>
        <v>12.74</v>
      </c>
      <c r="S269" s="28" t="s">
        <v>44</v>
      </c>
      <c r="T269" s="13"/>
      <c r="U269" s="111" t="str">
        <f aca="false">CONCATENATE(A253," Your forecast")</f>
        <v> % de petróleo Sua previsão</v>
      </c>
      <c r="Z269" s="113"/>
      <c r="AA269" s="122" t="s">
        <v>7</v>
      </c>
      <c r="AB269" s="118" t="n">
        <v>1970</v>
      </c>
      <c r="AC269" s="118" t="n">
        <v>1975</v>
      </c>
      <c r="AD269" s="118" t="n">
        <v>1980</v>
      </c>
      <c r="AE269" s="118" t="n">
        <v>1985</v>
      </c>
      <c r="AF269" s="118" t="n">
        <v>1990</v>
      </c>
      <c r="AG269" s="118" t="n">
        <v>1995</v>
      </c>
      <c r="AH269" s="118" t="n">
        <v>2000</v>
      </c>
      <c r="AI269" s="118" t="n">
        <v>2005</v>
      </c>
      <c r="AJ269" s="118" t="n">
        <v>2010</v>
      </c>
      <c r="AK269" s="118" t="n">
        <v>2015</v>
      </c>
      <c r="AL269" s="118" t="n">
        <v>2020</v>
      </c>
      <c r="AM269" s="118" t="n">
        <v>2025</v>
      </c>
      <c r="AN269" s="118" t="n">
        <v>2030</v>
      </c>
      <c r="AO269" s="118" t="n">
        <v>2035</v>
      </c>
      <c r="AP269" s="118" t="n">
        <v>2040</v>
      </c>
      <c r="AQ269" s="118" t="n">
        <v>2045</v>
      </c>
      <c r="AR269" s="119" t="n">
        <v>2050</v>
      </c>
      <c r="AS269" s="11"/>
    </row>
    <row r="270" s="3" customFormat="true" ht="11.25" hidden="false" customHeight="false" outlineLevel="0" collapsed="false">
      <c r="B270" s="47"/>
      <c r="C270" s="47"/>
      <c r="D270" s="47"/>
      <c r="E270" s="47"/>
      <c r="F270" s="47"/>
      <c r="G270" s="47"/>
      <c r="H270" s="47"/>
      <c r="I270" s="47"/>
      <c r="K270" s="83" t="n">
        <f aca="false">K254</f>
        <v>25.5</v>
      </c>
      <c r="L270" s="83" t="n">
        <f aca="false">L254*0.98</f>
        <v>27.44</v>
      </c>
      <c r="M270" s="83" t="n">
        <f aca="false">M254*0.98</f>
        <v>28.42</v>
      </c>
      <c r="N270" s="83" t="n">
        <f aca="false">N254*0.98</f>
        <v>29.89</v>
      </c>
      <c r="O270" s="83" t="n">
        <f aca="false">O254*0.98</f>
        <v>30.38</v>
      </c>
      <c r="P270" s="83" t="n">
        <f aca="false">P254*0.98</f>
        <v>29.4</v>
      </c>
      <c r="Q270" s="83" t="n">
        <f aca="false">Q254*0.98</f>
        <v>28.42</v>
      </c>
      <c r="R270" s="83" t="n">
        <f aca="false">R254*0.98</f>
        <v>26.46</v>
      </c>
      <c r="S270" s="28" t="s">
        <v>44</v>
      </c>
      <c r="T270" s="13"/>
      <c r="U270" s="111" t="str">
        <f aca="false">CONCATENATE(A254," Your forecast")</f>
        <v> % de gás Sua previsão</v>
      </c>
      <c r="Z270" s="113"/>
      <c r="AA270" s="122" t="str">
        <f aca="false">CONCATENATE(J145," (0 - ",W281," T$ / yr)")</f>
        <v> PIB da OCDE excluindo os EUA calculado a partir da sua previsão (0 - 28 trilhões de dólares/ano)</v>
      </c>
      <c r="AB270" s="98"/>
      <c r="AC270" s="98"/>
      <c r="AD270" s="98"/>
      <c r="AE270" s="98"/>
      <c r="AF270" s="98"/>
      <c r="AG270" s="98"/>
      <c r="AH270" s="98"/>
      <c r="AI270" s="98"/>
      <c r="AJ270" s="120"/>
      <c r="AK270" s="120" t="n">
        <f aca="false">K145/$W281</f>
        <v>0.834432446938369</v>
      </c>
      <c r="AL270" s="120" t="n">
        <f aca="false">L145/$W281</f>
        <v>0.855266529215197</v>
      </c>
      <c r="AM270" s="120" t="n">
        <f aca="false">M145/$W281</f>
        <v>0.886245683041876</v>
      </c>
      <c r="AN270" s="120" t="n">
        <f aca="false">N145/$W281</f>
        <v>0.894949072127699</v>
      </c>
      <c r="AO270" s="120" t="n">
        <f aca="false">O145/$W281</f>
        <v>0.887941006163695</v>
      </c>
      <c r="AP270" s="120" t="n">
        <f aca="false">P145/$W281</f>
        <v>0.869546117668518</v>
      </c>
      <c r="AQ270" s="120" t="n">
        <f aca="false">Q145/$W281</f>
        <v>0.848324684418698</v>
      </c>
      <c r="AR270" s="120" t="n">
        <f aca="false">R145/$W281</f>
        <v>0.822344832110175</v>
      </c>
      <c r="AS270" s="11"/>
    </row>
    <row r="271" s="3" customFormat="true" ht="11.25" hidden="false" customHeight="false" outlineLevel="0" collapsed="false">
      <c r="B271" s="47"/>
      <c r="C271" s="47"/>
      <c r="D271" s="47"/>
      <c r="E271" s="47"/>
      <c r="F271" s="47"/>
      <c r="G271" s="47"/>
      <c r="H271" s="47"/>
      <c r="I271" s="47"/>
      <c r="K271" s="83" t="n">
        <f aca="false">K255</f>
        <v>12</v>
      </c>
      <c r="L271" s="83" t="n">
        <f aca="false">L255*0.98</f>
        <v>14.7</v>
      </c>
      <c r="M271" s="83" t="n">
        <f aca="false">M255*0.98</f>
        <v>17.64</v>
      </c>
      <c r="N271" s="83" t="n">
        <f aca="false">N255*0.98</f>
        <v>21.56</v>
      </c>
      <c r="O271" s="83" t="n">
        <f aca="false">O255*0.98</f>
        <v>25.48</v>
      </c>
      <c r="P271" s="83" t="n">
        <f aca="false">P255*0.98</f>
        <v>30.38</v>
      </c>
      <c r="Q271" s="83" t="n">
        <f aca="false">Q255*0.98</f>
        <v>36.26</v>
      </c>
      <c r="R271" s="83" t="n">
        <f aca="false">R255*0.98</f>
        <v>43.12</v>
      </c>
      <c r="S271" s="28" t="s">
        <v>44</v>
      </c>
      <c r="T271" s="13"/>
      <c r="U271" s="111" t="str">
        <f aca="false">CONCATENATE(A255," Your forecast")</f>
        <v> % de energias renováveis Sua previsão</v>
      </c>
      <c r="Z271" s="113"/>
      <c r="AA271" s="122" t="str">
        <f aca="false">CONCATENATE(A250," (0 - ",W280," Mtoe / yr), Your forecast")</f>
        <v> Consumo de energia (0 - 3200 Mtoe/ano), sua previsão</v>
      </c>
      <c r="AB271" s="98"/>
      <c r="AC271" s="98"/>
      <c r="AD271" s="98"/>
      <c r="AE271" s="98"/>
      <c r="AF271" s="98"/>
      <c r="AG271" s="98"/>
      <c r="AH271" s="98"/>
      <c r="AI271" s="98"/>
      <c r="AJ271" s="120"/>
      <c r="AK271" s="120" t="n">
        <f aca="false">K266/$W280</f>
        <v>0.945033789250178</v>
      </c>
      <c r="AL271" s="120" t="n">
        <f aca="false">L266/$W280</f>
        <v>0.92116652350484</v>
      </c>
      <c r="AM271" s="120" t="n">
        <f aca="false">M266/$W280</f>
        <v>0.907760581540758</v>
      </c>
      <c r="AN271" s="120" t="n">
        <f aca="false">N266/$W280</f>
        <v>0.87175817036895</v>
      </c>
      <c r="AO271" s="120" t="n">
        <f aca="false">O266/$W280</f>
        <v>0.822550051545588</v>
      </c>
      <c r="AP271" s="120" t="n">
        <f aca="false">P266/$W280</f>
        <v>0.766039842958377</v>
      </c>
      <c r="AQ271" s="120" t="n">
        <f aca="false">Q266/$W280</f>
        <v>0.710724618946484</v>
      </c>
      <c r="AR271" s="120" t="n">
        <f aca="false">R266/$W280</f>
        <v>0.655199774918989</v>
      </c>
      <c r="AS271" s="11"/>
    </row>
    <row r="272" s="3" customFormat="true" ht="11.25" hidden="false" customHeight="false" outlineLevel="0" collapsed="false">
      <c r="B272" s="47"/>
      <c r="C272" s="47"/>
      <c r="D272" s="47"/>
      <c r="E272" s="47"/>
      <c r="F272" s="47"/>
      <c r="G272" s="47"/>
      <c r="H272" s="47"/>
      <c r="I272" s="47"/>
      <c r="K272" s="83" t="n">
        <f aca="false">K256</f>
        <v>11</v>
      </c>
      <c r="L272" s="83" t="n">
        <f aca="false">L256*0.98</f>
        <v>9.8</v>
      </c>
      <c r="M272" s="83" t="n">
        <f aca="false">M256*0.98</f>
        <v>8.82</v>
      </c>
      <c r="N272" s="83" t="n">
        <f aca="false">N256*0.98</f>
        <v>7.35</v>
      </c>
      <c r="O272" s="83" t="n">
        <f aca="false">O256*0.98</f>
        <v>6.272</v>
      </c>
      <c r="P272" s="83" t="n">
        <f aca="false">P256*0.98</f>
        <v>5.782</v>
      </c>
      <c r="Q272" s="83" t="n">
        <f aca="false">Q256*0.98</f>
        <v>4.9</v>
      </c>
      <c r="R272" s="83" t="n">
        <f aca="false">R256*0.98</f>
        <v>4.41</v>
      </c>
      <c r="S272" s="28" t="s">
        <v>44</v>
      </c>
      <c r="T272" s="13"/>
      <c r="U272" s="111" t="str">
        <f aca="false">CONCATENATE(A256," Your forecast")</f>
        <v> % nuclear Sua previsão</v>
      </c>
      <c r="Z272" s="113"/>
      <c r="AA272" s="122" t="str">
        <f aca="false">CONCATENATE(A251," (0 - ",W282," toe / M$), Your forecast")</f>
        <v>Intensidade energética (0 - 250 toe / M$), Sua previsão</v>
      </c>
      <c r="AB272" s="98"/>
      <c r="AC272" s="98"/>
      <c r="AD272" s="98"/>
      <c r="AE272" s="98"/>
      <c r="AF272" s="98"/>
      <c r="AG272" s="98"/>
      <c r="AH272" s="98"/>
      <c r="AI272" s="98"/>
      <c r="AJ272" s="98"/>
      <c r="AK272" s="120" t="n">
        <f aca="false">K267/$W282</f>
        <v>0.517735675427631</v>
      </c>
      <c r="AL272" s="120" t="n">
        <f aca="false">L267/$W282</f>
        <v>0.492366627331677</v>
      </c>
      <c r="AM272" s="120" t="n">
        <f aca="false">M267/$W282</f>
        <v>0.468240662592425</v>
      </c>
      <c r="AN272" s="120" t="n">
        <f aca="false">N267/$W282</f>
        <v>0.445296870125396</v>
      </c>
      <c r="AO272" s="120" t="n">
        <f aca="false">O267/$W282</f>
        <v>0.423477323489251</v>
      </c>
      <c r="AP272" s="120" t="n">
        <f aca="false">P267/$W282</f>
        <v>0.402726934638278</v>
      </c>
      <c r="AQ272" s="120" t="n">
        <f aca="false">Q267/$W282</f>
        <v>0.382993314841002</v>
      </c>
      <c r="AR272" s="120" t="n">
        <f aca="false">R267/$W282</f>
        <v>0.364226642413793</v>
      </c>
      <c r="AS272" s="11"/>
    </row>
    <row r="273" s="3" customFormat="true" ht="11.25" hidden="false" customHeight="false" outlineLevel="0" collapsed="false">
      <c r="B273" s="47"/>
      <c r="C273" s="47"/>
      <c r="D273" s="47"/>
      <c r="E273" s="47"/>
      <c r="F273" s="47"/>
      <c r="G273" s="47"/>
      <c r="H273" s="47"/>
      <c r="I273" s="47"/>
      <c r="K273" s="124" t="n">
        <f aca="false">100-SUM(K269:K272)</f>
        <v>17.5</v>
      </c>
      <c r="L273" s="124" t="n">
        <f aca="false">100-SUM(L269:L272)</f>
        <v>17.68</v>
      </c>
      <c r="M273" s="124" t="n">
        <f aca="false">100-SUM(M269:M272)</f>
        <v>16.7</v>
      </c>
      <c r="N273" s="124" t="n">
        <f aca="false">100-SUM(N269:N272)</f>
        <v>15.72</v>
      </c>
      <c r="O273" s="124" t="n">
        <f aca="false">100-SUM(O269:O272)</f>
        <v>15.328</v>
      </c>
      <c r="P273" s="124" t="n">
        <f aca="false">100-SUM(P269:P272)</f>
        <v>14.838</v>
      </c>
      <c r="Q273" s="124" t="n">
        <f aca="false">100-SUM(Q269:Q272)</f>
        <v>13.76</v>
      </c>
      <c r="R273" s="124" t="n">
        <f aca="false">100-SUM(R269:R272)</f>
        <v>13.27</v>
      </c>
      <c r="S273" s="28" t="s">
        <v>44</v>
      </c>
      <c r="T273" s="13"/>
      <c r="U273" s="111" t="str">
        <f aca="false">CONCATENATE(A257," Your forecast")</f>
        <v> % carvão Sua previsão</v>
      </c>
      <c r="Z273" s="113"/>
      <c r="AA273" s="122"/>
      <c r="AB273" s="98"/>
      <c r="AC273" s="98"/>
      <c r="AD273" s="98"/>
      <c r="AE273" s="98"/>
      <c r="AF273" s="98"/>
      <c r="AG273" s="98"/>
      <c r="AH273" s="98"/>
      <c r="AI273" s="98"/>
      <c r="AS273" s="11"/>
    </row>
    <row r="274" s="3" customFormat="true" ht="11.25" hidden="false" customHeight="false" outlineLevel="0" collapsed="false">
      <c r="B274" s="47"/>
      <c r="C274" s="47"/>
      <c r="D274" s="47"/>
      <c r="E274" s="47"/>
      <c r="F274" s="47"/>
      <c r="G274" s="107"/>
      <c r="H274" s="107"/>
      <c r="I274" s="107"/>
      <c r="J274" s="107"/>
      <c r="K274" s="125" t="s">
        <v>103</v>
      </c>
      <c r="L274" s="107"/>
      <c r="M274" s="107"/>
      <c r="N274" s="107"/>
      <c r="O274" s="107"/>
      <c r="P274" s="107"/>
      <c r="Q274" s="107"/>
      <c r="R274" s="107"/>
      <c r="T274" s="13"/>
      <c r="V274" s="3" t="s">
        <v>35</v>
      </c>
      <c r="Z274" s="113"/>
      <c r="AA274" s="122"/>
      <c r="AB274" s="98"/>
      <c r="AC274" s="98"/>
      <c r="AD274" s="98"/>
      <c r="AE274" s="98"/>
      <c r="AF274" s="98"/>
      <c r="AG274" s="98"/>
      <c r="AH274" s="98"/>
      <c r="AI274" s="98"/>
      <c r="AS274" s="11"/>
    </row>
    <row r="275" s="3" customFormat="true" ht="28.3" hidden="false" customHeight="false" outlineLevel="0" collapsed="false">
      <c r="B275" s="47"/>
      <c r="C275" s="47"/>
      <c r="D275" s="47"/>
      <c r="E275" s="47"/>
      <c r="F275" s="47"/>
      <c r="T275" s="13"/>
      <c r="U275" s="55" t="s">
        <v>37</v>
      </c>
      <c r="V275" s="54" t="s">
        <v>38</v>
      </c>
      <c r="W275" s="54" t="s">
        <v>39</v>
      </c>
      <c r="X275" s="55"/>
      <c r="Y275" s="55"/>
      <c r="Z275" s="113"/>
      <c r="AA275" s="122"/>
      <c r="AB275" s="98"/>
      <c r="AC275" s="98"/>
      <c r="AD275" s="98"/>
      <c r="AE275" s="98"/>
      <c r="AF275" s="98"/>
      <c r="AG275" s="98"/>
      <c r="AH275" s="98"/>
      <c r="AI275" s="98"/>
      <c r="AS275" s="11"/>
    </row>
    <row r="276" s="3" customFormat="true" ht="11.25" hidden="false" customHeight="false" outlineLevel="0" collapsed="false">
      <c r="B276" s="47"/>
      <c r="C276" s="47"/>
      <c r="D276" s="47"/>
      <c r="E276" s="47"/>
      <c r="F276" s="47"/>
      <c r="T276" s="13"/>
      <c r="V276" s="96" t="s">
        <v>104</v>
      </c>
      <c r="W276" s="96" t="s">
        <v>105</v>
      </c>
      <c r="Z276" s="113"/>
      <c r="AA276" s="126"/>
      <c r="AB276" s="127"/>
      <c r="AC276" s="127"/>
      <c r="AD276" s="127"/>
      <c r="AE276" s="127"/>
      <c r="AF276" s="127"/>
      <c r="AG276" s="127"/>
      <c r="AH276" s="127"/>
      <c r="AI276" s="127"/>
      <c r="AS276" s="11"/>
    </row>
    <row r="277" customFormat="false" ht="11.25" hidden="false" customHeight="false" outlineLevel="0" collapsed="false">
      <c r="B277" s="107"/>
      <c r="C277" s="107"/>
      <c r="D277" s="107"/>
      <c r="E277" s="107"/>
      <c r="F277" s="107"/>
      <c r="T277" s="13"/>
      <c r="U277" s="128" t="str">
        <f aca="false">AA264</f>
        <v> Consumo de energia (0 - 3200 Mtoe / ano)</v>
      </c>
      <c r="V277" s="129" t="n">
        <v>3200</v>
      </c>
      <c r="W277" s="70" t="n">
        <f aca="false">W280</f>
        <v>3200</v>
      </c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customFormat="false" ht="11.25" hidden="false" customHeight="false" outlineLevel="0" collapsed="false"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T278" s="13"/>
      <c r="U278" s="128" t="str">
        <f aca="false">AA265</f>
        <v> PIB da OCDE excluindo os EUA (0 - 28 trilhões de dólares/ano)</v>
      </c>
      <c r="V278" s="129" t="n">
        <v>28</v>
      </c>
      <c r="W278" s="70" t="n">
        <f aca="false">W281</f>
        <v>28</v>
      </c>
    </row>
    <row r="279" customFormat="false" ht="11.25" hidden="false" customHeight="false" outlineLevel="0" collapsed="false"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T279" s="13"/>
      <c r="U279" s="128" t="str">
        <f aca="false">AA266</f>
        <v> Intensidade energética (0 - 250 toe / M$)</v>
      </c>
      <c r="V279" s="129" t="n">
        <v>250</v>
      </c>
      <c r="W279" s="70" t="n">
        <f aca="false">W282</f>
        <v>250</v>
      </c>
    </row>
    <row r="280" customFormat="false" ht="11.25" hidden="false" customHeight="false" outlineLevel="0" collapsed="false"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T280" s="13"/>
      <c r="U280" s="130" t="str">
        <f aca="false">AA271</f>
        <v> Consumo de energia (0 - 3200 Mtoe/ano), sua previsão</v>
      </c>
      <c r="W280" s="4" t="n">
        <v>3200</v>
      </c>
    </row>
    <row r="281" customFormat="false" ht="11.25" hidden="false" customHeight="false" outlineLevel="0" collapsed="false"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T281" s="13"/>
      <c r="U281" s="130" t="str">
        <f aca="false">AA270</f>
        <v> PIB da OCDE excluindo os EUA calculado a partir da sua previsão (0 - 28 trilhões de dólares/ano)</v>
      </c>
      <c r="W281" s="4" t="n">
        <v>28</v>
      </c>
    </row>
    <row r="282" customFormat="false" ht="11.25" hidden="false" customHeight="false" outlineLevel="0" collapsed="false"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T282" s="13"/>
      <c r="U282" s="130" t="str">
        <f aca="false">AA272</f>
        <v> Intensidade energética (0 - 250 toe / M$), Sua previsão</v>
      </c>
      <c r="W282" s="4" t="n">
        <v>250</v>
      </c>
    </row>
    <row r="283" customFormat="false" ht="11.25" hidden="false" customHeight="false" outlineLevel="0" collapsed="false"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T283" s="13"/>
    </row>
    <row r="284" customFormat="false" ht="11.25" hidden="false" customHeight="false" outlineLevel="0" collapsed="false"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T284" s="13"/>
    </row>
    <row r="285" s="3" customFormat="true" ht="11.25" hidden="false" customHeight="false" outlineLevel="0" collapsed="false"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T285" s="13"/>
    </row>
    <row r="286" s="3" customFormat="true" ht="11.25" hidden="false" customHeight="false" outlineLevel="0" collapsed="false"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T286" s="13"/>
    </row>
    <row r="287" s="3" customFormat="true" ht="11.25" hidden="false" customHeight="false" outlineLevel="0" collapsed="false"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T287" s="13"/>
    </row>
    <row r="288" s="3" customFormat="true" ht="11.25" hidden="false" customHeight="false" outlineLevel="0" collapsed="false">
      <c r="T288" s="13"/>
    </row>
    <row r="289" s="3" customFormat="true" ht="11.25" hidden="false" customHeight="false" outlineLevel="0" collapsed="false">
      <c r="T289" s="13"/>
    </row>
    <row r="290" s="3" customFormat="true" ht="11.25" hidden="false" customHeight="false" outlineLevel="0" collapsed="false">
      <c r="T290" s="13"/>
    </row>
    <row r="291" s="3" customFormat="true" ht="11.25" hidden="false" customHeight="false" outlineLevel="0" collapsed="false">
      <c r="T291" s="13"/>
    </row>
    <row r="292" customFormat="false" ht="11.25" hidden="false" customHeight="false" outlineLevel="0" collapsed="false">
      <c r="T292" s="13"/>
    </row>
    <row r="293" customFormat="false" ht="11.25" hidden="false" customHeight="false" outlineLevel="0" collapsed="false">
      <c r="T293" s="13"/>
    </row>
    <row r="294" s="3" customFormat="true" ht="11.25" hidden="false" customHeight="false" outlineLevel="0" collapsed="false">
      <c r="T294" s="13"/>
    </row>
    <row r="295" s="3" customFormat="true" ht="11.25" hidden="false" customHeight="false" outlineLevel="0" collapsed="false">
      <c r="S295" s="50"/>
      <c r="T295" s="13"/>
      <c r="U295" s="50"/>
    </row>
    <row r="296" s="3" customFormat="true" ht="11.25" hidden="false" customHeight="false" outlineLevel="0" collapsed="false">
      <c r="T296" s="13"/>
    </row>
    <row r="297" s="3" customFormat="true" ht="11.25" hidden="false" customHeight="false" outlineLevel="0" collapsed="false">
      <c r="T297" s="13"/>
    </row>
    <row r="298" customFormat="false" ht="11.25" hidden="false" customHeight="false" outlineLevel="0" collapsed="false">
      <c r="T298" s="13"/>
    </row>
    <row r="299" customFormat="false" ht="11.25" hidden="false" customHeight="false" outlineLevel="0" collapsed="false">
      <c r="T299" s="13"/>
    </row>
    <row r="300" customFormat="false" ht="12.65" hidden="false" customHeight="false" outlineLevel="0" collapsed="false">
      <c r="A300" s="61" t="s">
        <v>106</v>
      </c>
      <c r="T300" s="13"/>
    </row>
    <row r="301" customFormat="false" ht="12.65" hidden="false" customHeight="false" outlineLevel="0" collapsed="false">
      <c r="A301" s="23" t="str">
        <f aca="false">CONCATENATE(A300,". Shares of total energy use - ",A5," 1970 to 2050")</f>
        <v> Gráfico 7. Percentagem do consumo total de energia - OCDE (excluindo os EUA) de 1970 a 2050</v>
      </c>
      <c r="T301" s="13"/>
      <c r="V301" s="95"/>
    </row>
    <row r="302" customFormat="false" ht="12.65" hidden="false" customHeight="false" outlineLevel="0" collapsed="false">
      <c r="T302" s="13"/>
      <c r="V302" s="95"/>
      <c r="AA302" s="52"/>
    </row>
    <row r="303" customFormat="false" ht="12.65" hidden="false" customHeight="false" outlineLevel="0" collapsed="false">
      <c r="T303" s="13"/>
      <c r="V303" s="95"/>
      <c r="AB303" s="131"/>
      <c r="AC303" s="131"/>
      <c r="AD303" s="131"/>
      <c r="AE303" s="131"/>
      <c r="AF303" s="131"/>
      <c r="AG303" s="131"/>
      <c r="AH303" s="131"/>
      <c r="AI303" s="131"/>
      <c r="AJ303" s="131"/>
    </row>
    <row r="304" customFormat="false" ht="12.65" hidden="false" customHeight="false" outlineLevel="0" collapsed="false">
      <c r="T304" s="13"/>
      <c r="V304" s="95"/>
      <c r="AB304" s="131"/>
      <c r="AC304" s="131"/>
      <c r="AD304" s="131"/>
      <c r="AE304" s="131"/>
      <c r="AF304" s="131"/>
      <c r="AG304" s="131"/>
      <c r="AH304" s="131"/>
      <c r="AI304" s="131"/>
      <c r="AJ304" s="131"/>
    </row>
    <row r="305" customFormat="false" ht="12.65" hidden="false" customHeight="false" outlineLevel="0" collapsed="false">
      <c r="T305" s="13"/>
      <c r="V305" s="95"/>
      <c r="AB305" s="131"/>
      <c r="AC305" s="131"/>
      <c r="AD305" s="131"/>
      <c r="AE305" s="131"/>
      <c r="AF305" s="131"/>
      <c r="AG305" s="131"/>
      <c r="AH305" s="131"/>
      <c r="AI305" s="131"/>
      <c r="AJ305" s="131"/>
    </row>
    <row r="306" customFormat="false" ht="12.65" hidden="false" customHeight="false" outlineLevel="0" collapsed="false">
      <c r="T306" s="13"/>
      <c r="V306" s="95"/>
      <c r="AB306" s="131"/>
      <c r="AC306" s="131"/>
      <c r="AD306" s="131"/>
      <c r="AE306" s="131"/>
      <c r="AF306" s="131"/>
      <c r="AG306" s="131"/>
      <c r="AH306" s="131"/>
      <c r="AI306" s="131"/>
      <c r="AJ306" s="131"/>
    </row>
    <row r="307" customFormat="false" ht="12.65" hidden="false" customHeight="false" outlineLevel="0" collapsed="false">
      <c r="T307" s="13"/>
      <c r="V307" s="95"/>
      <c r="AB307" s="131"/>
      <c r="AC307" s="131"/>
      <c r="AD307" s="131"/>
      <c r="AE307" s="131"/>
      <c r="AF307" s="131"/>
      <c r="AG307" s="131"/>
      <c r="AH307" s="131"/>
      <c r="AI307" s="131"/>
      <c r="AJ307" s="131"/>
    </row>
    <row r="308" customFormat="false" ht="12.65" hidden="false" customHeight="false" outlineLevel="0" collapsed="false">
      <c r="T308" s="13"/>
      <c r="V308" s="95"/>
      <c r="AB308" s="131"/>
      <c r="AC308" s="131"/>
      <c r="AD308" s="131"/>
      <c r="AE308" s="131"/>
      <c r="AF308" s="131"/>
      <c r="AG308" s="131"/>
      <c r="AH308" s="131"/>
      <c r="AI308" s="131"/>
      <c r="AJ308" s="131"/>
    </row>
    <row r="309" customFormat="false" ht="12.65" hidden="false" customHeight="false" outlineLevel="0" collapsed="false">
      <c r="T309" s="13"/>
      <c r="V309" s="95"/>
      <c r="AB309" s="131"/>
      <c r="AC309" s="131"/>
      <c r="AD309" s="131"/>
      <c r="AE309" s="131"/>
      <c r="AF309" s="131"/>
      <c r="AG309" s="131"/>
      <c r="AH309" s="131"/>
      <c r="AI309" s="131"/>
      <c r="AJ309" s="131"/>
    </row>
    <row r="310" customFormat="false" ht="12.65" hidden="false" customHeight="false" outlineLevel="0" collapsed="false">
      <c r="T310" s="13"/>
      <c r="V310" s="95"/>
      <c r="AB310" s="131"/>
      <c r="AC310" s="131"/>
      <c r="AD310" s="131"/>
      <c r="AE310" s="131"/>
      <c r="AF310" s="131"/>
      <c r="AG310" s="131"/>
      <c r="AH310" s="131"/>
      <c r="AI310" s="131"/>
      <c r="AJ310" s="131"/>
    </row>
    <row r="311" customFormat="false" ht="12.65" hidden="false" customHeight="false" outlineLevel="0" collapsed="false">
      <c r="T311" s="13"/>
      <c r="V311" s="95"/>
      <c r="AB311" s="131"/>
      <c r="AC311" s="131"/>
      <c r="AD311" s="131"/>
      <c r="AE311" s="131"/>
      <c r="AF311" s="131"/>
      <c r="AG311" s="131"/>
      <c r="AH311" s="131"/>
      <c r="AI311" s="131"/>
      <c r="AJ311" s="131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T314" s="13"/>
      <c r="V314" s="95"/>
    </row>
    <row r="315" customFormat="false" ht="12.65" hidden="false" customHeight="false" outlineLevel="0" collapsed="false">
      <c r="T315" s="13"/>
      <c r="V315" s="95"/>
    </row>
    <row r="316" customFormat="false" ht="12.65" hidden="false" customHeight="false" outlineLevel="0" collapsed="false">
      <c r="T316" s="13"/>
      <c r="V316" s="95"/>
    </row>
    <row r="317" customFormat="false" ht="12.65" hidden="false" customHeight="false" outlineLevel="0" collapsed="false">
      <c r="T317" s="13"/>
      <c r="V317" s="95"/>
    </row>
    <row r="318" customFormat="false" ht="12.65" hidden="false" customHeight="false" outlineLevel="0" collapsed="false">
      <c r="T318" s="13"/>
      <c r="V318" s="95"/>
    </row>
    <row r="319" customFormat="false" ht="12.65" hidden="false" customHeight="false" outlineLevel="0" collapsed="false">
      <c r="T319" s="13"/>
      <c r="V319" s="95"/>
    </row>
    <row r="320" customFormat="false" ht="12.65" hidden="false" customHeight="false" outlineLevel="0" collapsed="false">
      <c r="T320" s="13"/>
      <c r="V320" s="95"/>
    </row>
    <row r="321" customFormat="false" ht="12.65" hidden="false" customHeight="false" outlineLevel="0" collapsed="false">
      <c r="T321" s="13"/>
      <c r="V321" s="95"/>
    </row>
    <row r="322" customFormat="false" ht="12.65" hidden="false" customHeight="false" outlineLevel="0" collapsed="false">
      <c r="T322" s="13"/>
      <c r="V322" s="95"/>
    </row>
    <row r="323" customFormat="false" ht="12.65" hidden="false" customHeight="false" outlineLevel="0" collapsed="false">
      <c r="T323" s="13"/>
      <c r="V323" s="95"/>
    </row>
    <row r="324" customFormat="false" ht="12.65" hidden="false" customHeight="false" outlineLevel="0" collapsed="false">
      <c r="T324" s="13"/>
      <c r="V324" s="95"/>
    </row>
    <row r="325" customFormat="false" ht="12.65" hidden="false" customHeight="false" outlineLevel="0" collapsed="false">
      <c r="A325" s="61" t="s">
        <v>107</v>
      </c>
      <c r="T325" s="13"/>
      <c r="V325" s="95"/>
    </row>
    <row r="326" customFormat="false" ht="12.65" hidden="false" customHeight="false" outlineLevel="0" collapsed="false">
      <c r="A326" s="23" t="str">
        <f aca="false">CONCATENATE(A325,". Energy usages (Mtoe/yr) - ",A5," 1970 to 2050")</f>
        <v> Gráfico 8. Consumo de energia (Mtoe/ano) - OCDE (excluindo EUA) - 1970 a 2050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T326" s="13"/>
    </row>
    <row r="327" customFormat="false" ht="11.25" hidden="false" customHeight="false" outlineLevel="0" collapsed="false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T334" s="13"/>
    </row>
    <row r="335" customFormat="false" ht="11.25" hidden="false" customHeight="false" outlineLevel="0" collapsed="false">
      <c r="A335" s="132"/>
      <c r="B335" s="131"/>
      <c r="C335" s="131"/>
      <c r="D335" s="131"/>
      <c r="E335" s="131"/>
      <c r="F335" s="131"/>
      <c r="G335" s="131"/>
      <c r="H335" s="131"/>
      <c r="I335" s="131"/>
      <c r="T335" s="13"/>
    </row>
    <row r="336" customFormat="false" ht="11.25" hidden="false" customHeight="false" outlineLevel="0" collapsed="false">
      <c r="A336" s="132"/>
      <c r="B336" s="131"/>
      <c r="C336" s="131"/>
      <c r="D336" s="131"/>
      <c r="E336" s="131"/>
      <c r="F336" s="131"/>
      <c r="G336" s="131"/>
      <c r="H336" s="131"/>
      <c r="I336" s="131"/>
      <c r="T336" s="13"/>
    </row>
    <row r="337" customFormat="false" ht="11.25" hidden="false" customHeight="false" outlineLevel="0" collapsed="false">
      <c r="A337" s="132"/>
      <c r="B337" s="131"/>
      <c r="C337" s="131"/>
      <c r="D337" s="131"/>
      <c r="E337" s="131"/>
      <c r="F337" s="131"/>
      <c r="G337" s="131"/>
      <c r="H337" s="131"/>
      <c r="I337" s="131"/>
      <c r="T337" s="13"/>
    </row>
    <row r="338" customFormat="false" ht="11.25" hidden="false" customHeight="false" outlineLevel="0" collapsed="false">
      <c r="A338" s="132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T338" s="13"/>
    </row>
    <row r="339" customFormat="false" ht="11.25" hidden="false" customHeight="false" outlineLevel="0" collapsed="false">
      <c r="A339" s="132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T339" s="13"/>
    </row>
    <row r="340" customFormat="false" ht="11.25" hidden="false" customHeight="false" outlineLevel="0" collapsed="false">
      <c r="A340" s="132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T340" s="13"/>
    </row>
    <row r="341" customFormat="false" ht="11.25" hidden="false" customHeight="false" outlineLevel="0" collapsed="false">
      <c r="A341" s="132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T341" s="13"/>
    </row>
    <row r="342" customFormat="false" ht="11.25" hidden="false" customHeight="false" outlineLevel="0" collapsed="false">
      <c r="A342" s="132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T342" s="13"/>
    </row>
    <row r="343" customFormat="false" ht="11.25" hidden="false" customHeight="false" outlineLevel="0" collapsed="false">
      <c r="A343" s="132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T343" s="13"/>
    </row>
    <row r="344" customFormat="false" ht="11.25" hidden="false" customHeight="false" outlineLevel="0" collapsed="false">
      <c r="A344" s="132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T344" s="13"/>
    </row>
    <row r="345" customFormat="false" ht="11.25" hidden="false" customHeight="false" outlineLevel="0" collapsed="false">
      <c r="A345" s="132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T345" s="13"/>
    </row>
    <row r="346" customFormat="false" ht="11.25" hidden="false" customHeight="false" outlineLevel="0" collapsed="false">
      <c r="T346" s="13"/>
    </row>
    <row r="347" customFormat="false" ht="12.65" hidden="false" customHeight="false" outlineLevel="0" collapsed="false">
      <c r="T347" s="13"/>
      <c r="V347" s="95"/>
      <c r="AC347" s="95"/>
    </row>
    <row r="348" customFormat="false" ht="12.65" hidden="false" customHeight="false" outlineLevel="0" collapsed="false">
      <c r="B348" s="95"/>
      <c r="T348" s="13"/>
    </row>
    <row r="349" customFormat="false" ht="12.65" hidden="false" customHeight="false" outlineLevel="0" collapsed="false">
      <c r="B349" s="95"/>
      <c r="T349" s="13"/>
    </row>
    <row r="350" customFormat="false" ht="12.65" hidden="false" customHeight="false" outlineLevel="0" collapsed="false">
      <c r="B350" s="95"/>
      <c r="T350" s="13"/>
    </row>
    <row r="351" customFormat="false" ht="12.65" hidden="false" customHeight="false" outlineLevel="0" collapsed="false">
      <c r="B351" s="95"/>
      <c r="T351" s="13"/>
    </row>
    <row r="352" customFormat="false" ht="12.65" hidden="false" customHeight="false" outlineLevel="0" collapsed="false">
      <c r="B352" s="95"/>
      <c r="T352" s="13"/>
    </row>
    <row r="353" customFormat="false" ht="11.25" hidden="false" customHeight="false" outlineLevel="0" collapsed="false">
      <c r="T353" s="13"/>
    </row>
    <row r="354" customFormat="false" ht="12.65" hidden="false" customHeight="false" outlineLevel="0" collapsed="false">
      <c r="A354" s="61" t="s">
        <v>108</v>
      </c>
      <c r="T354" s="13"/>
    </row>
    <row r="355" customFormat="false" ht="12.65" hidden="false" customHeight="false" outlineLevel="0" collapsed="false">
      <c r="A355" s="23" t="str">
        <f aca="false">CONCATENATE(A354,". CO2 Emissions from Energy Use - ",A5," 1970 to 2050")</f>
        <v> Gráfico 9. Emissões de CO2 provenientes do uso de energia - OCDE (excluindo EUA) de 1970 a 2050</v>
      </c>
      <c r="T355" s="13"/>
    </row>
    <row r="356" customFormat="fals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</row>
    <row r="357" customFormat="false" ht="11.25" hidden="false" customHeight="false" outlineLevel="0" collapsed="false">
      <c r="A357" s="63" t="s">
        <v>110</v>
      </c>
      <c r="B357" s="62" t="n">
        <v>5195.685</v>
      </c>
      <c r="C357" s="62" t="n">
        <v>5621.143</v>
      </c>
      <c r="D357" s="62" t="n">
        <v>6256.47</v>
      </c>
      <c r="E357" s="62" t="n">
        <v>5976.07266666667</v>
      </c>
      <c r="F357" s="62" t="n">
        <v>6268.84133333333</v>
      </c>
      <c r="G357" s="62" t="n">
        <v>6477.46733333333</v>
      </c>
      <c r="H357" s="62" t="n">
        <v>6600.83966666667</v>
      </c>
      <c r="I357" s="62" t="n">
        <v>6845.65566666667</v>
      </c>
      <c r="J357" s="62" t="n">
        <v>6787.517</v>
      </c>
      <c r="K357" s="27" t="n">
        <f aca="false">K365*44/12</f>
        <v>6678.78407416733</v>
      </c>
      <c r="L357" s="27" t="n">
        <f aca="false">L365*44/12</f>
        <v>6374.95549334465</v>
      </c>
      <c r="M357" s="27" t="n">
        <f aca="false">M365*44/12</f>
        <v>6065.57834504802</v>
      </c>
      <c r="N357" s="27" t="n">
        <f aca="false">N365*44/12</f>
        <v>5561.16544850663</v>
      </c>
      <c r="O357" s="27" t="n">
        <f aca="false">O365*44/12</f>
        <v>5002.06130727703</v>
      </c>
      <c r="P357" s="27" t="n">
        <f aca="false">P365*44/12</f>
        <v>4338.82841107532</v>
      </c>
      <c r="Q357" s="27" t="n">
        <f aca="false">Q365*44/12</f>
        <v>3672.92431141374</v>
      </c>
      <c r="R357" s="27" t="n">
        <f aca="false">R365*44/12</f>
        <v>3001.82289984071</v>
      </c>
      <c r="S357" s="28" t="str">
        <f aca="false"> EUA!S357</f>
        <v> MtCO2 / ano</v>
      </c>
      <c r="T357" s="13"/>
      <c r="U357" s="103" t="s">
        <v>109</v>
      </c>
    </row>
    <row r="358" customFormat="false" ht="11.25" hidden="false" customHeight="false" outlineLevel="0" collapsed="false">
      <c r="A358" s="63" t="str">
        <f aca="false">A250</f>
        <v> Consumo de energia</v>
      </c>
      <c r="B358" s="26" t="n">
        <f aca="false">B250</f>
        <v>1787.59111295525</v>
      </c>
      <c r="C358" s="26" t="n">
        <f aca="false">C250</f>
        <v>1996.85202043147</v>
      </c>
      <c r="D358" s="26" t="n">
        <f aca="false">D250</f>
        <v>2228.52079876792</v>
      </c>
      <c r="E358" s="26" t="n">
        <f aca="false">E250</f>
        <v>2287.38637290196</v>
      </c>
      <c r="F358" s="26" t="n">
        <f aca="false">F250</f>
        <v>2497.82670726049</v>
      </c>
      <c r="G358" s="26" t="n">
        <f aca="false">G250</f>
        <v>2684.03065258107</v>
      </c>
      <c r="H358" s="26" t="n">
        <f aca="false">H250</f>
        <v>2895.21772777</v>
      </c>
      <c r="I358" s="26" t="n">
        <f aca="false">I250</f>
        <v>3059.20250342042</v>
      </c>
      <c r="J358" s="26" t="n">
        <f aca="false">J250</f>
        <v>3000.29764949949</v>
      </c>
      <c r="K358" s="27" t="n">
        <f aca="false">K250</f>
        <v>3024.10812560057</v>
      </c>
      <c r="L358" s="27" t="n">
        <f aca="false">L250</f>
        <v>3013.59132149519</v>
      </c>
      <c r="M358" s="27" t="n">
        <f aca="false">M250</f>
        <v>2974.36418801992</v>
      </c>
      <c r="N358" s="27" t="n">
        <f aca="false">N250</f>
        <v>2859.87949117724</v>
      </c>
      <c r="O358" s="27" t="n">
        <f aca="false">O250</f>
        <v>2700.80429123504</v>
      </c>
      <c r="P358" s="27" t="n">
        <f aca="false">P250</f>
        <v>2516.57153945778</v>
      </c>
      <c r="Q358" s="27" t="n">
        <f aca="false">Q250</f>
        <v>2335.24429879787</v>
      </c>
      <c r="R358" s="27" t="n">
        <f aca="false">R250</f>
        <v>2152.39225998886</v>
      </c>
      <c r="S358" s="28" t="str">
        <f aca="false"> EUA!S358</f>
        <v> Mtoe / ano</v>
      </c>
      <c r="T358" s="13"/>
      <c r="U358" s="103" t="s">
        <v>85</v>
      </c>
    </row>
    <row r="359" customFormat="false" ht="11.25" hidden="false" customHeight="false" outlineLevel="0" collapsed="false">
      <c r="A359" s="63" t="str">
        <f aca="false">A134</f>
        <v> PIB dos EUA sem a OCDE</v>
      </c>
      <c r="B359" s="133" t="n">
        <f aca="false">B134</f>
        <v>8.0601523701427</v>
      </c>
      <c r="C359" s="133" t="n">
        <f aca="false">C134</f>
        <v>9.64417111611257</v>
      </c>
      <c r="D359" s="133" t="n">
        <f aca="false">D134</f>
        <v>11.4565226041584</v>
      </c>
      <c r="E359" s="133" t="n">
        <f aca="false">E134</f>
        <v>12.616682108126</v>
      </c>
      <c r="F359" s="133" t="n">
        <f aca="false">F134</f>
        <v>15.4525796383615</v>
      </c>
      <c r="G359" s="133" t="n">
        <f aca="false">G134</f>
        <v>16.95702974134</v>
      </c>
      <c r="H359" s="133" t="n">
        <f aca="false">H134</f>
        <v>19.3777579831424</v>
      </c>
      <c r="I359" s="133" t="n">
        <f aca="false">I134</f>
        <v>21.4454293886402</v>
      </c>
      <c r="J359" s="133" t="n">
        <f aca="false">J134</f>
        <v>22.0211424655663</v>
      </c>
      <c r="K359" s="134" t="n">
        <f aca="false">K134</f>
        <v>23.3641085142743</v>
      </c>
      <c r="L359" s="134" t="n">
        <f aca="false">L134</f>
        <v>24.5082696951679</v>
      </c>
      <c r="M359" s="134" t="n">
        <f aca="false">M134</f>
        <v>25.4623704533066</v>
      </c>
      <c r="N359" s="134" t="n">
        <f aca="false">N134</f>
        <v>25.7708543841576</v>
      </c>
      <c r="O359" s="134" t="n">
        <f aca="false">O134</f>
        <v>25.6183168866672</v>
      </c>
      <c r="P359" s="134" t="n">
        <f aca="false">P134</f>
        <v>25.1271454581234</v>
      </c>
      <c r="Q359" s="134" t="n">
        <f aca="false">Q134</f>
        <v>24.543844360064</v>
      </c>
      <c r="R359" s="134" t="n">
        <f aca="false">R134</f>
        <v>23.8126694893583</v>
      </c>
      <c r="S359" s="28" t="str">
        <f aca="false"> EUA!S359</f>
        <v> T$ / ano</v>
      </c>
      <c r="T359" s="13"/>
    </row>
    <row r="360" customFormat="false" ht="11.25" hidden="false" customHeight="false" outlineLevel="0" collapsed="false">
      <c r="A360" s="63" t="s">
        <v>112</v>
      </c>
      <c r="B360" s="135" t="n">
        <f aca="false">B255</f>
        <v>7.37568250270932</v>
      </c>
      <c r="C360" s="135" t="n">
        <f aca="false">C255</f>
        <v>7.66747868567286</v>
      </c>
      <c r="D360" s="135" t="n">
        <f aca="false">D255</f>
        <v>7.64021072335865</v>
      </c>
      <c r="E360" s="135" t="n">
        <f aca="false">E255</f>
        <v>8.53845924362752</v>
      </c>
      <c r="F360" s="135" t="n">
        <f aca="false">F255</f>
        <v>8.11514847804668</v>
      </c>
      <c r="G360" s="135" t="n">
        <f aca="false">G255</f>
        <v>8.37671234093194</v>
      </c>
      <c r="H360" s="135" t="n">
        <f aca="false">H255</f>
        <v>8.74388258830303</v>
      </c>
      <c r="I360" s="135" t="n">
        <f aca="false">I255</f>
        <v>8.65781805425745</v>
      </c>
      <c r="J360" s="135" t="n">
        <f aca="false">J255</f>
        <v>10.6193055990776</v>
      </c>
      <c r="K360" s="136" t="n">
        <f aca="false">K255</f>
        <v>12</v>
      </c>
      <c r="L360" s="136" t="n">
        <f aca="false">L255</f>
        <v>15</v>
      </c>
      <c r="M360" s="136" t="n">
        <f aca="false">M255</f>
        <v>18</v>
      </c>
      <c r="N360" s="136" t="n">
        <f aca="false">N255</f>
        <v>22</v>
      </c>
      <c r="O360" s="136" t="n">
        <f aca="false">O255</f>
        <v>26</v>
      </c>
      <c r="P360" s="136" t="n">
        <f aca="false">P255</f>
        <v>31</v>
      </c>
      <c r="Q360" s="136" t="n">
        <f aca="false">Q255</f>
        <v>37</v>
      </c>
      <c r="R360" s="136" t="n">
        <f aca="false">R255</f>
        <v>44</v>
      </c>
      <c r="S360" s="28" t="str">
        <f aca="false"> EUA!S360</f>
        <v> %</v>
      </c>
      <c r="T360" s="13"/>
    </row>
    <row r="361" customFormat="false" ht="11.25" hidden="false" customHeight="false" outlineLevel="0" collapsed="false">
      <c r="A361" s="63" t="s">
        <v>113</v>
      </c>
      <c r="B361" s="75" t="n">
        <f aca="false">B357/B358</f>
        <v>2.90652877067088</v>
      </c>
      <c r="C361" s="75" t="n">
        <f aca="false">C357/C358</f>
        <v>2.81500228483902</v>
      </c>
      <c r="D361" s="75" t="n">
        <f aca="false">D357/D358</f>
        <v>2.80745416576727</v>
      </c>
      <c r="E361" s="75" t="n">
        <f aca="false">E357/E358</f>
        <v>2.61262056006959</v>
      </c>
      <c r="F361" s="75" t="n">
        <f aca="false">F357/F358</f>
        <v>2.50971827433486</v>
      </c>
      <c r="G361" s="75" t="n">
        <f aca="false">G357/G358</f>
        <v>2.41333582651314</v>
      </c>
      <c r="H361" s="75" t="n">
        <f aca="false">H357/H358</f>
        <v>2.27991131836253</v>
      </c>
      <c r="I361" s="75" t="n">
        <f aca="false">I357/I358</f>
        <v>2.2377255703121</v>
      </c>
      <c r="J361" s="75" t="n">
        <f aca="false">J357/J358</f>
        <v>2.26228121104328</v>
      </c>
      <c r="K361" s="75" t="n">
        <f aca="false">K357/K358</f>
        <v>2.20851364990165</v>
      </c>
      <c r="L361" s="75" t="n">
        <f aca="false">L357/L358</f>
        <v>2.11540146398541</v>
      </c>
      <c r="M361" s="75" t="n">
        <f aca="false">M357/M358</f>
        <v>2.03928569657974</v>
      </c>
      <c r="N361" s="75" t="n">
        <f aca="false">N357/N358</f>
        <v>1.94454537880455</v>
      </c>
      <c r="O361" s="75" t="n">
        <f aca="false">O357/O358</f>
        <v>1.8520635958371</v>
      </c>
      <c r="P361" s="75" t="n">
        <f aca="false">P357/P358</f>
        <v>1.72410294841455</v>
      </c>
      <c r="Q361" s="75" t="n">
        <f aca="false">Q357/Q358</f>
        <v>1.57282230099201</v>
      </c>
      <c r="R361" s="75" t="n">
        <f aca="false">R357/R358</f>
        <v>1.39464490541155</v>
      </c>
      <c r="S361" s="28" t="str">
        <f aca="false"> EUA!S361</f>
        <v> tCO2 / dedo do pé</v>
      </c>
      <c r="T361" s="13"/>
    </row>
    <row r="362" customFormat="false" ht="11.25" hidden="false" customHeight="false" outlineLevel="0" collapsed="false">
      <c r="A362" s="63" t="s">
        <v>115</v>
      </c>
      <c r="K362" s="27" t="n">
        <f aca="false">K242*$D$375</f>
        <v>817.564569845439</v>
      </c>
      <c r="L362" s="27" t="n">
        <f aca="false">L242*$D$375</f>
        <v>742.834183459363</v>
      </c>
      <c r="M362" s="27" t="n">
        <f aca="false">M242*$D$375</f>
        <v>685.863942761816</v>
      </c>
      <c r="N362" s="27" t="n">
        <f aca="false">N242*$D$375</f>
        <v>591.244224855203</v>
      </c>
      <c r="O362" s="27" t="n">
        <f aca="false">O242*$D$375</f>
        <v>493.931565532633</v>
      </c>
      <c r="P362" s="27" t="n">
        <f aca="false">P242*$D$375</f>
        <v>400.207392742783</v>
      </c>
      <c r="Q362" s="27" t="n">
        <f aca="false">Q242*$D$375</f>
        <v>315.665465872113</v>
      </c>
      <c r="R362" s="27" t="n">
        <f aca="false">R242*$D$375</f>
        <v>222.490055484401</v>
      </c>
      <c r="S362" s="28" t="str">
        <f aca="false"> EUA!S362</f>
        <v> MtC / ano</v>
      </c>
      <c r="T362" s="13"/>
      <c r="U362" s="41"/>
      <c r="V362" s="41"/>
      <c r="W362" s="41"/>
      <c r="X362" s="41"/>
      <c r="Y362" s="41"/>
    </row>
    <row r="363" customFormat="false" ht="11.25" hidden="false" customHeight="false" outlineLevel="0" collapsed="false">
      <c r="A363" s="63" t="s">
        <v>117</v>
      </c>
      <c r="K363" s="27" t="n">
        <f aca="false">K243*$C$375</f>
        <v>442.949938537656</v>
      </c>
      <c r="L363" s="27" t="n">
        <f aca="false">L243*$C$375</f>
        <v>484.684953872685</v>
      </c>
      <c r="M363" s="27" t="n">
        <f aca="false">M243*$C$375</f>
        <v>495.460790901568</v>
      </c>
      <c r="N363" s="27" t="n">
        <f aca="false">N243*$C$375</f>
        <v>501.031144610448</v>
      </c>
      <c r="O363" s="27" t="n">
        <f aca="false">O243*$C$375</f>
        <v>480.919026191206</v>
      </c>
      <c r="P363" s="27" t="n">
        <f aca="false">P243*$C$375</f>
        <v>433.658322672287</v>
      </c>
      <c r="Q363" s="27" t="n">
        <f aca="false">Q243*$C$375</f>
        <v>388.998089706364</v>
      </c>
      <c r="R363" s="27" t="n">
        <f aca="false">R243*$C$375</f>
        <v>333.812300706787</v>
      </c>
      <c r="S363" s="28" t="str">
        <f aca="false"> EUA!S363</f>
        <v> MtC / ano</v>
      </c>
      <c r="T363" s="13"/>
      <c r="U363" s="41"/>
      <c r="V363" s="41"/>
      <c r="W363" s="41"/>
      <c r="X363" s="41"/>
      <c r="Y363" s="41"/>
    </row>
    <row r="364" customFormat="false" ht="11.25" hidden="false" customHeight="false" outlineLevel="0" collapsed="false">
      <c r="A364" s="63" t="s">
        <v>118</v>
      </c>
      <c r="K364" s="27" t="n">
        <f aca="false">K244*$E$375</f>
        <v>560.972057298905</v>
      </c>
      <c r="L364" s="27" t="n">
        <f aca="false">L244*$E$375</f>
        <v>511.105088125584</v>
      </c>
      <c r="M364" s="27" t="n">
        <f aca="false">M244*$E$375</f>
        <v>472.923905895168</v>
      </c>
      <c r="N364" s="27" t="n">
        <f aca="false">N244*$E$375</f>
        <v>424.406116490703</v>
      </c>
      <c r="O364" s="27" t="n">
        <f aca="false">O244*$E$375</f>
        <v>389.347946624444</v>
      </c>
      <c r="P364" s="27" t="n">
        <f aca="false">P244*$E$375</f>
        <v>349.451123969108</v>
      </c>
      <c r="Q364" s="27" t="n">
        <f aca="false">Q244*$E$375</f>
        <v>297.043074807089</v>
      </c>
      <c r="R364" s="27" t="n">
        <f aca="false">R244*$E$375</f>
        <v>262.376616492642</v>
      </c>
      <c r="S364" s="28" t="str">
        <f aca="false"> EUA!S364</f>
        <v> MtC / ano</v>
      </c>
      <c r="T364" s="13"/>
      <c r="U364" s="41"/>
      <c r="V364" s="41"/>
      <c r="W364" s="41"/>
      <c r="X364" s="41"/>
      <c r="Y364" s="41"/>
    </row>
    <row r="365" customFormat="false" ht="11.25" hidden="false" customHeight="false" outlineLevel="0" collapsed="false">
      <c r="A365" s="63" t="s">
        <v>119</v>
      </c>
      <c r="K365" s="27" t="n">
        <f aca="false">SUM(K362:K364)</f>
        <v>1821.486565682</v>
      </c>
      <c r="L365" s="27" t="n">
        <f aca="false">SUM(L362:L364)</f>
        <v>1738.62422545763</v>
      </c>
      <c r="M365" s="27" t="n">
        <f aca="false">SUM(M362:M364)</f>
        <v>1654.24863955855</v>
      </c>
      <c r="N365" s="27" t="n">
        <f aca="false">SUM(N362:N364)</f>
        <v>1516.68148595635</v>
      </c>
      <c r="O365" s="27" t="n">
        <f aca="false">SUM(O362:O364)</f>
        <v>1364.19853834828</v>
      </c>
      <c r="P365" s="27" t="n">
        <f aca="false">SUM(P362:P364)</f>
        <v>1183.31683938418</v>
      </c>
      <c r="Q365" s="27" t="n">
        <f aca="false">SUM(Q362:Q364)</f>
        <v>1001.70663038557</v>
      </c>
      <c r="R365" s="27" t="n">
        <f aca="false">SUM(R362:R364)</f>
        <v>818.678972683829</v>
      </c>
      <c r="S365" s="28" t="str">
        <f aca="false"> EUA!S365</f>
        <v> MtC / ano</v>
      </c>
      <c r="T365" s="13"/>
      <c r="U365" s="41"/>
      <c r="V365" s="41"/>
      <c r="W365" s="41"/>
      <c r="X365" s="41"/>
      <c r="Y365" s="41"/>
    </row>
    <row r="366" customFormat="false" ht="12.65" hidden="false" customHeight="false" outlineLevel="0" collapsed="false">
      <c r="A366" s="23" t="s">
        <v>7</v>
      </c>
      <c r="S366" s="41"/>
      <c r="T366" s="13"/>
      <c r="U366" s="41"/>
      <c r="V366" s="41"/>
      <c r="W366" s="41"/>
      <c r="X366" s="41"/>
      <c r="Y366" s="41"/>
    </row>
    <row r="367" s="3" customFormat="true" ht="11.25" hidden="false" customHeight="false" outlineLevel="0" collapsed="false">
      <c r="B367" s="24" t="n">
        <v>1970</v>
      </c>
      <c r="C367" s="24" t="n">
        <v>1975</v>
      </c>
      <c r="D367" s="24" t="n">
        <v>1980</v>
      </c>
      <c r="E367" s="24" t="n">
        <v>1985</v>
      </c>
      <c r="F367" s="24" t="n">
        <v>1990</v>
      </c>
      <c r="G367" s="24" t="n">
        <v>1995</v>
      </c>
      <c r="H367" s="24" t="n">
        <v>2000</v>
      </c>
      <c r="I367" s="24" t="n">
        <v>2005</v>
      </c>
      <c r="J367" s="24" t="n">
        <v>2010</v>
      </c>
      <c r="K367" s="24" t="n">
        <v>2015</v>
      </c>
      <c r="L367" s="24" t="n">
        <v>2020</v>
      </c>
      <c r="M367" s="24" t="n">
        <v>2025</v>
      </c>
      <c r="N367" s="24" t="n">
        <v>2030</v>
      </c>
      <c r="O367" s="24" t="n">
        <v>2035</v>
      </c>
      <c r="P367" s="24" t="n">
        <v>2040</v>
      </c>
      <c r="Q367" s="24" t="n">
        <v>2045</v>
      </c>
      <c r="R367" s="24" t="n">
        <v>2050</v>
      </c>
      <c r="S367" s="25" t="s">
        <v>15</v>
      </c>
      <c r="T367" s="13"/>
      <c r="U367" s="41"/>
      <c r="V367" s="41"/>
      <c r="W367" s="41"/>
      <c r="X367" s="41"/>
      <c r="Y367" s="41"/>
    </row>
    <row r="368" s="3" customFormat="true" ht="11.25" hidden="false" customHeight="false" outlineLevel="0" collapsed="false">
      <c r="G368" s="8"/>
      <c r="H368" s="8"/>
      <c r="I368" s="8"/>
      <c r="J368" s="37" t="str">
        <f aca="false">CONCATENATE(A357," Your forecast")</f>
        <v> Emissões de CO2: Sua previsão</v>
      </c>
      <c r="K368" s="84" t="n">
        <f aca="false">K373/12*44</f>
        <v>6678.78407416733</v>
      </c>
      <c r="L368" s="84" t="n">
        <f aca="false">L373/12*44</f>
        <v>6340.06277304214</v>
      </c>
      <c r="M368" s="84" t="n">
        <f aca="false">M373/12*44</f>
        <v>6031.11283945485</v>
      </c>
      <c r="N368" s="84" t="n">
        <f aca="false">N373/12*44</f>
        <v>5532.91047563802</v>
      </c>
      <c r="O368" s="84" t="n">
        <f aca="false">O373/12*44</f>
        <v>4982.03604299912</v>
      </c>
      <c r="P368" s="84" t="n">
        <f aca="false">P373/12*44</f>
        <v>4332.3640040637</v>
      </c>
      <c r="Q368" s="84" t="n">
        <f aca="false">Q373/12*44</f>
        <v>3682.34769166397</v>
      </c>
      <c r="R368" s="84" t="n">
        <f aca="false">R373/12*44</f>
        <v>3028.56470418852</v>
      </c>
      <c r="S368" s="28" t="str">
        <f aca="false"> EUA!S368</f>
        <v> MtCO2 / ano</v>
      </c>
      <c r="T368" s="13"/>
      <c r="U368" s="41"/>
      <c r="V368" s="41"/>
      <c r="W368" s="41"/>
      <c r="X368" s="41"/>
      <c r="Y368" s="41"/>
    </row>
    <row r="369" s="3" customFormat="true" ht="11.25" hidden="false" customHeight="false" outlineLevel="0" collapsed="false">
      <c r="G369" s="8"/>
      <c r="H369" s="8"/>
      <c r="I369" s="8"/>
      <c r="J369" s="37" t="str">
        <f aca="false">CONCATENATE(A361," Your forecast")</f>
        <v> Intensidade climática Sua previsão</v>
      </c>
      <c r="K369" s="137" t="n">
        <f aca="false">K368/K266</f>
        <v>2.20851364990165</v>
      </c>
      <c r="L369" s="137" t="n">
        <f aca="false">L368/L266</f>
        <v>2.15082676803904</v>
      </c>
      <c r="M369" s="137" t="n">
        <f aca="false">M368/M266</f>
        <v>2.07623331598147</v>
      </c>
      <c r="N369" s="137" t="n">
        <f aca="false">N368/N266</f>
        <v>1.9833878045618</v>
      </c>
      <c r="O369" s="137" t="n">
        <f aca="false">O368/O266</f>
        <v>1.89275565725369</v>
      </c>
      <c r="P369" s="137" t="n">
        <f aca="false">P368/P266</f>
        <v>1.7673542227796</v>
      </c>
      <c r="Q369" s="137" t="n">
        <f aca="false">Q368/Q266</f>
        <v>1.6190991883055</v>
      </c>
      <c r="R369" s="137" t="n">
        <f aca="false">R368/R266</f>
        <v>1.44448534063665</v>
      </c>
      <c r="S369" s="28" t="str">
        <f aca="false"> EUA!S369</f>
        <v> tCO2 / dedo do pé</v>
      </c>
      <c r="T369" s="13"/>
      <c r="U369" s="41"/>
      <c r="V369" s="41"/>
      <c r="W369" s="41"/>
      <c r="X369" s="41"/>
      <c r="Y369" s="41"/>
    </row>
    <row r="370" s="3" customFormat="true" ht="11.25" hidden="false" customHeight="false" outlineLevel="0" collapsed="false">
      <c r="G370" s="8"/>
      <c r="H370" s="8"/>
      <c r="I370" s="8"/>
      <c r="J370" s="37" t="str">
        <f aca="false">CONCATENATE(A362," Your forecast")</f>
        <v> Emissões de CO2 provenientes do petróleo: Sua previsão</v>
      </c>
      <c r="K370" s="84" t="n">
        <f aca="false">K261*$D$375</f>
        <v>817.564569845439</v>
      </c>
      <c r="L370" s="84" t="n">
        <f aca="false">L261*$D$375</f>
        <v>712.068419245381</v>
      </c>
      <c r="M370" s="84" t="n">
        <f aca="false">M261*$D$375</f>
        <v>656.434204221322</v>
      </c>
      <c r="N370" s="84" t="n">
        <f aca="false">N261*$D$375</f>
        <v>565.185821945564</v>
      </c>
      <c r="O370" s="84" t="n">
        <f aca="false">O261*$D$375</f>
        <v>471.750158024828</v>
      </c>
      <c r="P370" s="84" t="n">
        <f aca="false">P261*$D$375</f>
        <v>382.035075782757</v>
      </c>
      <c r="Q370" s="84" t="n">
        <f aca="false">Q261*$D$375</f>
        <v>301.281292001215</v>
      </c>
      <c r="R370" s="84" t="n">
        <f aca="false">R261*$D$375</f>
        <v>212.392401879878</v>
      </c>
      <c r="S370" s="28" t="str">
        <f aca="false"> EUA!S370</f>
        <v> MtC / ano</v>
      </c>
      <c r="T370" s="13"/>
      <c r="U370" s="41"/>
      <c r="V370" s="41"/>
      <c r="W370" s="41"/>
      <c r="X370" s="41"/>
      <c r="Y370" s="41"/>
    </row>
    <row r="371" s="3" customFormat="true" ht="11.25" hidden="false" customHeight="false" outlineLevel="0" collapsed="false">
      <c r="G371" s="8"/>
      <c r="H371" s="8"/>
      <c r="I371" s="8"/>
      <c r="J371" s="37" t="str">
        <f aca="false">CONCATENATE(A363," Your forecast")</f>
        <v> Emissões de CO2 provenientes do gás: Sua previsão</v>
      </c>
      <c r="K371" s="84" t="n">
        <f aca="false">K262*$C$375</f>
        <v>442.949938537656</v>
      </c>
      <c r="L371" s="84" t="n">
        <f aca="false">L262*$C$375</f>
        <v>464.610887087728</v>
      </c>
      <c r="M371" s="84" t="n">
        <f aca="false">M262*$C$375</f>
        <v>474.201061931732</v>
      </c>
      <c r="N371" s="84" t="n">
        <f aca="false">N262*$C$375</f>
        <v>478.94877849561</v>
      </c>
      <c r="O371" s="84" t="n">
        <f aca="false">O262*$C$375</f>
        <v>459.321983923416</v>
      </c>
      <c r="P371" s="84" t="n">
        <f aca="false">P262*$C$375</f>
        <v>413.967090988771</v>
      </c>
      <c r="Q371" s="84" t="n">
        <f aca="false">Q262*$C$375</f>
        <v>371.272311112482</v>
      </c>
      <c r="R371" s="84" t="n">
        <f aca="false">R262*$C$375</f>
        <v>318.662315804642</v>
      </c>
      <c r="S371" s="28" t="str">
        <f aca="false"> EUA!S371</f>
        <v> MtC / ano</v>
      </c>
      <c r="T371" s="13"/>
      <c r="V371" s="41"/>
      <c r="W371" s="41"/>
      <c r="X371" s="41"/>
      <c r="Y371" s="41"/>
    </row>
    <row r="372" s="3" customFormat="true" ht="11.25" hidden="false" customHeight="false" outlineLevel="0" collapsed="false">
      <c r="G372" s="8"/>
      <c r="H372" s="8"/>
      <c r="I372" s="8"/>
      <c r="J372" s="37" t="str">
        <f aca="false">CONCATENATE(A364," Your forecast")</f>
        <v>Emissões de CO2 provenientes do carvão: Sua previsão</v>
      </c>
      <c r="K372" s="84" t="n">
        <f aca="false">K263*$E$375</f>
        <v>560.972057298905</v>
      </c>
      <c r="L372" s="84" t="n">
        <f aca="false">L263*$E$375</f>
        <v>552.428722678384</v>
      </c>
      <c r="M372" s="84" t="n">
        <f aca="false">M263*$E$375</f>
        <v>514.213690061905</v>
      </c>
      <c r="N372" s="84" t="n">
        <f aca="false">N263*$E$375</f>
        <v>464.84098382374</v>
      </c>
      <c r="O372" s="84" t="n">
        <f aca="false">O263*$E$375</f>
        <v>427.664960687879</v>
      </c>
      <c r="P372" s="84" t="n">
        <f aca="false">P263*$E$375</f>
        <v>385.551652518572</v>
      </c>
      <c r="Q372" s="84" t="n">
        <f aca="false">Q263*$E$375</f>
        <v>331.723040067387</v>
      </c>
      <c r="R372" s="84" t="n">
        <f aca="false">R263*$E$375</f>
        <v>294.917474366896</v>
      </c>
      <c r="S372" s="28" t="str">
        <f aca="false"> EUA!S372</f>
        <v> MtC / ano</v>
      </c>
      <c r="T372" s="13"/>
      <c r="V372" s="41"/>
      <c r="W372" s="41"/>
      <c r="X372" s="41"/>
      <c r="Y372" s="41"/>
    </row>
    <row r="373" s="3" customFormat="true" ht="11.25" hidden="false" customHeight="false" outlineLevel="0" collapsed="false">
      <c r="F373" s="8"/>
      <c r="G373" s="8"/>
      <c r="H373" s="8"/>
      <c r="I373" s="8"/>
      <c r="J373" s="37" t="str">
        <f aca="false">CONCATENATE(A365," Your forecast")</f>
        <v> Emissões de CO2 provenientes de carvão, petróleo e gás: sua previsão</v>
      </c>
      <c r="K373" s="84" t="n">
        <f aca="false">SUM(K370:K372)</f>
        <v>1821.486565682</v>
      </c>
      <c r="L373" s="84" t="n">
        <f aca="false">SUM(L370:L372)</f>
        <v>1729.10802901149</v>
      </c>
      <c r="M373" s="84" t="n">
        <f aca="false">SUM(M370:M372)</f>
        <v>1644.84895621496</v>
      </c>
      <c r="N373" s="84" t="n">
        <f aca="false">SUM(N370:N372)</f>
        <v>1508.97558426491</v>
      </c>
      <c r="O373" s="84" t="n">
        <f aca="false">SUM(O370:O372)</f>
        <v>1358.73710263612</v>
      </c>
      <c r="P373" s="84" t="n">
        <f aca="false">SUM(P370:P372)</f>
        <v>1181.5538192901</v>
      </c>
      <c r="Q373" s="84" t="n">
        <f aca="false">SUM(Q370:Q372)</f>
        <v>1004.27664318108</v>
      </c>
      <c r="R373" s="84" t="n">
        <f aca="false">SUM(R370:R372)</f>
        <v>825.972192051415</v>
      </c>
      <c r="S373" s="28" t="str">
        <f aca="false"> EUA!S373</f>
        <v> MtC / ano</v>
      </c>
      <c r="T373" s="13"/>
      <c r="V373" s="41"/>
      <c r="W373" s="41"/>
      <c r="X373" s="15" t="s">
        <v>33</v>
      </c>
      <c r="Y373" s="41"/>
    </row>
    <row r="374" customFormat="false" ht="11.25" hidden="false" customHeight="false" outlineLevel="0" collapsed="false">
      <c r="C374" s="15" t="s">
        <v>120</v>
      </c>
      <c r="D374" s="15" t="s">
        <v>121</v>
      </c>
      <c r="E374" s="15" t="s">
        <v>122</v>
      </c>
      <c r="S374" s="41"/>
      <c r="T374" s="13"/>
      <c r="V374" s="3" t="s">
        <v>35</v>
      </c>
    </row>
    <row r="375" customFormat="false" ht="28.3" hidden="false" customHeight="false" outlineLevel="0" collapsed="false">
      <c r="B375" s="15" t="s">
        <v>123</v>
      </c>
      <c r="C375" s="32" t="n">
        <v>0.574403596153046</v>
      </c>
      <c r="D375" s="32" t="n">
        <v>0.795144080881188</v>
      </c>
      <c r="E375" s="32" t="n">
        <v>1.06</v>
      </c>
      <c r="F375" s="3" t="s">
        <v>124</v>
      </c>
      <c r="H375" s="153" t="str">
        <f aca="false"> EUA!H375</f>
        <v> Unidades: tC / dedo do pé</v>
      </c>
      <c r="S375" s="41"/>
      <c r="T375" s="13"/>
      <c r="U375" s="55" t="s">
        <v>37</v>
      </c>
      <c r="V375" s="54" t="s">
        <v>38</v>
      </c>
      <c r="W375" s="54" t="s">
        <v>39</v>
      </c>
      <c r="X375" s="55"/>
      <c r="Y375" s="55"/>
    </row>
    <row r="376" s="3" customFormat="true" ht="11.25" hidden="false" customHeight="false" outlineLevel="0" collapsed="false">
      <c r="T376" s="13"/>
      <c r="U376" s="15" t="str">
        <f aca="false">AA381</f>
        <v> Emissões de CO2 (0 - 7 MtCO2 / ano)</v>
      </c>
      <c r="V376" s="25" t="n">
        <v>7000</v>
      </c>
      <c r="W376" s="70" t="n">
        <f aca="false">W380</f>
        <v>7000</v>
      </c>
    </row>
    <row r="377" s="3" customFormat="true" ht="11.25" hidden="false" customHeight="false" outlineLevel="0" collapsed="false">
      <c r="T377" s="13"/>
      <c r="U377" s="15" t="str">
        <f aca="false">AA382</f>
        <v> Consumo de energia (0 - 3,2 Mtoe/ano)</v>
      </c>
      <c r="V377" s="25" t="n">
        <v>3200</v>
      </c>
      <c r="W377" s="70" t="n">
        <f aca="false">W381</f>
        <v>3200</v>
      </c>
    </row>
    <row r="378" s="3" customFormat="true" ht="11.25" hidden="false" customHeight="false" outlineLevel="0" collapsed="false">
      <c r="T378" s="13"/>
      <c r="U378" s="15" t="str">
        <f aca="false">AA383</f>
        <v> Intensidade climática (0 - 3 tCO2 / toe)</v>
      </c>
      <c r="V378" s="25" t="n">
        <v>3</v>
      </c>
      <c r="W378" s="70" t="n">
        <f aca="false">W382</f>
        <v>3</v>
      </c>
    </row>
    <row r="379" s="3" customFormat="true" ht="11.25" hidden="false" customHeight="false" outlineLevel="0" collapsed="false">
      <c r="T379" s="13"/>
      <c r="U379" s="15" t="str">
        <f aca="false">AA384</f>
        <v> Fração renovável (0 - 70%)</v>
      </c>
      <c r="V379" s="25" t="n">
        <v>70</v>
      </c>
      <c r="W379" s="70" t="n">
        <f aca="false">W383</f>
        <v>70</v>
      </c>
      <c r="AA379" s="52" t="s">
        <v>36</v>
      </c>
    </row>
    <row r="380" s="3" customFormat="true" ht="15" hidden="false" customHeight="false" outlineLevel="0" collapsed="false">
      <c r="T380" s="13"/>
      <c r="U380" s="37" t="str">
        <f aca="false">AA386</f>
        <v> Emissões de CO2 (0 - 7 MtCO2/ano), sua previsão</v>
      </c>
      <c r="W380" s="4" t="n">
        <v>7000</v>
      </c>
      <c r="AA380" s="16"/>
      <c r="AB380" s="24" t="n">
        <v>1970</v>
      </c>
      <c r="AC380" s="24" t="n">
        <v>1975</v>
      </c>
      <c r="AD380" s="24" t="n">
        <v>1980</v>
      </c>
      <c r="AE380" s="24" t="n">
        <v>1985</v>
      </c>
      <c r="AF380" s="24" t="n">
        <v>1990</v>
      </c>
      <c r="AG380" s="24" t="n">
        <v>1995</v>
      </c>
      <c r="AH380" s="24" t="n">
        <v>2000</v>
      </c>
      <c r="AI380" s="24" t="n">
        <v>2005</v>
      </c>
      <c r="AJ380" s="24" t="n">
        <v>2010</v>
      </c>
      <c r="AK380" s="24" t="n">
        <v>2015</v>
      </c>
      <c r="AL380" s="24" t="n">
        <v>2020</v>
      </c>
      <c r="AM380" s="24" t="n">
        <v>2025</v>
      </c>
      <c r="AN380" s="24" t="n">
        <v>2030</v>
      </c>
      <c r="AO380" s="24" t="n">
        <v>2035</v>
      </c>
      <c r="AP380" s="24" t="n">
        <v>2040</v>
      </c>
      <c r="AQ380" s="24" t="n">
        <v>2045</v>
      </c>
      <c r="AR380" s="24" t="n">
        <v>2050</v>
      </c>
    </row>
    <row r="381" s="3" customFormat="true" ht="11.25" hidden="false" customHeight="false" outlineLevel="0" collapsed="false">
      <c r="T381" s="13"/>
      <c r="U381" s="37" t="str">
        <f aca="false">AA387</f>
        <v> Consumo de energia (0 - 3,2 Mtoe/ano), sua previsão</v>
      </c>
      <c r="W381" s="4" t="n">
        <v>3200</v>
      </c>
      <c r="AA381" s="29" t="str">
        <f aca="false">CONCATENATE(A357," (0 - ",W376/1000," MtCO2 / yr)")</f>
        <v> Emissões de CO2 (0 - 7 MtCO2 / ano)</v>
      </c>
      <c r="AB381" s="57" t="n">
        <f aca="false">B357/$W376</f>
        <v>0.742240714285714</v>
      </c>
      <c r="AC381" s="57" t="n">
        <f aca="false">C357/$W376</f>
        <v>0.803020428571429</v>
      </c>
      <c r="AD381" s="57" t="n">
        <f aca="false">D357/$W376</f>
        <v>0.893781428571429</v>
      </c>
      <c r="AE381" s="57" t="n">
        <f aca="false">E357/$W376</f>
        <v>0.853724666666667</v>
      </c>
      <c r="AF381" s="57" t="n">
        <f aca="false">F357/$W376</f>
        <v>0.895548761904762</v>
      </c>
      <c r="AG381" s="57" t="n">
        <f aca="false">G357/$W376</f>
        <v>0.925352476190476</v>
      </c>
      <c r="AH381" s="57" t="n">
        <f aca="false">H357/$W376</f>
        <v>0.942977095238095</v>
      </c>
      <c r="AI381" s="57" t="n">
        <f aca="false">I357/$W376</f>
        <v>0.97795080952381</v>
      </c>
      <c r="AJ381" s="57" t="n">
        <f aca="false">J357/$W376</f>
        <v>0.969645285714286</v>
      </c>
      <c r="AK381" s="57" t="n">
        <f aca="false">K357/$W376</f>
        <v>0.954112010595333</v>
      </c>
      <c r="AL381" s="57" t="n">
        <f aca="false">L357/$W376</f>
        <v>0.910707927620665</v>
      </c>
      <c r="AM381" s="57" t="n">
        <f aca="false">M357/$W376</f>
        <v>0.866511192149718</v>
      </c>
      <c r="AN381" s="57" t="n">
        <f aca="false">N357/$W376</f>
        <v>0.794452206929518</v>
      </c>
      <c r="AO381" s="57" t="n">
        <f aca="false">O357/$W376</f>
        <v>0.714580186753862</v>
      </c>
      <c r="AP381" s="57" t="n">
        <f aca="false">P357/$W376</f>
        <v>0.619832630153617</v>
      </c>
      <c r="AQ381" s="57" t="n">
        <f aca="false">Q357/$W376</f>
        <v>0.524703473059106</v>
      </c>
      <c r="AR381" s="57" t="n">
        <f aca="false">R357/$W376</f>
        <v>0.428831842834387</v>
      </c>
    </row>
    <row r="382" s="3" customFormat="true" ht="11.25" hidden="false" customHeight="false" outlineLevel="0" collapsed="false">
      <c r="T382" s="13"/>
      <c r="U382" s="37" t="str">
        <f aca="false">AA388</f>
        <v> Intensidade climática (0 - 3 tCO2/tep), Sua previsão</v>
      </c>
      <c r="W382" s="4" t="n">
        <v>3</v>
      </c>
      <c r="AA382" s="29" t="str">
        <f aca="false">CONCATENATE(A358," (0 - ",W377/1000," Mtoe / yr)")</f>
        <v> Consumo de energia (0 - 3,2 Mtoe/ano)</v>
      </c>
      <c r="AB382" s="57" t="n">
        <f aca="false">B358/$W377</f>
        <v>0.558622222798515</v>
      </c>
      <c r="AC382" s="57" t="n">
        <f aca="false">C358/$W377</f>
        <v>0.624016256384834</v>
      </c>
      <c r="AD382" s="57" t="n">
        <f aca="false">D358/$W377</f>
        <v>0.696412749614974</v>
      </c>
      <c r="AE382" s="57" t="n">
        <f aca="false">E358/$W377</f>
        <v>0.714808241531863</v>
      </c>
      <c r="AF382" s="57" t="n">
        <f aca="false">F358/$W377</f>
        <v>0.780570846018903</v>
      </c>
      <c r="AG382" s="57" t="n">
        <f aca="false">G358/$W377</f>
        <v>0.838759578931586</v>
      </c>
      <c r="AH382" s="57" t="n">
        <f aca="false">H358/$W377</f>
        <v>0.904755539928126</v>
      </c>
      <c r="AI382" s="57" t="n">
        <f aca="false">I358/$W377</f>
        <v>0.95600078231888</v>
      </c>
      <c r="AJ382" s="57" t="n">
        <f aca="false">J358/$W377</f>
        <v>0.937593015468589</v>
      </c>
      <c r="AK382" s="57" t="n">
        <f aca="false">K358/$W377</f>
        <v>0.945033789250178</v>
      </c>
      <c r="AL382" s="57" t="n">
        <f aca="false">L358/$W377</f>
        <v>0.941747287967247</v>
      </c>
      <c r="AM382" s="57" t="n">
        <f aca="false">M358/$W377</f>
        <v>0.929488808756226</v>
      </c>
      <c r="AN382" s="57" t="n">
        <f aca="false">N358/$W377</f>
        <v>0.893712340992888</v>
      </c>
      <c r="AO382" s="57" t="n">
        <f aca="false">O358/$W377</f>
        <v>0.844001341010951</v>
      </c>
      <c r="AP382" s="57" t="n">
        <f aca="false">P358/$W377</f>
        <v>0.786428606080557</v>
      </c>
      <c r="AQ382" s="57" t="n">
        <f aca="false">Q358/$W377</f>
        <v>0.729763843374334</v>
      </c>
      <c r="AR382" s="57" t="n">
        <f aca="false">R358/$W377</f>
        <v>0.672622581246518</v>
      </c>
    </row>
    <row r="383" s="3" customFormat="true" ht="11.25" hidden="false" customHeight="false" outlineLevel="0" collapsed="false">
      <c r="T383" s="13"/>
      <c r="U383" s="37" t="str">
        <f aca="false">AA389</f>
        <v> Fração renovável (0 - 70%), Sua previsão</v>
      </c>
      <c r="W383" s="4" t="n">
        <v>70</v>
      </c>
      <c r="AA383" s="29" t="str">
        <f aca="false">CONCATENATE(A361," (0 - ",W378," tCO2 / toe)")</f>
        <v> Intensidade climática (0 - 3 tCO2 / toe)</v>
      </c>
      <c r="AB383" s="57" t="n">
        <f aca="false">B361/$W378</f>
        <v>0.968842923556959</v>
      </c>
      <c r="AC383" s="57" t="n">
        <f aca="false">C361/$W378</f>
        <v>0.93833409494634</v>
      </c>
      <c r="AD383" s="57" t="n">
        <f aca="false">D361/$W378</f>
        <v>0.935818055255758</v>
      </c>
      <c r="AE383" s="57" t="n">
        <f aca="false">E361/$W378</f>
        <v>0.870873520023196</v>
      </c>
      <c r="AF383" s="57" t="n">
        <f aca="false">F361/$W378</f>
        <v>0.836572758111621</v>
      </c>
      <c r="AG383" s="57" t="n">
        <f aca="false">G361/$W378</f>
        <v>0.804445275504378</v>
      </c>
      <c r="AH383" s="57" t="n">
        <f aca="false">H361/$W378</f>
        <v>0.759970439454176</v>
      </c>
      <c r="AI383" s="57" t="n">
        <f aca="false">I361/$W378</f>
        <v>0.745908523437368</v>
      </c>
      <c r="AJ383" s="57" t="n">
        <f aca="false">J361/$W378</f>
        <v>0.754093737014426</v>
      </c>
      <c r="AK383" s="57" t="n">
        <f aca="false">K361/$W378</f>
        <v>0.736171216633882</v>
      </c>
      <c r="AL383" s="57" t="n">
        <f aca="false">L361/$W378</f>
        <v>0.70513382132847</v>
      </c>
      <c r="AM383" s="57" t="n">
        <f aca="false">M361/$W378</f>
        <v>0.679761898859912</v>
      </c>
      <c r="AN383" s="57" t="n">
        <f aca="false">N361/$W378</f>
        <v>0.648181792934852</v>
      </c>
      <c r="AO383" s="57" t="n">
        <f aca="false">O361/$W378</f>
        <v>0.617354531945699</v>
      </c>
      <c r="AP383" s="57" t="n">
        <f aca="false">P361/$W378</f>
        <v>0.574700982804852</v>
      </c>
      <c r="AQ383" s="57" t="n">
        <f aca="false">Q361/$W378</f>
        <v>0.524274100330671</v>
      </c>
      <c r="AR383" s="57" t="n">
        <f aca="false">R361/$W378</f>
        <v>0.464881635137183</v>
      </c>
    </row>
    <row r="384" s="3" customFormat="true" ht="11.25" hidden="false" customHeight="false" outlineLevel="0" collapsed="false">
      <c r="T384" s="13"/>
      <c r="AA384" s="29" t="str">
        <f aca="false">CONCATENATE(A360," (0 - ",W379," %)")</f>
        <v> Fração renovável (0 - 70%)</v>
      </c>
      <c r="AB384" s="57" t="n">
        <f aca="false">B360/$W379</f>
        <v>0.105366892895847</v>
      </c>
      <c r="AC384" s="57" t="n">
        <f aca="false">C360/$W379</f>
        <v>0.109535409795327</v>
      </c>
      <c r="AD384" s="57" t="n">
        <f aca="false">D360/$W379</f>
        <v>0.109145867476552</v>
      </c>
      <c r="AE384" s="57" t="n">
        <f aca="false">E360/$W379</f>
        <v>0.121977989194679</v>
      </c>
      <c r="AF384" s="57" t="n">
        <f aca="false">F360/$W379</f>
        <v>0.115930692543524</v>
      </c>
      <c r="AG384" s="57" t="n">
        <f aca="false">G360/$W379</f>
        <v>0.119667319156171</v>
      </c>
      <c r="AH384" s="57" t="n">
        <f aca="false">H360/$W379</f>
        <v>0.124912608404329</v>
      </c>
      <c r="AI384" s="57" t="n">
        <f aca="false">I360/$W379</f>
        <v>0.123683115060821</v>
      </c>
      <c r="AJ384" s="57" t="n">
        <f aca="false">J360/$W379</f>
        <v>0.151704365701109</v>
      </c>
      <c r="AK384" s="57" t="n">
        <f aca="false">K360/$W379</f>
        <v>0.171428571428571</v>
      </c>
      <c r="AL384" s="57" t="n">
        <f aca="false">L360/$W379</f>
        <v>0.214285714285714</v>
      </c>
      <c r="AM384" s="57" t="n">
        <f aca="false">M360/$W379</f>
        <v>0.257142857142857</v>
      </c>
      <c r="AN384" s="57" t="n">
        <f aca="false">N360/$W379</f>
        <v>0.314285714285714</v>
      </c>
      <c r="AO384" s="57" t="n">
        <f aca="false">O360/$W379</f>
        <v>0.371428571428571</v>
      </c>
      <c r="AP384" s="57" t="n">
        <f aca="false">P360/$W379</f>
        <v>0.442857142857143</v>
      </c>
      <c r="AQ384" s="57" t="n">
        <f aca="false">Q360/$W379</f>
        <v>0.528571428571429</v>
      </c>
      <c r="AR384" s="57" t="n">
        <f aca="false">R360/$W379</f>
        <v>0.628571428571429</v>
      </c>
    </row>
    <row r="385" s="3" customFormat="true" ht="11.25" hidden="false" customHeight="false" outlineLevel="0" collapsed="false">
      <c r="T385" s="13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="3" customFormat="true" ht="11.25" hidden="false" customHeight="false" outlineLevel="0" collapsed="false">
      <c r="T386" s="13"/>
      <c r="AA386" s="29" t="str">
        <f aca="false">CONCATENATE(A357," (0 - ",W380/1000," MtCO2 / yr), Your forecast")</f>
        <v> Emissões de CO2 (0 - 7 MtCO2/ano), sua previsão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57" t="n">
        <f aca="false">K368/$W380</f>
        <v>0.954112010595333</v>
      </c>
      <c r="AL386" s="57" t="n">
        <f aca="false">L368/$W380</f>
        <v>0.905723253291735</v>
      </c>
      <c r="AM386" s="57" t="n">
        <f aca="false">M368/$W380</f>
        <v>0.86158754849355</v>
      </c>
      <c r="AN386" s="57" t="n">
        <f aca="false">N368/$W380</f>
        <v>0.790415782234003</v>
      </c>
      <c r="AO386" s="57" t="n">
        <f aca="false">O368/$W380</f>
        <v>0.71171943471416</v>
      </c>
      <c r="AP386" s="57" t="n">
        <f aca="false">P368/$W380</f>
        <v>0.618909143437671</v>
      </c>
      <c r="AQ386" s="57" t="n">
        <f aca="false">Q368/$W380</f>
        <v>0.526049670237711</v>
      </c>
      <c r="AR386" s="57" t="n">
        <f aca="false">R368/$W380</f>
        <v>0.43265210059836</v>
      </c>
    </row>
    <row r="387" s="3" customFormat="true" ht="11.25" hidden="false" customHeight="false" outlineLevel="0" collapsed="false">
      <c r="T387" s="13"/>
      <c r="AA387" s="29" t="str">
        <f aca="false">CONCATENATE(A358," (0 - ",W381/1000," Mtoe / yr), Your forecast")</f>
        <v> Consumo de energia (0 - 3,2 Mtoe/ano), sua previsão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57" t="n">
        <f aca="false">K266/$W381</f>
        <v>0.945033789250178</v>
      </c>
      <c r="AL387" s="57" t="n">
        <f aca="false">L266/$W381</f>
        <v>0.92116652350484</v>
      </c>
      <c r="AM387" s="57" t="n">
        <f aca="false">M266/$W381</f>
        <v>0.907760581540758</v>
      </c>
      <c r="AN387" s="57" t="n">
        <f aca="false">N266/$W381</f>
        <v>0.87175817036895</v>
      </c>
      <c r="AO387" s="57" t="n">
        <f aca="false">O266/$W381</f>
        <v>0.822550051545588</v>
      </c>
      <c r="AP387" s="57" t="n">
        <f aca="false">P266/$W381</f>
        <v>0.766039842958377</v>
      </c>
      <c r="AQ387" s="57" t="n">
        <f aca="false">Q266/$W381</f>
        <v>0.710724618946484</v>
      </c>
      <c r="AR387" s="57" t="n">
        <f aca="false">R266/$W381</f>
        <v>0.655199774918989</v>
      </c>
    </row>
    <row r="388" s="3" customFormat="true" ht="11.25" hidden="false" customHeight="false" outlineLevel="0" collapsed="false">
      <c r="S388" s="41"/>
      <c r="T388" s="13"/>
      <c r="U388" s="41"/>
      <c r="AA388" s="29" t="str">
        <f aca="false">CONCATENATE(A361," (0 - ",W382," tCO2 / toe), Your forecast")</f>
        <v> Intensidade climática (0 - 3 tCO2/tep), Sua previsão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57" t="n">
        <f aca="false">K369/$W382</f>
        <v>0.736171216633882</v>
      </c>
      <c r="AL388" s="57" t="n">
        <f aca="false">L369/$W382</f>
        <v>0.716942256013012</v>
      </c>
      <c r="AM388" s="57" t="n">
        <f aca="false">M369/$W382</f>
        <v>0.692077771993825</v>
      </c>
      <c r="AN388" s="57" t="n">
        <f aca="false">N369/$W382</f>
        <v>0.661129268187266</v>
      </c>
      <c r="AO388" s="57" t="n">
        <f aca="false">O369/$W382</f>
        <v>0.630918552417896</v>
      </c>
      <c r="AP388" s="57" t="n">
        <f aca="false">P369/$W382</f>
        <v>0.589118074259866</v>
      </c>
      <c r="AQ388" s="57" t="n">
        <f aca="false">Q369/$W382</f>
        <v>0.539699729435168</v>
      </c>
      <c r="AR388" s="57" t="n">
        <f aca="false">R369/$W382</f>
        <v>0.48149511354555</v>
      </c>
    </row>
    <row r="389" s="3" customFormat="true" ht="11.25" hidden="false" customHeight="false" outlineLevel="0" collapsed="false">
      <c r="S389" s="41"/>
      <c r="T389" s="13"/>
      <c r="U389" s="41"/>
      <c r="AA389" s="29" t="str">
        <f aca="false">CONCATENATE(A360," (0 - ",W383," %), Your forecast")</f>
        <v> Fração renovável (0 - 70%), Sua previsão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57" t="n">
        <f aca="false">K271/$W383</f>
        <v>0.171428571428571</v>
      </c>
      <c r="AL389" s="57" t="n">
        <f aca="false">L271/$W383</f>
        <v>0.21</v>
      </c>
      <c r="AM389" s="57" t="n">
        <f aca="false">M271/$W383</f>
        <v>0.252</v>
      </c>
      <c r="AN389" s="57" t="n">
        <f aca="false">N271/$W383</f>
        <v>0.308</v>
      </c>
      <c r="AO389" s="57" t="n">
        <f aca="false">O271/$W383</f>
        <v>0.364</v>
      </c>
      <c r="AP389" s="57" t="n">
        <f aca="false">P271/$W383</f>
        <v>0.434</v>
      </c>
      <c r="AQ389" s="57" t="n">
        <f aca="false">Q271/$W383</f>
        <v>0.518</v>
      </c>
      <c r="AR389" s="57" t="n">
        <f aca="false">R271/$W383</f>
        <v>0.616</v>
      </c>
    </row>
    <row r="390" s="3" customFormat="true" ht="11.25" hidden="false" customHeight="false" outlineLevel="0" collapsed="false">
      <c r="S390" s="41"/>
      <c r="T390" s="13"/>
      <c r="U390" s="41"/>
    </row>
    <row r="391" s="3" customFormat="true" ht="11.25" hidden="false" customHeight="false" outlineLevel="0" collapsed="false">
      <c r="S391" s="41"/>
      <c r="T391" s="13"/>
      <c r="U391" s="41"/>
    </row>
    <row r="392" customFormat="false" ht="11.25" hidden="false" customHeight="false" outlineLevel="0" collapsed="false">
      <c r="S392" s="41"/>
      <c r="T392" s="13"/>
      <c r="U392" s="41"/>
    </row>
    <row r="393" customFormat="false" ht="11.25" hidden="false" customHeight="false" outlineLevel="0" collapsed="false">
      <c r="K393" s="36"/>
      <c r="T393" s="13"/>
    </row>
    <row r="394" customFormat="false" ht="11.25" hidden="false" customHeight="false" outlineLevel="0" collapsed="false">
      <c r="T394" s="13"/>
    </row>
    <row r="395" customFormat="false" ht="11.25" hidden="false" customHeight="false" outlineLevel="0" collapsed="false">
      <c r="T395" s="13"/>
    </row>
    <row r="396" customFormat="false" ht="11.25" hidden="false" customHeight="false" outlineLevel="0" collapsed="false">
      <c r="T396" s="13"/>
    </row>
    <row r="397" customFormat="false" ht="11.25" hidden="false" customHeight="false" outlineLevel="0" collapsed="false">
      <c r="T397" s="13"/>
    </row>
    <row r="398" s="35" customFormat="true" ht="13.8" hidden="false" customHeight="false" outlineLevel="0" collapsed="false">
      <c r="A398" s="73"/>
      <c r="T398" s="13"/>
    </row>
    <row r="399" s="35" customFormat="true" ht="13.8" hidden="false" customHeight="false" outlineLevel="0" collapsed="false">
      <c r="A399" s="73"/>
      <c r="T399" s="13"/>
    </row>
    <row r="400" customFormat="false" ht="11.25" hidden="false" customHeight="false" outlineLevel="0" collapsed="false">
      <c r="T400" s="13"/>
    </row>
    <row r="401" customFormat="false" ht="11.25" hidden="false" customHeight="false" outlineLevel="0" collapsed="false">
      <c r="T401" s="13"/>
    </row>
    <row r="402" customFormat="false" ht="11.25" hidden="false" customHeight="false" outlineLevel="0" collapsed="false">
      <c r="T402" s="13"/>
    </row>
    <row r="403" customFormat="false" ht="11.25" hidden="false" customHeight="false" outlineLevel="0" collapsed="false">
      <c r="T403" s="13"/>
    </row>
    <row r="404" customFormat="false" ht="12.65" hidden="false" customHeight="false" outlineLevel="0" collapsed="false">
      <c r="A404" s="61" t="s">
        <v>126</v>
      </c>
      <c r="T404" s="13"/>
    </row>
    <row r="405" customFormat="false" ht="12.65" hidden="false" customHeight="false" outlineLevel="0" collapsed="false">
      <c r="A405" s="23" t="str">
        <f aca="false">CONCATENATE(A404,". Climate Change - ",A5," 1970 to 2050")</f>
        <v> Gráfico 10. Mudanças Climáticas - OCDE (excluindo os EUA) de 1970 a 2050</v>
      </c>
      <c r="D405" s="51" t="s">
        <v>127</v>
      </c>
      <c r="T405" s="13"/>
    </row>
    <row r="406" customFormat="false" ht="12.65" hidden="false" customHeight="false" outlineLevel="0" collapsed="false">
      <c r="A406" s="23"/>
      <c r="D406" s="51"/>
      <c r="T406" s="13"/>
    </row>
    <row r="407" customFormat="false" ht="12.65" hidden="false" customHeight="false" outlineLevel="0" collapsed="false">
      <c r="A407" s="23"/>
      <c r="D407" s="51"/>
      <c r="T407" s="13"/>
    </row>
    <row r="408" customFormat="false" ht="12.65" hidden="false" customHeight="false" outlineLevel="0" collapsed="false">
      <c r="A408" s="61" t="s">
        <v>128</v>
      </c>
      <c r="T408" s="13"/>
    </row>
    <row r="409" customFormat="false" ht="12.65" hidden="false" customHeight="false" outlineLevel="0" collapsed="false">
      <c r="A409" s="23" t="str">
        <f aca="false">CONCATENATE(A408,". Food Production - ",A5," 1970 to 2050")</f>
        <v> Gráfico 11. Produção de Alimentos - OCDE (excluindo os EUA) de 1970 a 2050</v>
      </c>
      <c r="T409" s="13"/>
    </row>
    <row r="410" customFormat="false" ht="13.8" hidden="false" customHeight="false" outlineLevel="0" collapsed="false">
      <c r="B410" s="24" t="n">
        <v>1970</v>
      </c>
      <c r="C410" s="24" t="n">
        <v>1975</v>
      </c>
      <c r="D410" s="24" t="n">
        <v>1980</v>
      </c>
      <c r="E410" s="24" t="n">
        <v>1985</v>
      </c>
      <c r="F410" s="24" t="n">
        <v>1990</v>
      </c>
      <c r="G410" s="24" t="n">
        <v>1995</v>
      </c>
      <c r="H410" s="24" t="n">
        <v>2000</v>
      </c>
      <c r="I410" s="24" t="n">
        <v>2005</v>
      </c>
      <c r="J410" s="24" t="n">
        <v>2010</v>
      </c>
      <c r="K410" s="24" t="n">
        <v>2015</v>
      </c>
      <c r="L410" s="24" t="n">
        <v>2020</v>
      </c>
      <c r="M410" s="24" t="n">
        <v>2025</v>
      </c>
      <c r="N410" s="24" t="n">
        <v>2030</v>
      </c>
      <c r="O410" s="24" t="n">
        <v>2035</v>
      </c>
      <c r="P410" s="24" t="n">
        <v>2040</v>
      </c>
      <c r="Q410" s="24" t="n">
        <v>2045</v>
      </c>
      <c r="R410" s="24" t="n">
        <v>2050</v>
      </c>
      <c r="S410" s="25" t="s">
        <v>15</v>
      </c>
      <c r="T410" s="13"/>
      <c r="X410" s="138"/>
    </row>
    <row r="411" customFormat="false" ht="11.25" hidden="false" customHeight="false" outlineLevel="0" collapsed="false">
      <c r="A411" s="63" t="s">
        <v>130</v>
      </c>
      <c r="B411" s="62" t="n">
        <v>663.094804</v>
      </c>
      <c r="C411" s="62" t="n">
        <v>706.412597</v>
      </c>
      <c r="D411" s="62" t="n">
        <v>745.510599</v>
      </c>
      <c r="E411" s="62" t="n">
        <v>841.498722</v>
      </c>
      <c r="F411" s="62" t="n">
        <v>840.255865</v>
      </c>
      <c r="G411" s="62" t="n">
        <v>798.420448</v>
      </c>
      <c r="H411" s="62" t="n">
        <v>868.029133</v>
      </c>
      <c r="I411" s="62" t="n">
        <v>858.233102</v>
      </c>
      <c r="J411" s="62" t="n">
        <v>865.861508</v>
      </c>
      <c r="K411" s="27" t="n">
        <f aca="false">K412*K413</f>
        <v>901</v>
      </c>
      <c r="L411" s="27" t="n">
        <f aca="false">L412*L413</f>
        <v>935</v>
      </c>
      <c r="M411" s="27" t="n">
        <f aca="false">M412*M413</f>
        <v>986</v>
      </c>
      <c r="N411" s="27" t="n">
        <f aca="false">N412*N413</f>
        <v>1037</v>
      </c>
      <c r="O411" s="27" t="n">
        <f aca="false">O412*O413</f>
        <v>1062.5</v>
      </c>
      <c r="P411" s="27" t="n">
        <f aca="false">P412*P413</f>
        <v>1088</v>
      </c>
      <c r="Q411" s="27" t="n">
        <f aca="false">Q412*Q413</f>
        <v>1072.5</v>
      </c>
      <c r="R411" s="27" t="n">
        <f aca="false">R412*R413</f>
        <v>1023</v>
      </c>
      <c r="S411" s="76" t="s">
        <v>131</v>
      </c>
      <c r="T411" s="13"/>
      <c r="U411" s="103" t="s">
        <v>129</v>
      </c>
    </row>
    <row r="412" customFormat="false" ht="11.25" hidden="false" customHeight="false" outlineLevel="0" collapsed="false">
      <c r="A412" s="63" t="s">
        <v>132</v>
      </c>
      <c r="B412" s="62" t="n">
        <v>169.142727</v>
      </c>
      <c r="C412" s="62" t="n">
        <v>173.416854</v>
      </c>
      <c r="D412" s="62" t="n">
        <v>176.069566</v>
      </c>
      <c r="E412" s="62" t="n">
        <v>183.275362</v>
      </c>
      <c r="F412" s="62" t="n">
        <v>172.753628</v>
      </c>
      <c r="G412" s="62" t="n">
        <v>168.402666</v>
      </c>
      <c r="H412" s="62" t="n">
        <v>173.524811</v>
      </c>
      <c r="I412" s="62" t="n">
        <v>168.410672</v>
      </c>
      <c r="J412" s="62" t="n">
        <v>167.934229</v>
      </c>
      <c r="K412" s="139" t="n">
        <v>170</v>
      </c>
      <c r="L412" s="139" t="n">
        <v>170</v>
      </c>
      <c r="M412" s="139" t="n">
        <v>170</v>
      </c>
      <c r="N412" s="139" t="n">
        <v>170</v>
      </c>
      <c r="O412" s="139" t="n">
        <v>170</v>
      </c>
      <c r="P412" s="139" t="n">
        <v>170</v>
      </c>
      <c r="Q412" s="139" t="n">
        <v>165</v>
      </c>
      <c r="R412" s="139" t="n">
        <v>155</v>
      </c>
      <c r="S412" s="140" t="s">
        <v>133</v>
      </c>
      <c r="T412" s="13"/>
      <c r="U412" s="103" t="s">
        <v>85</v>
      </c>
    </row>
    <row r="413" customFormat="false" ht="11.25" hidden="false" customHeight="false" outlineLevel="0" collapsed="false">
      <c r="A413" s="63" t="s">
        <v>134</v>
      </c>
      <c r="B413" s="75" t="n">
        <f aca="false">B411/B412</f>
        <v>3.92032702653541</v>
      </c>
      <c r="C413" s="75" t="n">
        <f aca="false">C411/C412</f>
        <v>4.07349447707084</v>
      </c>
      <c r="D413" s="75" t="n">
        <f aca="false">D411/D412</f>
        <v>4.23418206755846</v>
      </c>
      <c r="E413" s="75" t="n">
        <f aca="false">E411/E412</f>
        <v>4.59144487735346</v>
      </c>
      <c r="F413" s="75" t="n">
        <f aca="false">F411/F412</f>
        <v>4.86389706964649</v>
      </c>
      <c r="G413" s="75" t="n">
        <f aca="false">G411/G412</f>
        <v>4.74113900310818</v>
      </c>
      <c r="H413" s="75" t="n">
        <f aca="false">H411/H412</f>
        <v>5.00233440968854</v>
      </c>
      <c r="I413" s="75" t="n">
        <f aca="false">I411/I412</f>
        <v>5.09607313959296</v>
      </c>
      <c r="J413" s="75" t="n">
        <f aca="false">J411/J412</f>
        <v>5.1559560737317</v>
      </c>
      <c r="K413" s="33" t="n">
        <v>5.3</v>
      </c>
      <c r="L413" s="33" t="n">
        <v>5.5</v>
      </c>
      <c r="M413" s="33" t="n">
        <v>5.8</v>
      </c>
      <c r="N413" s="33" t="n">
        <v>6.1</v>
      </c>
      <c r="O413" s="33" t="n">
        <v>6.25</v>
      </c>
      <c r="P413" s="33" t="n">
        <v>6.4</v>
      </c>
      <c r="Q413" s="33" t="n">
        <v>6.5</v>
      </c>
      <c r="R413" s="33" t="n">
        <v>6.6</v>
      </c>
      <c r="S413" s="140" t="s">
        <v>135</v>
      </c>
      <c r="T413" s="13"/>
      <c r="U413" s="141"/>
      <c r="W413" s="142"/>
      <c r="X413" s="142"/>
      <c r="Y413" s="142"/>
    </row>
    <row r="414" customFormat="false" ht="11.25" hidden="false" customHeight="false" outlineLevel="0" collapsed="false">
      <c r="A414" s="63" t="s">
        <v>136</v>
      </c>
      <c r="B414" s="143" t="n">
        <f aca="false">B411/B9</f>
        <v>1.11374455582539</v>
      </c>
      <c r="C414" s="143" t="n">
        <f aca="false">C411/C9</f>
        <v>1.13659517846999</v>
      </c>
      <c r="D414" s="143" t="n">
        <f aca="false">D411/D9</f>
        <v>1.16270017025899</v>
      </c>
      <c r="E414" s="143" t="n">
        <f aca="false">E411/E9</f>
        <v>1.27924709254552</v>
      </c>
      <c r="F414" s="143" t="n">
        <f aca="false">F411/F9</f>
        <v>1.24718440715733</v>
      </c>
      <c r="G414" s="143" t="n">
        <f aca="false">G411/G9</f>
        <v>1.15539533364823</v>
      </c>
      <c r="H414" s="143" t="n">
        <f aca="false">H411/H9</f>
        <v>1.23507723620687</v>
      </c>
      <c r="I414" s="143" t="n">
        <f aca="false">I411/I9</f>
        <v>1.19277044990304</v>
      </c>
      <c r="J414" s="143" t="n">
        <f aca="false">J411/J9</f>
        <v>1.17462747961603</v>
      </c>
      <c r="K414" s="143" t="n">
        <f aca="false">K411/K9</f>
        <v>1.2146900368299</v>
      </c>
      <c r="L414" s="143" t="n">
        <f aca="false">L411/L9</f>
        <v>1.26220869436732</v>
      </c>
      <c r="M414" s="143" t="n">
        <f aca="false">M411/M9</f>
        <v>1.34195651101843</v>
      </c>
      <c r="N414" s="143" t="n">
        <f aca="false">N411/N9</f>
        <v>1.42945861512055</v>
      </c>
      <c r="O414" s="143" t="n">
        <f aca="false">O411/O9</f>
        <v>1.48774983619038</v>
      </c>
      <c r="P414" s="143" t="n">
        <f aca="false">P411/P9</f>
        <v>1.55327286424132</v>
      </c>
      <c r="Q414" s="143" t="n">
        <f aca="false">Q411/Q9</f>
        <v>1.56845598096425</v>
      </c>
      <c r="R414" s="143" t="n">
        <f aca="false">R411/R9</f>
        <v>1.54091260425236</v>
      </c>
      <c r="S414" s="76" t="s">
        <v>137</v>
      </c>
      <c r="T414" s="13"/>
      <c r="U414" s="142"/>
      <c r="W414" s="144"/>
      <c r="X414" s="144"/>
      <c r="Y414" s="144"/>
    </row>
    <row r="415" customFormat="false" ht="13.8" hidden="false" customHeight="false" outlineLevel="0" collapsed="false">
      <c r="A415" s="63" t="s">
        <v>139</v>
      </c>
      <c r="B415" s="47"/>
      <c r="C415" s="31" t="n">
        <f aca="false">(C411-B411)/B411*100/5</f>
        <v>1.30653392964907</v>
      </c>
      <c r="D415" s="31" t="n">
        <f aca="false">(D411-C411)/C411*100/5</f>
        <v>1.10694520924575</v>
      </c>
      <c r="E415" s="31" t="n">
        <f aca="false">(E411-D411)/D411*100/5</f>
        <v>2.57509747356389</v>
      </c>
      <c r="F415" s="31" t="n">
        <f aca="false">(F411-E411)/E411*100/5</f>
        <v>-0.0295391298288881</v>
      </c>
      <c r="G415" s="31" t="n">
        <f aca="false">(G411-F411)/F411*100/5</f>
        <v>-0.995778041965825</v>
      </c>
      <c r="H415" s="31" t="n">
        <f aca="false">(H411-G411)/G411*100/5</f>
        <v>1.74365987680716</v>
      </c>
      <c r="I415" s="31" t="n">
        <f aca="false">(I411-H411)/H411*100/5</f>
        <v>-0.225707424499541</v>
      </c>
      <c r="J415" s="31" t="n">
        <f aca="false">(J411-I411)/I411*100/5</f>
        <v>0.1777700250019</v>
      </c>
      <c r="K415" s="31" t="n">
        <f aca="false">(K411-J411)/J411*100/5</f>
        <v>0.811642316359906</v>
      </c>
      <c r="L415" s="31" t="n">
        <f aca="false">(L411-K411)/K411*100/5</f>
        <v>0.754716981132076</v>
      </c>
      <c r="M415" s="31" t="n">
        <f aca="false">(M411-L411)/L411*100/5</f>
        <v>1.09090909090909</v>
      </c>
      <c r="N415" s="31" t="n">
        <f aca="false">(N411-M411)/M411*100/5</f>
        <v>1.03448275862069</v>
      </c>
      <c r="O415" s="31" t="n">
        <f aca="false">(O411-N411)/N411*100/5</f>
        <v>0.491803278688525</v>
      </c>
      <c r="P415" s="31" t="n">
        <f aca="false">(P411-O411)/O411*100/5</f>
        <v>0.48</v>
      </c>
      <c r="Q415" s="31" t="n">
        <f aca="false">(Q411-P411)/P411*100/5</f>
        <v>-0.284926470588235</v>
      </c>
      <c r="R415" s="31" t="n">
        <f aca="false">(R411-Q411)/Q411*100/5</f>
        <v>-0.923076923076923</v>
      </c>
      <c r="S415" s="76" t="s">
        <v>25</v>
      </c>
      <c r="T415" s="13"/>
      <c r="U415" s="144" t="s">
        <v>138</v>
      </c>
      <c r="W415" s="145"/>
      <c r="X415" s="145"/>
      <c r="Y415" s="145"/>
    </row>
    <row r="416" customFormat="false" ht="11.25" hidden="false" customHeight="false" outlineLevel="0" collapsed="false">
      <c r="A416" s="63" t="s">
        <v>141</v>
      </c>
      <c r="B416" s="47"/>
      <c r="C416" s="31" t="n">
        <f aca="false">(C412-B412)/B412*100/5</f>
        <v>0.505387027371268</v>
      </c>
      <c r="D416" s="31" t="n">
        <f aca="false">(D412-C412)/C412*100/5</f>
        <v>0.305934739192075</v>
      </c>
      <c r="E416" s="31" t="n">
        <f aca="false">(E412-D412)/D412*100/5</f>
        <v>0.818516926428954</v>
      </c>
      <c r="F416" s="31" t="n">
        <f aca="false">(F412-E412)/E412*100/5</f>
        <v>-1.14818859285625</v>
      </c>
      <c r="G416" s="31" t="n">
        <f aca="false">(G412-F412)/F412*100/5</f>
        <v>-0.503718741003805</v>
      </c>
      <c r="H416" s="31" t="n">
        <f aca="false">(H412-G412)/G412*100/5</f>
        <v>0.608321129547912</v>
      </c>
      <c r="I416" s="31" t="n">
        <f aca="false">(I412-H412)/H412*100/5</f>
        <v>-0.589441817631485</v>
      </c>
      <c r="J416" s="31" t="n">
        <f aca="false">(J412-I412)/I412*100/5</f>
        <v>-0.0565810936257077</v>
      </c>
      <c r="K416" s="31" t="n">
        <f aca="false">(K412-J412)/J412*100/5</f>
        <v>0.246021434975</v>
      </c>
      <c r="L416" s="31" t="n">
        <f aca="false">(L412-K412)/K412*100/5</f>
        <v>0</v>
      </c>
      <c r="M416" s="31" t="n">
        <f aca="false">(M412-L412)/L412*100/5</f>
        <v>0</v>
      </c>
      <c r="N416" s="31" t="n">
        <f aca="false">(N412-M412)/M412*100/5</f>
        <v>0</v>
      </c>
      <c r="O416" s="31" t="n">
        <f aca="false">(O412-N412)/N412*100/5</f>
        <v>0</v>
      </c>
      <c r="P416" s="31" t="n">
        <f aca="false">(P412-O412)/O412*100/5</f>
        <v>0</v>
      </c>
      <c r="Q416" s="31" t="n">
        <f aca="false">(Q412-P412)/P412*100/5</f>
        <v>-0.588235294117647</v>
      </c>
      <c r="R416" s="31" t="n">
        <f aca="false">(R412-Q412)/Q412*100/5</f>
        <v>-1.21212121212121</v>
      </c>
      <c r="S416" s="76" t="s">
        <v>25</v>
      </c>
      <c r="T416" s="13"/>
      <c r="U416" s="144" t="s">
        <v>140</v>
      </c>
      <c r="V416" s="41"/>
    </row>
    <row r="417" customFormat="false" ht="12.65" hidden="false" customHeight="false" outlineLevel="0" collapsed="false">
      <c r="A417" s="23" t="s">
        <v>7</v>
      </c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T417" s="13"/>
    </row>
    <row r="418" customFormat="false" ht="11.25" hidden="false" customHeight="false" outlineLevel="0" collapsed="false">
      <c r="B418" s="24" t="n">
        <v>1970</v>
      </c>
      <c r="C418" s="24" t="n">
        <v>1975</v>
      </c>
      <c r="D418" s="24" t="n">
        <v>1980</v>
      </c>
      <c r="E418" s="24" t="n">
        <v>1985</v>
      </c>
      <c r="F418" s="24" t="n">
        <v>1990</v>
      </c>
      <c r="G418" s="24" t="n">
        <v>1995</v>
      </c>
      <c r="H418" s="24" t="n">
        <v>2000</v>
      </c>
      <c r="I418" s="24" t="n">
        <v>2005</v>
      </c>
      <c r="J418" s="24" t="n">
        <v>2010</v>
      </c>
      <c r="K418" s="24" t="n">
        <v>2015</v>
      </c>
      <c r="L418" s="24" t="n">
        <v>2020</v>
      </c>
      <c r="M418" s="24" t="n">
        <v>2025</v>
      </c>
      <c r="N418" s="24" t="n">
        <v>2030</v>
      </c>
      <c r="O418" s="24" t="n">
        <v>2035</v>
      </c>
      <c r="P418" s="24" t="n">
        <v>2040</v>
      </c>
      <c r="Q418" s="24" t="n">
        <v>2045</v>
      </c>
      <c r="R418" s="24" t="n">
        <v>2050</v>
      </c>
      <c r="S418" s="25" t="s">
        <v>15</v>
      </c>
      <c r="T418" s="13"/>
    </row>
    <row r="419" s="3" customFormat="true" ht="11.25" hidden="false" customHeight="false" outlineLevel="0" collapsed="false">
      <c r="J419" s="146" t="str">
        <f aca="false">CONCATENATE(A411,", Your forecast")</f>
        <v>Produção de alimentos, sua previsão</v>
      </c>
      <c r="K419" s="84" t="n">
        <f aca="false">K420*K421</f>
        <v>901</v>
      </c>
      <c r="L419" s="84" t="n">
        <f aca="false">L420*L421</f>
        <v>897.974</v>
      </c>
      <c r="M419" s="84" t="n">
        <f aca="false">M420*M421</f>
        <v>946.9544</v>
      </c>
      <c r="N419" s="84" t="n">
        <f aca="false">N420*N421</f>
        <v>995.9348</v>
      </c>
      <c r="O419" s="84" t="n">
        <f aca="false">O420*O421</f>
        <v>1020.425</v>
      </c>
      <c r="P419" s="84" t="n">
        <f aca="false">P420*P421</f>
        <v>1044.9152</v>
      </c>
      <c r="Q419" s="84" t="n">
        <f aca="false">Q420*Q421</f>
        <v>1030.029</v>
      </c>
      <c r="R419" s="84" t="n">
        <f aca="false">R420*R421</f>
        <v>982.4892</v>
      </c>
      <c r="S419" s="76" t="str">
        <f aca="false">S411</f>
        <v> Monte</v>
      </c>
      <c r="T419" s="13"/>
      <c r="AA419" s="52" t="s">
        <v>36</v>
      </c>
    </row>
    <row r="420" s="3" customFormat="true" ht="15" hidden="false" customHeight="false" outlineLevel="0" collapsed="false">
      <c r="H420" s="5"/>
      <c r="I420" s="5"/>
      <c r="J420" s="147" t="str">
        <f aca="false">CONCATENATE(A412,", Your forecast")</f>
        <v> Terra cultivada, sua previsão</v>
      </c>
      <c r="K420" s="68" t="n">
        <f aca="false">K412</f>
        <v>170</v>
      </c>
      <c r="L420" s="68" t="n">
        <f aca="false">L412*0.98</f>
        <v>166.6</v>
      </c>
      <c r="M420" s="68" t="n">
        <f aca="false">M412*0.98</f>
        <v>166.6</v>
      </c>
      <c r="N420" s="68" t="n">
        <f aca="false">N412*0.98</f>
        <v>166.6</v>
      </c>
      <c r="O420" s="68" t="n">
        <f aca="false">O412*0.98</f>
        <v>166.6</v>
      </c>
      <c r="P420" s="68" t="n">
        <f aca="false">P412*0.98</f>
        <v>166.6</v>
      </c>
      <c r="Q420" s="68" t="n">
        <f aca="false">Q412*0.98</f>
        <v>161.7</v>
      </c>
      <c r="R420" s="68" t="n">
        <f aca="false">R412*0.98</f>
        <v>151.9</v>
      </c>
      <c r="S420" s="76" t="str">
        <f aca="false">S412</f>
        <v> Mha</v>
      </c>
      <c r="T420" s="13"/>
      <c r="AA420" s="16"/>
      <c r="AB420" s="24" t="n">
        <v>1970</v>
      </c>
      <c r="AC420" s="24" t="n">
        <v>1975</v>
      </c>
      <c r="AD420" s="24" t="n">
        <v>1980</v>
      </c>
      <c r="AE420" s="24" t="n">
        <v>1985</v>
      </c>
      <c r="AF420" s="24" t="n">
        <v>1990</v>
      </c>
      <c r="AG420" s="24" t="n">
        <v>1995</v>
      </c>
      <c r="AH420" s="24" t="n">
        <v>2000</v>
      </c>
      <c r="AI420" s="24" t="n">
        <v>2005</v>
      </c>
      <c r="AJ420" s="24" t="n">
        <v>2010</v>
      </c>
      <c r="AK420" s="24" t="n">
        <v>2015</v>
      </c>
      <c r="AL420" s="24" t="n">
        <v>2020</v>
      </c>
      <c r="AM420" s="24" t="n">
        <v>2025</v>
      </c>
      <c r="AN420" s="24" t="n">
        <v>2030</v>
      </c>
      <c r="AO420" s="24" t="n">
        <v>2035</v>
      </c>
      <c r="AP420" s="24" t="n">
        <v>2040</v>
      </c>
      <c r="AQ420" s="24" t="n">
        <v>2045</v>
      </c>
      <c r="AR420" s="24" t="n">
        <v>2050</v>
      </c>
    </row>
    <row r="421" s="3" customFormat="true" ht="11.25" hidden="false" customHeight="false" outlineLevel="0" collapsed="false">
      <c r="H421" s="5"/>
      <c r="I421" s="5"/>
      <c r="J421" s="147" t="str">
        <f aca="false">CONCATENATE(A413,", Your forecast")</f>
        <v> Rendimento bruto, sua previsão</v>
      </c>
      <c r="K421" s="39" t="n">
        <f aca="false">K413</f>
        <v>5.3</v>
      </c>
      <c r="L421" s="39" t="n">
        <f aca="false">L413*0.98</f>
        <v>5.39</v>
      </c>
      <c r="M421" s="39" t="n">
        <f aca="false">M413*0.98</f>
        <v>5.684</v>
      </c>
      <c r="N421" s="39" t="n">
        <f aca="false">N413*0.98</f>
        <v>5.978</v>
      </c>
      <c r="O421" s="39" t="n">
        <f aca="false">O413*0.98</f>
        <v>6.125</v>
      </c>
      <c r="P421" s="39" t="n">
        <f aca="false">P413*0.98</f>
        <v>6.272</v>
      </c>
      <c r="Q421" s="39" t="n">
        <f aca="false">Q413*0.98</f>
        <v>6.37</v>
      </c>
      <c r="R421" s="39" t="n">
        <f aca="false">R413*0.98</f>
        <v>6.468</v>
      </c>
      <c r="S421" s="76" t="str">
        <f aca="false">S413</f>
        <v> t / ha</v>
      </c>
      <c r="T421" s="13"/>
      <c r="AA421" s="148" t="str">
        <f aca="false">CONCATENATE("Food production (0 - ",W427," Mt / yr)")</f>
        <v> Produção de alimentos (0 - 1200 Mt/ano)</v>
      </c>
      <c r="AB421" s="57" t="n">
        <f aca="false">B411/$W427</f>
        <v>0.552579003333333</v>
      </c>
      <c r="AC421" s="57" t="n">
        <f aca="false">C411/$W427</f>
        <v>0.588677164166667</v>
      </c>
      <c r="AD421" s="57" t="n">
        <f aca="false">D411/$W427</f>
        <v>0.6212588325</v>
      </c>
      <c r="AE421" s="57" t="n">
        <f aca="false">E411/$W427</f>
        <v>0.701248935</v>
      </c>
      <c r="AF421" s="57" t="n">
        <f aca="false">F411/$W427</f>
        <v>0.700213220833333</v>
      </c>
      <c r="AG421" s="57" t="n">
        <f aca="false">G411/$W427</f>
        <v>0.665350373333333</v>
      </c>
      <c r="AH421" s="57" t="n">
        <f aca="false">H411/$W427</f>
        <v>0.723357610833333</v>
      </c>
      <c r="AI421" s="57" t="n">
        <f aca="false">I411/$W427</f>
        <v>0.715194251666667</v>
      </c>
      <c r="AJ421" s="57" t="n">
        <f aca="false">J411/$W427</f>
        <v>0.721551256666667</v>
      </c>
      <c r="AK421" s="57" t="n">
        <f aca="false">K411/$W427</f>
        <v>0.750833333333333</v>
      </c>
      <c r="AL421" s="57" t="n">
        <f aca="false">L411/$W427</f>
        <v>0.779166666666667</v>
      </c>
      <c r="AM421" s="57" t="n">
        <f aca="false">M411/$W427</f>
        <v>0.821666666666667</v>
      </c>
      <c r="AN421" s="57" t="n">
        <f aca="false">N411/$W427</f>
        <v>0.864166666666667</v>
      </c>
      <c r="AO421" s="57" t="n">
        <f aca="false">O411/$W427</f>
        <v>0.885416666666667</v>
      </c>
      <c r="AP421" s="57" t="n">
        <f aca="false">P411/$W427</f>
        <v>0.906666666666667</v>
      </c>
      <c r="AQ421" s="57" t="n">
        <f aca="false">Q411/$W427</f>
        <v>0.89375</v>
      </c>
      <c r="AR421" s="57" t="n">
        <f aca="false">R411/$W427</f>
        <v>0.8525</v>
      </c>
    </row>
    <row r="422" s="3" customFormat="true" ht="11.25" hidden="false" customHeight="false" outlineLevel="0" collapsed="false">
      <c r="G422" s="8"/>
      <c r="H422" s="8"/>
      <c r="I422" s="8"/>
      <c r="J422" s="146" t="str">
        <f aca="false">CONCATENATE(A414,", Your forecast")</f>
        <v> Alimentação por pessoa, sua previsão</v>
      </c>
      <c r="K422" s="149" t="n">
        <f aca="false">K419/K17</f>
        <v>1.2146900368299</v>
      </c>
      <c r="L422" s="149" t="n">
        <f aca="false">L419/L17</f>
        <v>1.21219289349321</v>
      </c>
      <c r="M422" s="149" t="n">
        <f aca="false">M419/M17</f>
        <v>1.28856961067266</v>
      </c>
      <c r="N422" s="149" t="n">
        <f aca="false">N419/N17</f>
        <v>1.37223884846646</v>
      </c>
      <c r="O422" s="149" t="n">
        <f aca="false">O419/O17</f>
        <v>1.42774556838067</v>
      </c>
      <c r="P422" s="149" t="n">
        <f aca="false">P419/P17</f>
        <v>1.49004264522599</v>
      </c>
      <c r="Q422" s="149" t="n">
        <f aca="false">Q419/Q17</f>
        <v>1.50387475115193</v>
      </c>
      <c r="R422" s="149" t="n">
        <f aca="false">R419/R17</f>
        <v>1.476580218108</v>
      </c>
      <c r="S422" s="76" t="str">
        <f aca="false">S414</f>
        <v> t / pessoa-ano</v>
      </c>
      <c r="T422" s="13"/>
      <c r="AA422" s="148" t="str">
        <f aca="false">CONCATENATE("Cultivated land (0 - ",W428," Mha)")</f>
        <v> Terra cultivada (0 - 200 milhões de hectares)</v>
      </c>
      <c r="AB422" s="57" t="n">
        <f aca="false">B412/$W428</f>
        <v>0.845713635</v>
      </c>
      <c r="AC422" s="57" t="n">
        <f aca="false">C412/$W428</f>
        <v>0.86708427</v>
      </c>
      <c r="AD422" s="57" t="n">
        <f aca="false">D412/$W428</f>
        <v>0.88034783</v>
      </c>
      <c r="AE422" s="57" t="n">
        <f aca="false">E412/$W428</f>
        <v>0.91637681</v>
      </c>
      <c r="AF422" s="57" t="n">
        <f aca="false">F412/$W428</f>
        <v>0.86376814</v>
      </c>
      <c r="AG422" s="57" t="n">
        <f aca="false">G412/$W428</f>
        <v>0.84201333</v>
      </c>
      <c r="AH422" s="57" t="n">
        <f aca="false">H412/$W428</f>
        <v>0.867624055</v>
      </c>
      <c r="AI422" s="57" t="n">
        <f aca="false">I412/$W428</f>
        <v>0.84205336</v>
      </c>
      <c r="AJ422" s="57" t="n">
        <f aca="false">J412/$W428</f>
        <v>0.839671145</v>
      </c>
      <c r="AK422" s="57" t="n">
        <f aca="false">K412/$W428</f>
        <v>0.85</v>
      </c>
      <c r="AL422" s="57" t="n">
        <f aca="false">L412/$W428</f>
        <v>0.85</v>
      </c>
      <c r="AM422" s="57" t="n">
        <f aca="false">M412/$W428</f>
        <v>0.85</v>
      </c>
      <c r="AN422" s="57" t="n">
        <f aca="false">N412/$W428</f>
        <v>0.85</v>
      </c>
      <c r="AO422" s="57" t="n">
        <f aca="false">O412/$W428</f>
        <v>0.85</v>
      </c>
      <c r="AP422" s="57" t="n">
        <f aca="false">P412/$W428</f>
        <v>0.85</v>
      </c>
      <c r="AQ422" s="57" t="n">
        <f aca="false">Q412/$W428</f>
        <v>0.825</v>
      </c>
      <c r="AR422" s="57" t="n">
        <f aca="false">R412/$W428</f>
        <v>0.775</v>
      </c>
    </row>
    <row r="423" s="3" customFormat="true" ht="11.25" hidden="false" customHeight="false" outlineLevel="0" collapsed="false">
      <c r="G423" s="8"/>
      <c r="H423" s="8"/>
      <c r="I423" s="8"/>
      <c r="J423" s="146" t="str">
        <f aca="false">CONCATENATE(A415,", Your forecast")</f>
        <v> Crescimento na produção de alimentos, sua previsão</v>
      </c>
      <c r="K423" s="91" t="n">
        <f aca="false">(K419-J411)/J411*100/5</f>
        <v>0.811642316359906</v>
      </c>
      <c r="L423" s="91" t="n">
        <f aca="false">(L419-K419)/K419*100/5</f>
        <v>-0.0671698113207562</v>
      </c>
      <c r="M423" s="91" t="n">
        <f aca="false">(M419-L419)/L419*100/5</f>
        <v>1.09090909090909</v>
      </c>
      <c r="N423" s="91" t="n">
        <f aca="false">(N419-M419)/M419*100/5</f>
        <v>1.03448275862069</v>
      </c>
      <c r="O423" s="91" t="n">
        <f aca="false">(O419-N419)/N419*100/5</f>
        <v>0.491803278688526</v>
      </c>
      <c r="P423" s="91" t="n">
        <f aca="false">(P419-O419)/O419*100/5</f>
        <v>0.479999999999999</v>
      </c>
      <c r="Q423" s="91" t="n">
        <f aca="false">(Q419-P419)/P419*100/5</f>
        <v>-0.284926470588234</v>
      </c>
      <c r="R423" s="91" t="n">
        <f aca="false">(R419-Q419)/Q419*100/5</f>
        <v>-0.923076923076923</v>
      </c>
      <c r="S423" s="76" t="str">
        <f aca="false">S415</f>
        <v> % por ano</v>
      </c>
      <c r="T423" s="13"/>
      <c r="AA423" s="148" t="str">
        <f aca="false">CONCATENATE("Gross yield (0 - ",W429," t / ha-yr)")</f>
        <v> Rendimento bruto (0 - 10 t / ha-ano)</v>
      </c>
      <c r="AB423" s="57" t="n">
        <f aca="false">B413/$W429</f>
        <v>0.392032702653541</v>
      </c>
      <c r="AC423" s="57" t="n">
        <f aca="false">C413/$W429</f>
        <v>0.407349447707084</v>
      </c>
      <c r="AD423" s="57" t="n">
        <f aca="false">D413/$W429</f>
        <v>0.423418206755846</v>
      </c>
      <c r="AE423" s="57" t="n">
        <f aca="false">E413/$W429</f>
        <v>0.459144487735346</v>
      </c>
      <c r="AF423" s="57" t="n">
        <f aca="false">F413/$W429</f>
        <v>0.486389706964649</v>
      </c>
      <c r="AG423" s="57" t="n">
        <f aca="false">G413/$W429</f>
        <v>0.474113900310818</v>
      </c>
      <c r="AH423" s="57" t="n">
        <f aca="false">H413/$W429</f>
        <v>0.500233440968854</v>
      </c>
      <c r="AI423" s="57" t="n">
        <f aca="false">I413/$W429</f>
        <v>0.509607313959296</v>
      </c>
      <c r="AJ423" s="57" t="n">
        <f aca="false">J413/$W429</f>
        <v>0.51559560737317</v>
      </c>
      <c r="AK423" s="57" t="n">
        <f aca="false">K413/$W429</f>
        <v>0.53</v>
      </c>
      <c r="AL423" s="57" t="n">
        <f aca="false">L413/$W429</f>
        <v>0.55</v>
      </c>
      <c r="AM423" s="57" t="n">
        <f aca="false">M413/$W429</f>
        <v>0.58</v>
      </c>
      <c r="AN423" s="57" t="n">
        <f aca="false">N413/$W429</f>
        <v>0.61</v>
      </c>
      <c r="AO423" s="57" t="n">
        <f aca="false">O413/$W429</f>
        <v>0.625</v>
      </c>
      <c r="AP423" s="57" t="n">
        <f aca="false">P413/$W429</f>
        <v>0.64</v>
      </c>
      <c r="AQ423" s="57" t="n">
        <f aca="false">Q413/$W429</f>
        <v>0.65</v>
      </c>
      <c r="AR423" s="57" t="n">
        <f aca="false">R413/$W429</f>
        <v>0.66</v>
      </c>
    </row>
    <row r="424" s="3" customFormat="true" ht="11.25" hidden="false" customHeight="false" outlineLevel="0" collapsed="false">
      <c r="G424" s="8"/>
      <c r="H424" s="8"/>
      <c r="I424" s="8"/>
      <c r="J424" s="146" t="str">
        <f aca="false">CONCATENATE(A416,", Your forecast")</f>
        <v> Crescimento das terras cultivadas, sua previsão</v>
      </c>
      <c r="K424" s="91" t="n">
        <f aca="false">(K420-J412)/J412*100/5</f>
        <v>0.246021434975</v>
      </c>
      <c r="L424" s="91" t="n">
        <f aca="false">(L420-K420)/K420*100/5</f>
        <v>-0.400000000000001</v>
      </c>
      <c r="M424" s="91" t="n">
        <f aca="false">(M420-L420)/L420*100/5</f>
        <v>0</v>
      </c>
      <c r="N424" s="91" t="n">
        <f aca="false">(N420-M420)/M420*100/5</f>
        <v>0</v>
      </c>
      <c r="O424" s="91" t="n">
        <f aca="false">(O420-N420)/N420*100/5</f>
        <v>0</v>
      </c>
      <c r="P424" s="91" t="n">
        <f aca="false">(P420-O420)/O420*100/5</f>
        <v>0</v>
      </c>
      <c r="Q424" s="91" t="n">
        <f aca="false">(Q420-P420)/P420*100/5</f>
        <v>-0.588235294117648</v>
      </c>
      <c r="R424" s="91" t="n">
        <f aca="false">(R420-Q420)/Q420*100/5</f>
        <v>-1.21212121212121</v>
      </c>
      <c r="S424" s="76" t="str">
        <f aca="false">S416</f>
        <v> % por ano</v>
      </c>
      <c r="T424" s="13"/>
      <c r="X424" s="15" t="s">
        <v>33</v>
      </c>
      <c r="AA424" s="148" t="str">
        <f aca="false">CONCATENATE("Food per person (0 - ",W430," t / person - yr)")</f>
        <v> Alimento por pessoa (0 - 2 t / pessoa - ano)</v>
      </c>
      <c r="AB424" s="57" t="n">
        <f aca="false">B414/$W430</f>
        <v>0.556872277912695</v>
      </c>
      <c r="AC424" s="57" t="n">
        <f aca="false">C414/$W430</f>
        <v>0.568297589234996</v>
      </c>
      <c r="AD424" s="57" t="n">
        <f aca="false">D414/$W430</f>
        <v>0.581350085129497</v>
      </c>
      <c r="AE424" s="57" t="n">
        <f aca="false">E414/$W430</f>
        <v>0.63962354627276</v>
      </c>
      <c r="AF424" s="57" t="n">
        <f aca="false">F414/$W430</f>
        <v>0.623592203578664</v>
      </c>
      <c r="AG424" s="57" t="n">
        <f aca="false">G414/$W430</f>
        <v>0.577697666824116</v>
      </c>
      <c r="AH424" s="57" t="n">
        <f aca="false">H414/$W430</f>
        <v>0.617538618103436</v>
      </c>
      <c r="AI424" s="57" t="n">
        <f aca="false">I414/$W430</f>
        <v>0.59638522495152</v>
      </c>
      <c r="AJ424" s="57" t="n">
        <f aca="false">J414/$W430</f>
        <v>0.587313739808015</v>
      </c>
      <c r="AK424" s="57" t="n">
        <f aca="false">K414/$W430</f>
        <v>0.607345018414949</v>
      </c>
      <c r="AL424" s="57" t="n">
        <f aca="false">L414/$W430</f>
        <v>0.63110434718366</v>
      </c>
      <c r="AM424" s="57" t="n">
        <f aca="false">M414/$W430</f>
        <v>0.670978255509214</v>
      </c>
      <c r="AN424" s="57" t="n">
        <f aca="false">N414/$W430</f>
        <v>0.714729307560273</v>
      </c>
      <c r="AO424" s="57" t="n">
        <f aca="false">O414/$W430</f>
        <v>0.743874918095192</v>
      </c>
      <c r="AP424" s="57" t="n">
        <f aca="false">P414/$W430</f>
        <v>0.776636432120659</v>
      </c>
      <c r="AQ424" s="57" t="n">
        <f aca="false">Q414/$W430</f>
        <v>0.784227990482127</v>
      </c>
      <c r="AR424" s="57" t="n">
        <f aca="false">R414/$W430</f>
        <v>0.770456302126182</v>
      </c>
    </row>
    <row r="425" customFormat="false" ht="11.25" hidden="false" customHeight="false" outlineLevel="0" collapsed="false">
      <c r="T425" s="13"/>
      <c r="V425" s="3" t="s">
        <v>35</v>
      </c>
      <c r="AA425" s="148" t="s">
        <v>142</v>
      </c>
      <c r="AB425" s="57" t="n">
        <f aca="false">B415/$W429</f>
        <v>0</v>
      </c>
      <c r="AC425" s="57" t="n">
        <f aca="false">C415/$W429</f>
        <v>0.130653392964907</v>
      </c>
      <c r="AD425" s="57" t="n">
        <f aca="false">D415/$W429</f>
        <v>0.110694520924575</v>
      </c>
      <c r="AE425" s="57" t="n">
        <f aca="false">E415/$W429</f>
        <v>0.257509747356389</v>
      </c>
      <c r="AF425" s="57" t="n">
        <f aca="false">F415/$W429</f>
        <v>-0.00295391298288881</v>
      </c>
      <c r="AG425" s="57" t="n">
        <f aca="false">G415/$W429</f>
        <v>-0.0995778041965825</v>
      </c>
      <c r="AH425" s="57" t="n">
        <f aca="false">H415/$W429</f>
        <v>0.174365987680716</v>
      </c>
      <c r="AI425" s="57" t="n">
        <f aca="false">I415/$W429</f>
        <v>-0.0225707424499541</v>
      </c>
      <c r="AJ425" s="57" t="n">
        <f aca="false">J415/$W429</f>
        <v>0.01777700250019</v>
      </c>
      <c r="AK425" s="57" t="n">
        <f aca="false">K415/$W429</f>
        <v>0.0811642316359906</v>
      </c>
      <c r="AL425" s="57" t="n">
        <f aca="false">L415/$W429</f>
        <v>0.0754716981132076</v>
      </c>
      <c r="AM425" s="57" t="n">
        <f aca="false">M415/$W429</f>
        <v>0.109090909090909</v>
      </c>
      <c r="AN425" s="57" t="n">
        <f aca="false">N415/$W429</f>
        <v>0.103448275862069</v>
      </c>
      <c r="AO425" s="57" t="n">
        <f aca="false">O415/$W429</f>
        <v>0.0491803278688525</v>
      </c>
      <c r="AP425" s="57" t="n">
        <f aca="false">P415/$W429</f>
        <v>0.048</v>
      </c>
      <c r="AQ425" s="57" t="n">
        <f aca="false">Q415/$W429</f>
        <v>-0.0284926470588235</v>
      </c>
      <c r="AR425" s="57" t="n">
        <f aca="false">R415/$W429</f>
        <v>-0.0923076923076923</v>
      </c>
    </row>
    <row r="426" customFormat="false" ht="28.3" hidden="false" customHeight="false" outlineLevel="0" collapsed="false">
      <c r="T426" s="13"/>
      <c r="U426" s="55" t="s">
        <v>37</v>
      </c>
      <c r="V426" s="54" t="s">
        <v>38</v>
      </c>
      <c r="W426" s="54" t="s">
        <v>39</v>
      </c>
      <c r="X426" s="55"/>
      <c r="Y426" s="55"/>
      <c r="AA426" s="148" t="s">
        <v>143</v>
      </c>
      <c r="AB426" s="57" t="n">
        <f aca="false">B416/$W430</f>
        <v>0</v>
      </c>
      <c r="AC426" s="57" t="n">
        <f aca="false">C416/$W430</f>
        <v>0.252693513685634</v>
      </c>
      <c r="AD426" s="57" t="n">
        <f aca="false">D416/$W430</f>
        <v>0.152967369596038</v>
      </c>
      <c r="AE426" s="57" t="n">
        <f aca="false">E416/$W430</f>
        <v>0.409258463214477</v>
      </c>
      <c r="AF426" s="57" t="n">
        <f aca="false">F416/$W430</f>
        <v>-0.574094296428126</v>
      </c>
      <c r="AG426" s="57" t="n">
        <f aca="false">G416/$W430</f>
        <v>-0.251859370501902</v>
      </c>
      <c r="AH426" s="57" t="n">
        <f aca="false">H416/$W430</f>
        <v>0.304160564773956</v>
      </c>
      <c r="AI426" s="57" t="n">
        <f aca="false">I416/$W430</f>
        <v>-0.294720908815743</v>
      </c>
      <c r="AJ426" s="57" t="n">
        <f aca="false">J416/$W430</f>
        <v>-0.0282905468128539</v>
      </c>
      <c r="AK426" s="57" t="n">
        <f aca="false">K416/$W430</f>
        <v>0.1230107174875</v>
      </c>
      <c r="AL426" s="57" t="n">
        <f aca="false">L416/$W430</f>
        <v>0</v>
      </c>
      <c r="AM426" s="57" t="n">
        <f aca="false">M416/$W430</f>
        <v>0</v>
      </c>
      <c r="AN426" s="57" t="n">
        <f aca="false">N416/$W430</f>
        <v>0</v>
      </c>
      <c r="AO426" s="57" t="n">
        <f aca="false">O416/$W430</f>
        <v>0</v>
      </c>
      <c r="AP426" s="57" t="n">
        <f aca="false">P416/$W430</f>
        <v>0</v>
      </c>
      <c r="AQ426" s="57" t="n">
        <f aca="false">Q416/$W430</f>
        <v>-0.294117647058824</v>
      </c>
      <c r="AR426" s="57" t="n">
        <f aca="false">R416/$W430</f>
        <v>-0.606060606060606</v>
      </c>
    </row>
    <row r="427" customFormat="false" ht="12" hidden="false" customHeight="false" outlineLevel="0" collapsed="false">
      <c r="T427" s="13"/>
      <c r="U427" s="15" t="str">
        <f aca="false">AA421</f>
        <v> Produção de alimentos (0 - 1200 Mt/ano)</v>
      </c>
      <c r="V427" s="25" t="n">
        <v>1200</v>
      </c>
      <c r="W427" s="70" t="n">
        <f aca="false">W431</f>
        <v>1200</v>
      </c>
      <c r="AA427" s="150"/>
      <c r="AB427" s="24" t="n">
        <v>1970</v>
      </c>
      <c r="AC427" s="24" t="n">
        <v>1975</v>
      </c>
      <c r="AD427" s="24" t="n">
        <v>1980</v>
      </c>
      <c r="AE427" s="24" t="n">
        <v>1985</v>
      </c>
      <c r="AF427" s="24" t="n">
        <v>1990</v>
      </c>
      <c r="AG427" s="24" t="n">
        <v>1995</v>
      </c>
      <c r="AH427" s="24" t="n">
        <v>2000</v>
      </c>
      <c r="AI427" s="24" t="n">
        <v>2005</v>
      </c>
      <c r="AJ427" s="24" t="n">
        <v>2010</v>
      </c>
      <c r="AK427" s="24" t="n">
        <v>2015</v>
      </c>
      <c r="AL427" s="24" t="n">
        <v>2020</v>
      </c>
      <c r="AM427" s="24" t="n">
        <v>2025</v>
      </c>
      <c r="AN427" s="24" t="n">
        <v>2030</v>
      </c>
      <c r="AO427" s="24" t="n">
        <v>2035</v>
      </c>
      <c r="AP427" s="24" t="n">
        <v>2040</v>
      </c>
      <c r="AQ427" s="24" t="n">
        <v>2045</v>
      </c>
      <c r="AR427" s="24" t="n">
        <v>2050</v>
      </c>
    </row>
    <row r="428" customFormat="false" ht="11.25" hidden="false" customHeight="false" outlineLevel="0" collapsed="false">
      <c r="T428" s="13"/>
      <c r="U428" s="15" t="str">
        <f aca="false">AA422</f>
        <v> Terra cultivada (0 - 200 milhões de hectares)</v>
      </c>
      <c r="V428" s="25" t="n">
        <v>200</v>
      </c>
      <c r="W428" s="70" t="n">
        <f aca="false">W432</f>
        <v>200</v>
      </c>
      <c r="AA428" s="148" t="str">
        <f aca="false">CONCATENATE("Food production (0 - ",W431," Mt / yr), Your forecast")</f>
        <v> Produção de alimentos (0 - 1200 Mt/ano), Sua previsão</v>
      </c>
      <c r="AB428" s="29"/>
      <c r="AC428" s="29"/>
      <c r="AD428" s="29"/>
      <c r="AE428" s="29"/>
      <c r="AF428" s="29"/>
      <c r="AG428" s="29"/>
      <c r="AH428" s="29"/>
      <c r="AI428" s="29"/>
      <c r="AJ428" s="29"/>
      <c r="AK428" s="57" t="n">
        <f aca="false">K419/$W431</f>
        <v>0.750833333333333</v>
      </c>
      <c r="AL428" s="57" t="n">
        <f aca="false">L419/$W431</f>
        <v>0.748311666666667</v>
      </c>
      <c r="AM428" s="57" t="n">
        <f aca="false">M419/$W431</f>
        <v>0.789128666666667</v>
      </c>
      <c r="AN428" s="57" t="n">
        <f aca="false">N419/$W431</f>
        <v>0.829945666666667</v>
      </c>
      <c r="AO428" s="57" t="n">
        <f aca="false">O419/$W431</f>
        <v>0.850354166666667</v>
      </c>
      <c r="AP428" s="57" t="n">
        <f aca="false">P419/$W431</f>
        <v>0.870762666666667</v>
      </c>
      <c r="AQ428" s="57" t="n">
        <f aca="false">Q419/$W431</f>
        <v>0.8583575</v>
      </c>
      <c r="AR428" s="57" t="n">
        <f aca="false">R419/$W431</f>
        <v>0.818741</v>
      </c>
    </row>
    <row r="429" s="3" customFormat="true" ht="11.25" hidden="false" customHeight="false" outlineLevel="0" collapsed="false">
      <c r="T429" s="13"/>
      <c r="U429" s="15" t="str">
        <f aca="false">AA423</f>
        <v> Rendimento bruto (0 - 10 t / ha-ano)</v>
      </c>
      <c r="V429" s="25" t="n">
        <v>10</v>
      </c>
      <c r="W429" s="70" t="n">
        <f aca="false">W433</f>
        <v>10</v>
      </c>
      <c r="AA429" s="148" t="str">
        <f aca="false">CONCATENATE("Cultivated land (0 - ",W432," Mha), Your forecast")</f>
        <v> Terra cultivada (0 - 200 milhões de hectares), sua previsão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57" t="n">
        <f aca="false">K420/$W432</f>
        <v>0.85</v>
      </c>
      <c r="AL429" s="57" t="n">
        <f aca="false">L420/$W432</f>
        <v>0.833</v>
      </c>
      <c r="AM429" s="57" t="n">
        <f aca="false">M420/$W432</f>
        <v>0.833</v>
      </c>
      <c r="AN429" s="57" t="n">
        <f aca="false">N420/$W432</f>
        <v>0.833</v>
      </c>
      <c r="AO429" s="57" t="n">
        <f aca="false">O420/$W432</f>
        <v>0.833</v>
      </c>
      <c r="AP429" s="57" t="n">
        <f aca="false">P420/$W432</f>
        <v>0.833</v>
      </c>
      <c r="AQ429" s="57" t="n">
        <f aca="false">Q420/$W432</f>
        <v>0.8085</v>
      </c>
      <c r="AR429" s="57" t="n">
        <f aca="false">R420/$W432</f>
        <v>0.7595</v>
      </c>
    </row>
    <row r="430" s="3" customFormat="true" ht="11.25" hidden="false" customHeight="false" outlineLevel="0" collapsed="false">
      <c r="T430" s="13"/>
      <c r="U430" s="15" t="str">
        <f aca="false">AA424</f>
        <v> Alimento por pessoa (0 - 2 t / pessoa - ano)</v>
      </c>
      <c r="V430" s="25" t="n">
        <v>2</v>
      </c>
      <c r="W430" s="70" t="n">
        <f aca="false">W434</f>
        <v>2</v>
      </c>
      <c r="AA430" s="148" t="str">
        <f aca="false">CONCATENATE("Gross yield (0 - ",W433," t / ha-yr), Your forecast")</f>
        <v> Produtividade bruta (0 - 10 t/ha-ano), Sua previsão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57" t="n">
        <f aca="false">K421/$W433</f>
        <v>0.53</v>
      </c>
      <c r="AL430" s="57" t="n">
        <f aca="false">L421/$W433</f>
        <v>0.539</v>
      </c>
      <c r="AM430" s="57" t="n">
        <f aca="false">M421/$W433</f>
        <v>0.5684</v>
      </c>
      <c r="AN430" s="57" t="n">
        <f aca="false">N421/$W433</f>
        <v>0.5978</v>
      </c>
      <c r="AO430" s="57" t="n">
        <f aca="false">O421/$W433</f>
        <v>0.6125</v>
      </c>
      <c r="AP430" s="57" t="n">
        <f aca="false">P421/$W433</f>
        <v>0.6272</v>
      </c>
      <c r="AQ430" s="57" t="n">
        <f aca="false">Q421/$W433</f>
        <v>0.637</v>
      </c>
      <c r="AR430" s="57" t="n">
        <f aca="false">R421/$W433</f>
        <v>0.6468</v>
      </c>
    </row>
    <row r="431" s="3" customFormat="true" ht="11.25" hidden="false" customHeight="false" outlineLevel="0" collapsed="false">
      <c r="S431" s="131"/>
      <c r="T431" s="13"/>
      <c r="U431" s="37" t="str">
        <f aca="false">AA428</f>
        <v> Produção de alimentos (0 - 1200 Mt/ano), Sua previsão</v>
      </c>
      <c r="W431" s="4" t="n">
        <v>1200</v>
      </c>
      <c r="AA431" s="148" t="str">
        <f aca="false">CONCATENATE("Food per person (0 - ",W434," t / person - yr), Your forecast")</f>
        <v> Alimentação por pessoa (0 - 2 t/pessoa-ano), Sua previsão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57" t="n">
        <f aca="false">K422/$W434</f>
        <v>0.607345018414949</v>
      </c>
      <c r="AL431" s="57" t="n">
        <f aca="false">L422/$W434</f>
        <v>0.606096446746604</v>
      </c>
      <c r="AM431" s="57" t="n">
        <f aca="false">M422/$W434</f>
        <v>0.64428480533633</v>
      </c>
      <c r="AN431" s="57" t="n">
        <f aca="false">N422/$W434</f>
        <v>0.686119424233229</v>
      </c>
      <c r="AO431" s="57" t="n">
        <f aca="false">O422/$W434</f>
        <v>0.713872784190333</v>
      </c>
      <c r="AP431" s="57" t="n">
        <f aca="false">P422/$W434</f>
        <v>0.745021322612993</v>
      </c>
      <c r="AQ431" s="57" t="n">
        <f aca="false">Q422/$W434</f>
        <v>0.751937375575963</v>
      </c>
      <c r="AR431" s="57" t="n">
        <f aca="false">R422/$W434</f>
        <v>0.738290109054</v>
      </c>
    </row>
    <row r="432" s="3" customFormat="true" ht="11.25" hidden="false" customHeight="false" outlineLevel="0" collapsed="false">
      <c r="T432" s="13"/>
      <c r="U432" s="37" t="str">
        <f aca="false">AA429</f>
        <v> Terra cultivada (0 - 200 milhões de hectares), sua previsão</v>
      </c>
      <c r="W432" s="4" t="n">
        <v>200</v>
      </c>
    </row>
    <row r="433" s="3" customFormat="true" ht="11.25" hidden="false" customHeight="false" outlineLevel="0" collapsed="false">
      <c r="T433" s="13"/>
      <c r="U433" s="37" t="str">
        <f aca="false">AA430</f>
        <v> Produtividade bruta (0 - 10 t/ha-ano), Sua previsão</v>
      </c>
      <c r="W433" s="4" t="n">
        <v>10</v>
      </c>
    </row>
    <row r="434" s="3" customFormat="true" ht="11.25" hidden="false" customHeight="false" outlineLevel="0" collapsed="false">
      <c r="T434" s="13"/>
      <c r="U434" s="37" t="str">
        <f aca="false">AA431</f>
        <v>Alimentação por pessoa (0 - 2 t/pessoa-ano), Sua previsão</v>
      </c>
      <c r="W434" s="4" t="n">
        <v>2</v>
      </c>
    </row>
    <row r="435" s="3" customFormat="true" ht="11.25" hidden="false" customHeight="false" outlineLevel="0" collapsed="false">
      <c r="T435" s="13"/>
    </row>
    <row r="436" s="3" customFormat="true" ht="11.25" hidden="false" customHeight="false" outlineLevel="0" collapsed="false">
      <c r="T436" s="13"/>
    </row>
    <row r="437" s="3" customFormat="true" ht="11.25" hidden="false" customHeight="false" outlineLevel="0" collapsed="false">
      <c r="T437" s="13"/>
    </row>
    <row r="438" s="3" customFormat="true" ht="11.25" hidden="false" customHeight="false" outlineLevel="0" collapsed="false">
      <c r="S438" s="131"/>
      <c r="T438" s="13"/>
    </row>
    <row r="439" s="3" customFormat="true" ht="11.25" hidden="false" customHeight="false" outlineLevel="0" collapsed="false">
      <c r="T439" s="13"/>
    </row>
    <row r="440" s="3" customFormat="true" ht="11.25" hidden="false" customHeight="false" outlineLevel="0" collapsed="false">
      <c r="T440" s="13"/>
    </row>
    <row r="441" customFormat="false" ht="11.25" hidden="false" customHeight="false" outlineLevel="0" collapsed="false">
      <c r="T441" s="13"/>
    </row>
    <row r="442" customFormat="false" ht="11.25" hidden="false" customHeight="false" outlineLevel="0" collapsed="false">
      <c r="T442" s="13"/>
    </row>
    <row r="443" customFormat="false" ht="11.25" hidden="false" customHeight="false" outlineLevel="0" collapsed="false">
      <c r="T443" s="13"/>
    </row>
    <row r="444" customFormat="false" ht="11.25" hidden="false" customHeight="false" outlineLevel="0" collapsed="false">
      <c r="T444" s="13"/>
    </row>
    <row r="445" customFormat="false" ht="11.25" hidden="false" customHeight="false" outlineLevel="0" collapsed="false">
      <c r="T445" s="13"/>
    </row>
    <row r="446" customFormat="false" ht="11.25" hidden="false" customHeight="false" outlineLevel="0" collapsed="false">
      <c r="T446" s="13"/>
    </row>
    <row r="447" s="35" customFormat="true" ht="13.8" hidden="false" customHeight="false" outlineLevel="0" collapsed="false">
      <c r="A447" s="73"/>
      <c r="T447" s="13"/>
    </row>
    <row r="448" s="35" customFormat="true" ht="13.8" hidden="false" customHeight="false" outlineLevel="0" collapsed="false">
      <c r="A448" s="73"/>
      <c r="T448" s="13"/>
    </row>
    <row r="449" customFormat="false" ht="11.25" hidden="false" customHeight="false" outlineLevel="0" collapsed="false">
      <c r="T449" s="13"/>
    </row>
    <row r="450" customFormat="false" ht="11.25" hidden="false" customHeight="false" outlineLevel="0" collapsed="false">
      <c r="T450" s="13"/>
    </row>
    <row r="451" customFormat="false" ht="11.25" hidden="false" customHeight="false" outlineLevel="0" collapsed="false">
      <c r="T451" s="13"/>
    </row>
    <row r="452" customFormat="false" ht="11.25" hidden="false" customHeight="false" outlineLevel="0" collapsed="false">
      <c r="T452" s="13"/>
    </row>
    <row r="453" customFormat="false" ht="12.65" hidden="false" customHeight="false" outlineLevel="0" collapsed="false">
      <c r="A453" s="61" t="s">
        <v>144</v>
      </c>
      <c r="T453" s="13"/>
    </row>
    <row r="454" customFormat="false" ht="12.65" hidden="false" customHeight="false" outlineLevel="0" collapsed="false">
      <c r="A454" s="23" t="str">
        <f aca="false">CONCATENATE(A453,". Non-energy Ecological Footprint - ",A5," 1970 to 2050")</f>
        <v> Gráfico 12. Pegada Ecológica Não Energética - OCDE (excluindo os EUA) de 1970 a 2050</v>
      </c>
      <c r="T454" s="13"/>
    </row>
    <row r="455" customFormat="false" ht="11.25" hidden="false" customHeight="false" outlineLevel="0" collapsed="false">
      <c r="B455" s="24" t="n">
        <v>1970</v>
      </c>
      <c r="C455" s="24" t="n">
        <v>1975</v>
      </c>
      <c r="D455" s="24" t="n">
        <v>1980</v>
      </c>
      <c r="E455" s="24" t="n">
        <v>1985</v>
      </c>
      <c r="F455" s="24" t="n">
        <v>1990</v>
      </c>
      <c r="G455" s="24" t="n">
        <v>1995</v>
      </c>
      <c r="H455" s="24" t="n">
        <v>2000</v>
      </c>
      <c r="I455" s="24" t="n">
        <v>2005</v>
      </c>
      <c r="J455" s="24" t="n">
        <v>2010</v>
      </c>
      <c r="K455" s="24" t="n">
        <v>2015</v>
      </c>
      <c r="L455" s="24" t="n">
        <v>2020</v>
      </c>
      <c r="M455" s="24" t="n">
        <v>2025</v>
      </c>
      <c r="N455" s="24" t="n">
        <v>2030</v>
      </c>
      <c r="O455" s="24" t="n">
        <v>2035</v>
      </c>
      <c r="P455" s="24" t="n">
        <v>2040</v>
      </c>
      <c r="Q455" s="24" t="n">
        <v>2045</v>
      </c>
      <c r="R455" s="24" t="n">
        <v>2050</v>
      </c>
      <c r="S455" s="25" t="s">
        <v>15</v>
      </c>
      <c r="T455" s="13"/>
    </row>
    <row r="456" customFormat="false" ht="11.25" hidden="false" customHeight="false" outlineLevel="0" collapsed="false">
      <c r="A456" s="11" t="s">
        <v>176</v>
      </c>
      <c r="B456" s="62" t="n">
        <v>2139.70370176695</v>
      </c>
      <c r="C456" s="62" t="n">
        <v>2199.50940062157</v>
      </c>
      <c r="D456" s="62" t="n">
        <v>2184.43839554136</v>
      </c>
      <c r="E456" s="62" t="n">
        <v>2165.79051328288</v>
      </c>
      <c r="F456" s="62" t="n">
        <v>2142.41301310101</v>
      </c>
      <c r="G456" s="62" t="n">
        <v>2181.78290762661</v>
      </c>
      <c r="H456" s="62" t="n">
        <v>2181.64816793197</v>
      </c>
      <c r="I456" s="62" t="n">
        <v>2108.81827970931</v>
      </c>
      <c r="J456" s="62" t="n">
        <v>2055.7110546787</v>
      </c>
      <c r="K456" s="64" t="n">
        <v>2010</v>
      </c>
      <c r="L456" s="64" t="n">
        <v>1990</v>
      </c>
      <c r="M456" s="64" t="n">
        <v>1970</v>
      </c>
      <c r="N456" s="64" t="n">
        <v>1950</v>
      </c>
      <c r="O456" s="64" t="n">
        <v>1930</v>
      </c>
      <c r="P456" s="64" t="n">
        <v>1910</v>
      </c>
      <c r="Q456" s="64" t="n">
        <v>1870</v>
      </c>
      <c r="R456" s="64" t="n">
        <v>1750</v>
      </c>
      <c r="S456" s="28" t="s">
        <v>147</v>
      </c>
      <c r="T456" s="13"/>
      <c r="U456" s="103" t="s">
        <v>145</v>
      </c>
    </row>
    <row r="457" customFormat="false" ht="11.25" hidden="false" customHeight="false" outlineLevel="0" collapsed="false">
      <c r="A457" s="11" t="s">
        <v>148</v>
      </c>
      <c r="B457" s="47"/>
      <c r="C457" s="75" t="n">
        <f aca="false">(C456-B456)/B456*100/5</f>
        <v>0.559009163794342</v>
      </c>
      <c r="D457" s="75" t="n">
        <f aca="false">(D456-C456)/C456*100/5</f>
        <v>-0.137039696906514</v>
      </c>
      <c r="E457" s="75" t="n">
        <f aca="false">(E456-D456)/D456*100/5</f>
        <v>-0.170733881042712</v>
      </c>
      <c r="F457" s="75" t="n">
        <f aca="false">(F456-E456)/E456*100/5</f>
        <v>-0.215879606439259</v>
      </c>
      <c r="G457" s="75" t="n">
        <f aca="false">(G456-F456)/F456*100/5</f>
        <v>0.367528523070408</v>
      </c>
      <c r="H457" s="75" t="n">
        <f aca="false">(H456-G456)/G456*100/5</f>
        <v>-0.00123513383635374</v>
      </c>
      <c r="I457" s="75" t="n">
        <f aca="false">(I456-H456)/H456*100/5</f>
        <v>-0.66765933474681</v>
      </c>
      <c r="J457" s="75" t="n">
        <f aca="false">(J456-I456)/I456*100/5</f>
        <v>-0.503668102098711</v>
      </c>
      <c r="K457" s="75" t="n">
        <f aca="false">(K456-J456)/J456*100/5</f>
        <v>-0.444722565213283</v>
      </c>
      <c r="L457" s="75" t="n">
        <f aca="false">(L456-K456)/K456*100/5</f>
        <v>-0.199004975124378</v>
      </c>
      <c r="M457" s="75" t="n">
        <f aca="false">(M456-L456)/L456*100/5</f>
        <v>-0.201005025125628</v>
      </c>
      <c r="N457" s="75" t="n">
        <f aca="false">(N456-M456)/M456*100/5</f>
        <v>-0.203045685279188</v>
      </c>
      <c r="O457" s="75" t="n">
        <f aca="false">(O456-N456)/N456*100/5</f>
        <v>-0.205128205128205</v>
      </c>
      <c r="P457" s="75" t="n">
        <f aca="false">(P456-O456)/O456*100/5</f>
        <v>-0.207253886010363</v>
      </c>
      <c r="Q457" s="75" t="n">
        <f aca="false">(Q456-P456)/P456*100/5</f>
        <v>-0.418848167539267</v>
      </c>
      <c r="R457" s="75" t="n">
        <f aca="false">(R456-Q456)/Q456*100/5</f>
        <v>-1.28342245989305</v>
      </c>
      <c r="S457" s="28" t="s">
        <v>25</v>
      </c>
      <c r="T457" s="13"/>
      <c r="U457" s="103" t="s">
        <v>85</v>
      </c>
    </row>
    <row r="458" customFormat="false" ht="11.25" hidden="false" customHeight="false" outlineLevel="0" collapsed="false">
      <c r="A458" s="11" t="s">
        <v>149</v>
      </c>
      <c r="B458" s="62" t="n">
        <v>1738.25998276189</v>
      </c>
      <c r="C458" s="62" t="n">
        <v>1771.25808317338</v>
      </c>
      <c r="D458" s="62" t="n">
        <v>1783.96357714158</v>
      </c>
      <c r="E458" s="62" t="n">
        <v>1717.739270538</v>
      </c>
      <c r="F458" s="62" t="n">
        <v>1793.25849886817</v>
      </c>
      <c r="G458" s="62" t="n">
        <v>1819.0436137272</v>
      </c>
      <c r="H458" s="62" t="n">
        <v>1720.59621133533</v>
      </c>
      <c r="I458" s="62" t="n">
        <v>1691.63991866609</v>
      </c>
      <c r="J458" s="62" t="n">
        <v>1668.53555042941</v>
      </c>
      <c r="K458" s="27" t="n">
        <f aca="false">K459*K9</f>
        <v>1637.00921784331</v>
      </c>
      <c r="L458" s="27" t="n">
        <f aca="false">L459*L9</f>
        <v>1598.04503010116</v>
      </c>
      <c r="M458" s="27" t="n">
        <f aca="false">M459*M9</f>
        <v>1553.36357856852</v>
      </c>
      <c r="N458" s="27" t="n">
        <f aca="false">N459*N9</f>
        <v>1506.86509844827</v>
      </c>
      <c r="O458" s="27" t="n">
        <f aca="false">O459*O9</f>
        <v>1461.17577081649</v>
      </c>
      <c r="P458" s="27" t="n">
        <f aca="false">P459*P9</f>
        <v>1415.21257548298</v>
      </c>
      <c r="Q458" s="27" t="n">
        <f aca="false">Q459*Q9</f>
        <v>1367.73102899938</v>
      </c>
      <c r="R458" s="27" t="n">
        <f aca="false">R459*R9</f>
        <v>1317.9649931416</v>
      </c>
      <c r="S458" s="28" t="s">
        <v>147</v>
      </c>
      <c r="T458" s="13"/>
    </row>
    <row r="459" customFormat="false" ht="11.25" hidden="false" customHeight="false" outlineLevel="0" collapsed="false">
      <c r="A459" s="117" t="s">
        <v>150</v>
      </c>
      <c r="B459" s="32" t="n">
        <f aca="false">B458/B9</f>
        <v>2.919609052479</v>
      </c>
      <c r="C459" s="32" t="n">
        <f aca="false">C458/C9</f>
        <v>2.84989736268939</v>
      </c>
      <c r="D459" s="32" t="n">
        <f aca="false">D458/D9</f>
        <v>2.78227399806339</v>
      </c>
      <c r="E459" s="32" t="n">
        <f aca="false">E458/E9</f>
        <v>2.61130874015397</v>
      </c>
      <c r="F459" s="32" t="n">
        <f aca="false">F458/F9</f>
        <v>2.66171785399051</v>
      </c>
      <c r="G459" s="32" t="n">
        <f aca="false">G458/G9</f>
        <v>2.63234052718427</v>
      </c>
      <c r="H459" s="32" t="n">
        <f aca="false">H458/H9</f>
        <v>2.4481542525878</v>
      </c>
      <c r="I459" s="32" t="n">
        <f aca="false">I458/I9</f>
        <v>2.35103738385203</v>
      </c>
      <c r="J459" s="32" t="n">
        <f aca="false">J458/J9</f>
        <v>2.26353486110927</v>
      </c>
      <c r="K459" s="32" t="n">
        <f aca="false">J459*(1+K460/20)</f>
        <v>2.20694648958154</v>
      </c>
      <c r="L459" s="32" t="n">
        <f aca="false">K459*(1+L460/20)</f>
        <v>2.15729019356596</v>
      </c>
      <c r="M459" s="32" t="n">
        <f aca="false">L459*(1+M460/20)</f>
        <v>2.11414438969464</v>
      </c>
      <c r="N459" s="32" t="n">
        <f aca="false">M459*(1+N460/20)</f>
        <v>2.07714686287498</v>
      </c>
      <c r="O459" s="32" t="n">
        <f aca="false">N459*(1+O460/20)</f>
        <v>2.04598965993186</v>
      </c>
      <c r="P459" s="32" t="n">
        <f aca="false">O459*(1+P460/20)</f>
        <v>2.02041478918271</v>
      </c>
      <c r="Q459" s="32" t="n">
        <f aca="false">P459*(1+Q460/20)</f>
        <v>2.00021064129088</v>
      </c>
      <c r="R459" s="32" t="n">
        <f aca="false">Q459*(1+R460/20)</f>
        <v>1.9852090614812</v>
      </c>
      <c r="S459" s="28" t="s">
        <v>151</v>
      </c>
      <c r="T459" s="13"/>
      <c r="Y459" s="142"/>
      <c r="Z459" s="142"/>
    </row>
    <row r="460" customFormat="false" ht="11.25" hidden="false" customHeight="false" outlineLevel="0" collapsed="false">
      <c r="A460" s="117" t="s">
        <v>152</v>
      </c>
      <c r="C460" s="75" t="n">
        <f aca="false">(C459-B459)/B459*100/5</f>
        <v>-0.47754126348131</v>
      </c>
      <c r="D460" s="75" t="n">
        <f aca="false">(D459-C459)/C459*100/5</f>
        <v>-0.474567017825417</v>
      </c>
      <c r="E460" s="75" t="n">
        <f aca="false">(E459-D459)/D459*100/5</f>
        <v>-1.22896061299797</v>
      </c>
      <c r="F460" s="75" t="n">
        <f aca="false">(F459-E459)/E459*100/5</f>
        <v>0.386083139549126</v>
      </c>
      <c r="G460" s="75" t="n">
        <f aca="false">(G459-F459)/F459*100/5</f>
        <v>-0.220739600646933</v>
      </c>
      <c r="H460" s="75" t="n">
        <f aca="false">(H459-G459)/G459*100/5</f>
        <v>-1.39941069701562</v>
      </c>
      <c r="I460" s="75" t="n">
        <f aca="false">(I459-H459)/H459*100/5</f>
        <v>-0.793388477324201</v>
      </c>
      <c r="J460" s="75" t="n">
        <f aca="false">(J459-I459)/I459*100/5</f>
        <v>-0.744373724924724</v>
      </c>
      <c r="K460" s="78" t="n">
        <v>-0.5</v>
      </c>
      <c r="L460" s="78" t="n">
        <v>-0.45</v>
      </c>
      <c r="M460" s="78" t="n">
        <v>-0.400000000000002</v>
      </c>
      <c r="N460" s="78" t="n">
        <v>-0.349999999999997</v>
      </c>
      <c r="O460" s="78" t="n">
        <v>-0.300000000000001</v>
      </c>
      <c r="P460" s="78" t="n">
        <v>-0.249999999999999</v>
      </c>
      <c r="Q460" s="78" t="n">
        <v>-0.199999999999998</v>
      </c>
      <c r="R460" s="78" t="n">
        <v>-0.149999999999998</v>
      </c>
      <c r="S460" s="28" t="s">
        <v>25</v>
      </c>
      <c r="T460" s="13"/>
    </row>
    <row r="461" customFormat="false" ht="11.25" hidden="false" customHeight="false" outlineLevel="0" collapsed="false">
      <c r="A461" s="117" t="s">
        <v>153</v>
      </c>
      <c r="B461" s="27" t="n">
        <f aca="false">B456-B458</f>
        <v>401.44371900506</v>
      </c>
      <c r="C461" s="27" t="n">
        <f aca="false">C456-C458</f>
        <v>428.25131744819</v>
      </c>
      <c r="D461" s="27" t="n">
        <f aca="false">D456-D458</f>
        <v>400.474818399778</v>
      </c>
      <c r="E461" s="27" t="n">
        <f aca="false">E456-E458</f>
        <v>448.051242744884</v>
      </c>
      <c r="F461" s="27" t="n">
        <f aca="false">F456-F458</f>
        <v>349.154514232844</v>
      </c>
      <c r="G461" s="27" t="n">
        <f aca="false">G456-G458</f>
        <v>362.739293899405</v>
      </c>
      <c r="H461" s="27" t="n">
        <f aca="false">H456-H458</f>
        <v>461.051956596637</v>
      </c>
      <c r="I461" s="27" t="n">
        <f aca="false">I456-I458</f>
        <v>417.178361043224</v>
      </c>
      <c r="J461" s="27" t="n">
        <f aca="false">J456-J458</f>
        <v>387.175504249291</v>
      </c>
      <c r="K461" s="27" t="n">
        <f aca="false">K456-K458</f>
        <v>372.990782156694</v>
      </c>
      <c r="L461" s="27" t="n">
        <f aca="false">L456-L458</f>
        <v>391.954969898841</v>
      </c>
      <c r="M461" s="27" t="n">
        <f aca="false">M456-M458</f>
        <v>416.636421431481</v>
      </c>
      <c r="N461" s="27" t="n">
        <f aca="false">N456-N458</f>
        <v>443.134901551727</v>
      </c>
      <c r="O461" s="27" t="n">
        <f aca="false">O456-O458</f>
        <v>468.824229183506</v>
      </c>
      <c r="P461" s="27" t="n">
        <f aca="false">P456-P458</f>
        <v>494.787424517016</v>
      </c>
      <c r="Q461" s="27" t="n">
        <f aca="false">Q456-Q458</f>
        <v>502.268971000621</v>
      </c>
      <c r="R461" s="27" t="n">
        <f aca="false">R456-R458</f>
        <v>432.035006858403</v>
      </c>
      <c r="S461" s="28" t="s">
        <v>147</v>
      </c>
      <c r="T461" s="13"/>
    </row>
    <row r="462" customFormat="false" ht="11.25" hidden="false" customHeight="false" outlineLevel="0" collapsed="false">
      <c r="A462" s="117" t="s">
        <v>154</v>
      </c>
      <c r="B462" s="32" t="n">
        <f aca="false">B461/B9</f>
        <v>0.674271241178635</v>
      </c>
      <c r="C462" s="32" t="n">
        <f aca="false">C461/C9</f>
        <v>0.689042614262773</v>
      </c>
      <c r="D462" s="32" t="n">
        <f aca="false">D461/D9</f>
        <v>0.62458151522251</v>
      </c>
      <c r="E462" s="32" t="n">
        <f aca="false">E461/E9</f>
        <v>0.681127890759648</v>
      </c>
      <c r="F462" s="32" t="n">
        <f aca="false">F461/F9</f>
        <v>0.518246981637901</v>
      </c>
      <c r="G462" s="32" t="n">
        <f aca="false">G461/G9</f>
        <v>0.5249205334759</v>
      </c>
      <c r="H462" s="32" t="n">
        <f aca="false">H461/H9</f>
        <v>0.656008830410009</v>
      </c>
      <c r="I462" s="32" t="n">
        <f aca="false">I461/I9</f>
        <v>0.579793555191186</v>
      </c>
      <c r="J462" s="32" t="n">
        <f aca="false">J461/J9</f>
        <v>0.525242180791585</v>
      </c>
      <c r="K462" s="32" t="n">
        <f aca="false">K461/K9</f>
        <v>0.502850373934658</v>
      </c>
      <c r="L462" s="32" t="n">
        <f aca="false">L461/L9</f>
        <v>0.529121893911015</v>
      </c>
      <c r="M462" s="32" t="n">
        <f aca="false">M461/M9</f>
        <v>0.567046611021698</v>
      </c>
      <c r="N462" s="32" t="n">
        <f aca="false">N461/N9</f>
        <v>0.610841854082653</v>
      </c>
      <c r="O462" s="32" t="n">
        <f aca="false">O461/O9</f>
        <v>0.656464160159852</v>
      </c>
      <c r="P462" s="32" t="n">
        <f aca="false">P461/P9</f>
        <v>0.706378566240929</v>
      </c>
      <c r="Q462" s="32" t="n">
        <f aca="false">Q461/Q9</f>
        <v>0.734533120390383</v>
      </c>
      <c r="R462" s="32" t="n">
        <f aca="false">R461/R9</f>
        <v>0.650760691638679</v>
      </c>
      <c r="S462" s="28" t="s">
        <v>151</v>
      </c>
      <c r="T462" s="13"/>
    </row>
    <row r="463" customFormat="false" ht="12.65" hidden="false" customHeight="false" outlineLevel="0" collapsed="false">
      <c r="A463" s="23" t="s">
        <v>7</v>
      </c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T463" s="13"/>
    </row>
    <row r="464" customFormat="false" ht="11.25" hidden="false" customHeight="false" outlineLevel="0" collapsed="false">
      <c r="A464" s="117"/>
      <c r="B464" s="24" t="n">
        <v>1970</v>
      </c>
      <c r="C464" s="24" t="n">
        <v>1975</v>
      </c>
      <c r="D464" s="24" t="n">
        <v>1980</v>
      </c>
      <c r="E464" s="24" t="n">
        <v>1985</v>
      </c>
      <c r="F464" s="24" t="n">
        <v>1990</v>
      </c>
      <c r="G464" s="24" t="n">
        <v>1995</v>
      </c>
      <c r="H464" s="24" t="n">
        <v>2000</v>
      </c>
      <c r="I464" s="24" t="n">
        <v>2005</v>
      </c>
      <c r="J464" s="24" t="n">
        <v>2010</v>
      </c>
      <c r="K464" s="24" t="n">
        <v>2015</v>
      </c>
      <c r="L464" s="24" t="n">
        <v>2020</v>
      </c>
      <c r="M464" s="24" t="n">
        <v>2025</v>
      </c>
      <c r="N464" s="24" t="n">
        <v>2030</v>
      </c>
      <c r="O464" s="24" t="n">
        <v>2035</v>
      </c>
      <c r="P464" s="24" t="n">
        <v>2040</v>
      </c>
      <c r="Q464" s="24" t="n">
        <v>2045</v>
      </c>
      <c r="R464" s="24" t="n">
        <v>2050</v>
      </c>
      <c r="S464" s="25" t="s">
        <v>15</v>
      </c>
      <c r="T464" s="13"/>
    </row>
    <row r="465" s="3" customFormat="true" ht="11.25" hidden="false" customHeight="false" outlineLevel="0" collapsed="false">
      <c r="G465" s="5"/>
      <c r="H465" s="5"/>
      <c r="I465" s="5"/>
      <c r="J465" s="147" t="str">
        <f aca="false">CONCATENATE(A456,", Your forecast")</f>
        <v> Biocapacidade total, países da OCDE excluindo os EUA, sua previsão</v>
      </c>
      <c r="K465" s="151" t="n">
        <f aca="false">K456</f>
        <v>2010</v>
      </c>
      <c r="L465" s="151" t="n">
        <f aca="false">L456*0.98</f>
        <v>1950.2</v>
      </c>
      <c r="M465" s="151" t="n">
        <f aca="false">M456*0.98</f>
        <v>1930.6</v>
      </c>
      <c r="N465" s="151" t="n">
        <f aca="false">N456*0.98</f>
        <v>1911</v>
      </c>
      <c r="O465" s="151" t="n">
        <f aca="false">O456*0.98</f>
        <v>1891.4</v>
      </c>
      <c r="P465" s="151" t="n">
        <f aca="false">P456*0.98</f>
        <v>1871.8</v>
      </c>
      <c r="Q465" s="151" t="n">
        <f aca="false">Q456*0.98</f>
        <v>1832.6</v>
      </c>
      <c r="R465" s="151" t="n">
        <f aca="false">R456*0.98</f>
        <v>1715</v>
      </c>
      <c r="S465" s="28" t="s">
        <v>147</v>
      </c>
      <c r="T465" s="13"/>
    </row>
    <row r="466" s="3" customFormat="true" ht="11.25" hidden="false" customHeight="false" outlineLevel="0" collapsed="false">
      <c r="F466" s="8"/>
      <c r="G466" s="8"/>
      <c r="H466" s="8"/>
      <c r="I466" s="8"/>
      <c r="J466" s="146" t="str">
        <f aca="false">CONCATENATE(A457,", Your forecast")</f>
        <v> Crescimento da capacidade biológica total, sua previsão</v>
      </c>
      <c r="K466" s="137" t="n">
        <f aca="false">(K465-J456)/J456*100/5</f>
        <v>-0.444722565213283</v>
      </c>
      <c r="L466" s="137" t="n">
        <f aca="false">(L465-K465)/K465*100/5</f>
        <v>-0.59502487562189</v>
      </c>
      <c r="M466" s="137" t="n">
        <f aca="false">(M465-L465)/L465*100/5</f>
        <v>-0.20100502512563</v>
      </c>
      <c r="N466" s="137" t="n">
        <f aca="false">(N465-M465)/M465*100/5</f>
        <v>-0.203045685279187</v>
      </c>
      <c r="O466" s="137" t="n">
        <f aca="false">(O465-N465)/N465*100/5</f>
        <v>-0.205128205128207</v>
      </c>
      <c r="P466" s="137" t="n">
        <f aca="false">(P465-O465)/O465*100/5</f>
        <v>-0.207253886010362</v>
      </c>
      <c r="Q466" s="137" t="n">
        <f aca="false">(Q465-P465)/P465*100/5</f>
        <v>-0.418848167539268</v>
      </c>
      <c r="R466" s="137" t="n">
        <f aca="false">(R465-Q465)/Q465*100/5</f>
        <v>-1.28342245989305</v>
      </c>
      <c r="S466" s="28" t="s">
        <v>25</v>
      </c>
      <c r="T466" s="13"/>
    </row>
    <row r="467" s="3" customFormat="true" ht="11.25" hidden="false" customHeight="false" outlineLevel="0" collapsed="false">
      <c r="G467" s="8"/>
      <c r="H467" s="8"/>
      <c r="I467" s="8"/>
      <c r="J467" s="146" t="str">
        <f aca="false">CONCATENATE(A458,", Your forecast")</f>
        <v> Pegada não energética, sua previsão</v>
      </c>
      <c r="K467" s="84" t="n">
        <f aca="false">K468*K17</f>
        <v>1637.00921784331</v>
      </c>
      <c r="L467" s="84" t="n">
        <f aca="false">L468*L17</f>
        <v>1598.82335223674</v>
      </c>
      <c r="M467" s="84" t="n">
        <f aca="false">M468*M17</f>
        <v>1555.00911233331</v>
      </c>
      <c r="N467" s="84" t="n">
        <f aca="false">N468*N17</f>
        <v>1509.38557939972</v>
      </c>
      <c r="O467" s="84" t="n">
        <f aca="false">O468*O17</f>
        <v>1464.52824155265</v>
      </c>
      <c r="P467" s="84" t="n">
        <f aca="false">P468*P17</f>
        <v>1419.37407510085</v>
      </c>
      <c r="Q467" s="84" t="n">
        <f aca="false">Q468*Q17</f>
        <v>1372.69871228964</v>
      </c>
      <c r="R467" s="84" t="n">
        <f aca="false">R468*R17</f>
        <v>1323.74498608561</v>
      </c>
      <c r="S467" s="28" t="s">
        <v>147</v>
      </c>
      <c r="T467" s="13"/>
    </row>
    <row r="468" s="3" customFormat="true" ht="11.25" hidden="false" customHeight="false" outlineLevel="0" collapsed="false">
      <c r="E468" s="8"/>
      <c r="F468" s="8"/>
      <c r="G468" s="8"/>
      <c r="H468" s="8"/>
      <c r="I468" s="8"/>
      <c r="J468" s="146" t="str">
        <f aca="false">CONCATENATE(A459,", Your forecast")</f>
        <v> Pegada não energética por pessoa (NEFPP), sua previsão</v>
      </c>
      <c r="K468" s="43" t="n">
        <f aca="false">J459*(1+K469/20)</f>
        <v>2.20694648958154</v>
      </c>
      <c r="L468" s="43" t="n">
        <f aca="false">K468*(1+L469/20)</f>
        <v>2.15828331948627</v>
      </c>
      <c r="M468" s="43" t="n">
        <f aca="false">L468*(1+M469/20)</f>
        <v>2.11598096642434</v>
      </c>
      <c r="N468" s="43" t="n">
        <f aca="false">M468*(1+N469/20)</f>
        <v>2.07969189285016</v>
      </c>
      <c r="O468" s="43" t="n">
        <f aca="false">N468*(1+O469/20)</f>
        <v>2.04912042202526</v>
      </c>
      <c r="P468" s="43" t="n">
        <f aca="false">O468*(1+P469/20)</f>
        <v>2.02401869685545</v>
      </c>
      <c r="Q468" s="43" t="n">
        <f aca="false">P468*(1+Q469/20)</f>
        <v>2.00418331362627</v>
      </c>
      <c r="R468" s="43" t="n">
        <f aca="false">Q468*(1+R469/20)</f>
        <v>1.98945256627112</v>
      </c>
      <c r="S468" s="28" t="s">
        <v>151</v>
      </c>
      <c r="T468" s="13"/>
    </row>
    <row r="469" s="3" customFormat="true" ht="11.25" hidden="false" customHeight="false" outlineLevel="0" collapsed="false">
      <c r="G469" s="5"/>
      <c r="H469" s="5"/>
      <c r="I469" s="5"/>
      <c r="J469" s="147" t="str">
        <f aca="false">CONCATENATE(A460,", Your forecast")</f>
        <v> Taxa de variação do NEFPP, sua previsão</v>
      </c>
      <c r="K469" s="83" t="n">
        <f aca="false">K460</f>
        <v>-0.5</v>
      </c>
      <c r="L469" s="83" t="n">
        <f aca="false">L460*0.98</f>
        <v>-0.441</v>
      </c>
      <c r="M469" s="83" t="n">
        <f aca="false">M460*0.98</f>
        <v>-0.392000000000001</v>
      </c>
      <c r="N469" s="83" t="n">
        <f aca="false">N460*0.98</f>
        <v>-0.342999999999997</v>
      </c>
      <c r="O469" s="83" t="n">
        <f aca="false">O460*0.98</f>
        <v>-0.294000000000001</v>
      </c>
      <c r="P469" s="83" t="n">
        <f aca="false">P460*0.98</f>
        <v>-0.244999999999999</v>
      </c>
      <c r="Q469" s="83" t="n">
        <f aca="false">Q460*0.98</f>
        <v>-0.195999999999998</v>
      </c>
      <c r="R469" s="83" t="n">
        <f aca="false">R460*0.98</f>
        <v>-0.146999999999998</v>
      </c>
      <c r="S469" s="28" t="s">
        <v>25</v>
      </c>
      <c r="T469" s="13"/>
    </row>
    <row r="470" s="3" customFormat="true" ht="11.25" hidden="false" customHeight="false" outlineLevel="0" collapsed="false">
      <c r="G470" s="8"/>
      <c r="H470" s="8"/>
      <c r="I470" s="8"/>
      <c r="J470" s="146" t="str">
        <f aca="false">CONCATENATE(A461,", Your forecast")</f>
        <v> Biocapacidade não utilizada, Sua previsão</v>
      </c>
      <c r="K470" s="84" t="n">
        <f aca="false">K465-K467</f>
        <v>372.990782156694</v>
      </c>
      <c r="L470" s="84" t="n">
        <f aca="false">L465-L467</f>
        <v>351.376647763262</v>
      </c>
      <c r="M470" s="84" t="n">
        <f aca="false">M465-M467</f>
        <v>375.590887666685</v>
      </c>
      <c r="N470" s="84" t="n">
        <f aca="false">N465-N467</f>
        <v>401.614420600284</v>
      </c>
      <c r="O470" s="84" t="n">
        <f aca="false">O465-O467</f>
        <v>426.871758447349</v>
      </c>
      <c r="P470" s="84" t="n">
        <f aca="false">P465-P467</f>
        <v>452.425924899152</v>
      </c>
      <c r="Q470" s="84" t="n">
        <f aca="false">Q465-Q467</f>
        <v>459.901287710359</v>
      </c>
      <c r="R470" s="84" t="n">
        <f aca="false">R465-R467</f>
        <v>391.255013914393</v>
      </c>
      <c r="S470" s="28" t="s">
        <v>147</v>
      </c>
      <c r="T470" s="13"/>
    </row>
    <row r="471" s="3" customFormat="true" ht="11.25" hidden="false" customHeight="false" outlineLevel="0" collapsed="false">
      <c r="F471" s="8"/>
      <c r="G471" s="8"/>
      <c r="H471" s="8"/>
      <c r="I471" s="8"/>
      <c r="J471" s="146" t="str">
        <f aca="false">CONCATENATE(A462,", Your forecast")</f>
        <v> Biocapacidade não utilizada por pessoa, sua previsão</v>
      </c>
      <c r="K471" s="43" t="n">
        <f aca="false">K470/K17</f>
        <v>0.502850373934658</v>
      </c>
      <c r="L471" s="43" t="n">
        <f aca="false">L470/L17</f>
        <v>0.474330298380679</v>
      </c>
      <c r="M471" s="43" t="n">
        <f aca="false">M470/M17</f>
        <v>0.511085859987408</v>
      </c>
      <c r="N471" s="43" t="n">
        <f aca="false">N470/N17</f>
        <v>0.553360430875653</v>
      </c>
      <c r="O471" s="43" t="n">
        <f aca="false">O470/O17</f>
        <v>0.597265121287762</v>
      </c>
      <c r="P471" s="43" t="n">
        <f aca="false">P470/P17</f>
        <v>0.645156584865017</v>
      </c>
      <c r="Q471" s="43" t="n">
        <f aca="false">Q470/Q17</f>
        <v>0.67147035142687</v>
      </c>
      <c r="R471" s="43" t="n">
        <f aca="false">R470/R17</f>
        <v>0.588016045144886</v>
      </c>
      <c r="S471" s="28" t="str">
        <f aca="false">S462</f>
        <v> gha / pessoa</v>
      </c>
      <c r="T471" s="13"/>
      <c r="X471" s="15" t="s">
        <v>33</v>
      </c>
    </row>
    <row r="472" customFormat="false" ht="11.25" hidden="false" customHeight="false" outlineLevel="0" collapsed="false">
      <c r="A472" s="117"/>
      <c r="T472" s="13"/>
      <c r="V472" s="3" t="s">
        <v>35</v>
      </c>
      <c r="AA472" s="52" t="s">
        <v>36</v>
      </c>
    </row>
    <row r="473" customFormat="false" ht="28.3" hidden="false" customHeight="false" outlineLevel="0" collapsed="false">
      <c r="T473" s="13"/>
      <c r="U473" s="55" t="s">
        <v>37</v>
      </c>
      <c r="V473" s="54" t="s">
        <v>38</v>
      </c>
      <c r="W473" s="54" t="s">
        <v>39</v>
      </c>
      <c r="X473" s="55"/>
      <c r="Y473" s="55"/>
      <c r="AA473" s="16"/>
      <c r="AB473" s="24" t="n">
        <v>1970</v>
      </c>
      <c r="AC473" s="24" t="n">
        <v>1975</v>
      </c>
      <c r="AD473" s="24" t="n">
        <v>1980</v>
      </c>
      <c r="AE473" s="24" t="n">
        <v>1985</v>
      </c>
      <c r="AF473" s="24" t="n">
        <v>1990</v>
      </c>
      <c r="AG473" s="24" t="n">
        <v>1995</v>
      </c>
      <c r="AH473" s="24" t="n">
        <v>2000</v>
      </c>
      <c r="AI473" s="24" t="n">
        <v>2005</v>
      </c>
      <c r="AJ473" s="24" t="n">
        <v>2010</v>
      </c>
      <c r="AK473" s="24" t="n">
        <v>2015</v>
      </c>
      <c r="AL473" s="24" t="n">
        <v>2020</v>
      </c>
      <c r="AM473" s="24" t="n">
        <v>2025</v>
      </c>
      <c r="AN473" s="24" t="n">
        <v>2030</v>
      </c>
      <c r="AO473" s="24" t="n">
        <v>2035</v>
      </c>
      <c r="AP473" s="24" t="n">
        <v>2040</v>
      </c>
      <c r="AQ473" s="24" t="n">
        <v>2045</v>
      </c>
      <c r="AR473" s="24" t="n">
        <v>2050</v>
      </c>
    </row>
    <row r="474" customFormat="false" ht="11.25" hidden="false" customHeight="false" outlineLevel="0" collapsed="false">
      <c r="T474" s="13"/>
      <c r="U474" s="15" t="str">
        <f aca="false">AA474</f>
        <v> Biocapacidade total, OCDE excluindo EUA (0 - 2500 Mgha)</v>
      </c>
      <c r="V474" s="25" t="n">
        <v>2500</v>
      </c>
      <c r="W474" s="70" t="n">
        <f aca="false">W481</f>
        <v>2500</v>
      </c>
      <c r="AA474" s="152" t="str">
        <f aca="false">CONCATENATE(A456," (0 - ",W474," Mgha)")</f>
        <v> Biocapacidade total, OCDE excluindo EUA (0 - 2500 Mgha)</v>
      </c>
      <c r="AB474" s="57" t="n">
        <f aca="false">B456/$W474</f>
        <v>0.855881480706779</v>
      </c>
      <c r="AC474" s="57" t="n">
        <f aca="false">C456/$W474</f>
        <v>0.879803760248627</v>
      </c>
      <c r="AD474" s="57" t="n">
        <f aca="false">D456/$W474</f>
        <v>0.873775358216543</v>
      </c>
      <c r="AE474" s="57" t="n">
        <f aca="false">E456/$W474</f>
        <v>0.866316205313153</v>
      </c>
      <c r="AF474" s="57" t="n">
        <f aca="false">F456/$W474</f>
        <v>0.856965205240406</v>
      </c>
      <c r="AG474" s="57" t="n">
        <f aca="false">G456/$W474</f>
        <v>0.872713163050642</v>
      </c>
      <c r="AH474" s="57" t="n">
        <f aca="false">H456/$W474</f>
        <v>0.872659267172787</v>
      </c>
      <c r="AI474" s="57" t="n">
        <f aca="false">I456/$W474</f>
        <v>0.843527311883725</v>
      </c>
      <c r="AJ474" s="57" t="n">
        <f aca="false">J456/$W474</f>
        <v>0.82228442187148</v>
      </c>
      <c r="AK474" s="57" t="n">
        <f aca="false">K456/$W474</f>
        <v>0.804</v>
      </c>
      <c r="AL474" s="57" t="n">
        <f aca="false">L456/$W474</f>
        <v>0.796</v>
      </c>
      <c r="AM474" s="57" t="n">
        <f aca="false">M456/$W474</f>
        <v>0.788</v>
      </c>
      <c r="AN474" s="57" t="n">
        <f aca="false">N456/$W474</f>
        <v>0.78</v>
      </c>
      <c r="AO474" s="57" t="n">
        <f aca="false">O456/$W474</f>
        <v>0.772</v>
      </c>
      <c r="AP474" s="57" t="n">
        <f aca="false">P456/$W474</f>
        <v>0.764</v>
      </c>
      <c r="AQ474" s="57" t="n">
        <f aca="false">Q456/$W474</f>
        <v>0.748</v>
      </c>
      <c r="AR474" s="57" t="n">
        <f aca="false">R456/$W474</f>
        <v>0.7</v>
      </c>
    </row>
    <row r="475" customFormat="false" ht="11.25" hidden="false" customHeight="false" outlineLevel="0" collapsed="false">
      <c r="T475" s="13"/>
      <c r="U475" s="15" t="str">
        <f aca="false">AA475</f>
        <v> Crescimento da biocapacidade total (0 - 2 % / ano)</v>
      </c>
      <c r="V475" s="25" t="n">
        <v>2</v>
      </c>
      <c r="W475" s="70" t="n">
        <f aca="false">W482</f>
        <v>2</v>
      </c>
      <c r="AA475" s="152" t="str">
        <f aca="false">CONCATENATE(A457," (0 - ",W475," % / yr)")</f>
        <v> Crescimento da biocapacidade total (0 - 2 % / ano)</v>
      </c>
      <c r="AB475" s="57" t="n">
        <f aca="false">B457/$W475</f>
        <v>0</v>
      </c>
      <c r="AC475" s="57" t="n">
        <f aca="false">C457/$W475</f>
        <v>0.279504581897171</v>
      </c>
      <c r="AD475" s="57" t="n">
        <f aca="false">D457/$W475</f>
        <v>-0.068519848453257</v>
      </c>
      <c r="AE475" s="57" t="n">
        <f aca="false">E457/$W475</f>
        <v>-0.0853669405213559</v>
      </c>
      <c r="AF475" s="57" t="n">
        <f aca="false">F457/$W475</f>
        <v>-0.107939803219629</v>
      </c>
      <c r="AG475" s="57" t="n">
        <f aca="false">G457/$W475</f>
        <v>0.183764261535204</v>
      </c>
      <c r="AH475" s="57" t="n">
        <f aca="false">H457/$W475</f>
        <v>-0.000617566918176868</v>
      </c>
      <c r="AI475" s="57" t="n">
        <f aca="false">I457/$W475</f>
        <v>-0.333829667373405</v>
      </c>
      <c r="AJ475" s="57" t="n">
        <f aca="false">J457/$W475</f>
        <v>-0.251834051049355</v>
      </c>
      <c r="AK475" s="57" t="n">
        <f aca="false">K457/$W475</f>
        <v>-0.222361282606641</v>
      </c>
      <c r="AL475" s="57" t="n">
        <f aca="false">L457/$W475</f>
        <v>-0.0995024875621891</v>
      </c>
      <c r="AM475" s="57" t="n">
        <f aca="false">M457/$W475</f>
        <v>-0.100502512562814</v>
      </c>
      <c r="AN475" s="57" t="n">
        <f aca="false">N457/$W475</f>
        <v>-0.101522842639594</v>
      </c>
      <c r="AO475" s="57" t="n">
        <f aca="false">O457/$W475</f>
        <v>-0.102564102564103</v>
      </c>
      <c r="AP475" s="57" t="n">
        <f aca="false">P457/$W475</f>
        <v>-0.103626943005181</v>
      </c>
      <c r="AQ475" s="57" t="n">
        <f aca="false">Q457/$W475</f>
        <v>-0.209424083769634</v>
      </c>
      <c r="AR475" s="57" t="n">
        <f aca="false">R457/$W475</f>
        <v>-0.641711229946524</v>
      </c>
    </row>
    <row r="476" customFormat="false" ht="11.25" hidden="false" customHeight="false" outlineLevel="0" collapsed="false">
      <c r="T476" s="13"/>
      <c r="U476" s="15" t="str">
        <f aca="false">AA476</f>
        <v> Pegada não energética (0 - 2500 Mgha)</v>
      </c>
      <c r="V476" s="25" t="n">
        <f aca="false">V474</f>
        <v>2500</v>
      </c>
      <c r="W476" s="70" t="n">
        <f aca="false">W483</f>
        <v>2500</v>
      </c>
      <c r="AA476" s="152" t="str">
        <f aca="false">CONCATENATE(A458," (0 - ",W476," Mgha)")</f>
        <v> Pegada não energética (0 - 2500 Mgha)</v>
      </c>
      <c r="AB476" s="57" t="n">
        <f aca="false">B458/$W476</f>
        <v>0.695303993104755</v>
      </c>
      <c r="AC476" s="57" t="n">
        <f aca="false">C458/$W476</f>
        <v>0.708503233269351</v>
      </c>
      <c r="AD476" s="57" t="n">
        <f aca="false">D458/$W476</f>
        <v>0.713585430856632</v>
      </c>
      <c r="AE476" s="57" t="n">
        <f aca="false">E458/$W476</f>
        <v>0.6870957082152</v>
      </c>
      <c r="AF476" s="57" t="n">
        <f aca="false">F458/$W476</f>
        <v>0.717303399547268</v>
      </c>
      <c r="AG476" s="57" t="n">
        <f aca="false">G458/$W476</f>
        <v>0.72761744549088</v>
      </c>
      <c r="AH476" s="57" t="n">
        <f aca="false">H458/$W476</f>
        <v>0.688238484534132</v>
      </c>
      <c r="AI476" s="57" t="n">
        <f aca="false">I458/$W476</f>
        <v>0.676655967466436</v>
      </c>
      <c r="AJ476" s="57" t="n">
        <f aca="false">J458/$W476</f>
        <v>0.667414220171764</v>
      </c>
      <c r="AK476" s="57" t="n">
        <f aca="false">K458/$W476</f>
        <v>0.654803687137323</v>
      </c>
      <c r="AL476" s="57" t="n">
        <f aca="false">L458/$W476</f>
        <v>0.639218012040464</v>
      </c>
      <c r="AM476" s="57" t="n">
        <f aca="false">M458/$W476</f>
        <v>0.621345431427408</v>
      </c>
      <c r="AN476" s="57" t="n">
        <f aca="false">N458/$W476</f>
        <v>0.602746039379309</v>
      </c>
      <c r="AO476" s="57" t="n">
        <f aca="false">O458/$W476</f>
        <v>0.584470308326598</v>
      </c>
      <c r="AP476" s="57" t="n">
        <f aca="false">P458/$W476</f>
        <v>0.566085030193194</v>
      </c>
      <c r="AQ476" s="57" t="n">
        <f aca="false">Q458/$W476</f>
        <v>0.547092411599751</v>
      </c>
      <c r="AR476" s="57" t="n">
        <f aca="false">R458/$W476</f>
        <v>0.527185997256639</v>
      </c>
    </row>
    <row r="477" customFormat="false" ht="11.25" hidden="false" customHeight="false" outlineLevel="0" collapsed="false">
      <c r="S477" s="131"/>
      <c r="T477" s="13"/>
      <c r="U477" s="15" t="str">
        <f aca="false">AA477</f>
        <v> Pegada de carbono não energética por pessoa (NEFPP) (0 - 2 gha/pessoa)</v>
      </c>
      <c r="V477" s="25" t="n">
        <v>2</v>
      </c>
      <c r="W477" s="70" t="n">
        <f aca="false">W484</f>
        <v>2</v>
      </c>
      <c r="AA477" s="152" t="str">
        <f aca="false">CONCATENATE(A459," (0 - ",W477," gha / person)")</f>
        <v> Pegada de carbono não energética por pessoa (NEFPP) (0 - 2 gha/pessoa)</v>
      </c>
      <c r="AB477" s="57" t="n">
        <f aca="false">B459/$W477</f>
        <v>1.4598045262395</v>
      </c>
      <c r="AC477" s="57" t="n">
        <f aca="false">C459/$W477</f>
        <v>1.42494868134469</v>
      </c>
      <c r="AD477" s="57" t="n">
        <f aca="false">D459/$W477</f>
        <v>1.39113699903169</v>
      </c>
      <c r="AE477" s="57" t="n">
        <f aca="false">E459/$W477</f>
        <v>1.30565437007699</v>
      </c>
      <c r="AF477" s="57" t="n">
        <f aca="false">F459/$W477</f>
        <v>1.33085892699525</v>
      </c>
      <c r="AG477" s="57" t="n">
        <f aca="false">G459/$W477</f>
        <v>1.31617026359214</v>
      </c>
      <c r="AH477" s="57" t="n">
        <f aca="false">H459/$W477</f>
        <v>1.2240771262939</v>
      </c>
      <c r="AI477" s="57" t="n">
        <f aca="false">I459/$W477</f>
        <v>1.17551869192602</v>
      </c>
      <c r="AJ477" s="57" t="n">
        <f aca="false">J459/$W477</f>
        <v>1.13176743055464</v>
      </c>
      <c r="AK477" s="57" t="n">
        <f aca="false">K459/$W477</f>
        <v>1.10347324479077</v>
      </c>
      <c r="AL477" s="57" t="n">
        <f aca="false">L459/$W477</f>
        <v>1.07864509678298</v>
      </c>
      <c r="AM477" s="57" t="n">
        <f aca="false">M459/$W477</f>
        <v>1.05707219484732</v>
      </c>
      <c r="AN477" s="57" t="n">
        <f aca="false">N459/$W477</f>
        <v>1.03857343143749</v>
      </c>
      <c r="AO477" s="57" t="n">
        <f aca="false">O459/$W477</f>
        <v>1.02299482996593</v>
      </c>
      <c r="AP477" s="57" t="n">
        <f aca="false">P459/$W477</f>
        <v>1.01020739459135</v>
      </c>
      <c r="AQ477" s="57" t="n">
        <f aca="false">Q459/$W477</f>
        <v>1.00010532064544</v>
      </c>
      <c r="AR477" s="57" t="n">
        <f aca="false">R459/$W477</f>
        <v>0.9926045307406</v>
      </c>
    </row>
    <row r="478" customFormat="false" ht="11.25" hidden="false" customHeight="false" outlineLevel="0" collapsed="false">
      <c r="T478" s="13"/>
      <c r="U478" s="15" t="str">
        <f aca="false">AA478</f>
        <v> Taxa de variação do NEFPP (0 - 2 % / ano)</v>
      </c>
      <c r="V478" s="25" t="n">
        <v>2</v>
      </c>
      <c r="W478" s="70" t="n">
        <f aca="false">W485</f>
        <v>2</v>
      </c>
      <c r="AA478" s="152" t="str">
        <f aca="false">CONCATENATE(A460," (0 - ",W478," % / yr)")</f>
        <v> Taxa de variação do NEFPP (0 - 2 % / ano)</v>
      </c>
      <c r="AB478" s="57" t="n">
        <f aca="false">B460/$W478</f>
        <v>0</v>
      </c>
      <c r="AC478" s="57" t="n">
        <f aca="false">C460/$W478</f>
        <v>-0.238770631740655</v>
      </c>
      <c r="AD478" s="57" t="n">
        <f aca="false">D460/$W478</f>
        <v>-0.237283508912709</v>
      </c>
      <c r="AE478" s="57" t="n">
        <f aca="false">E460/$W478</f>
        <v>-0.614480306498985</v>
      </c>
      <c r="AF478" s="57" t="n">
        <f aca="false">F460/$W478</f>
        <v>0.193041569774563</v>
      </c>
      <c r="AG478" s="57" t="n">
        <f aca="false">G460/$W478</f>
        <v>-0.110369800323467</v>
      </c>
      <c r="AH478" s="57" t="n">
        <f aca="false">H460/$W478</f>
        <v>-0.69970534850781</v>
      </c>
      <c r="AI478" s="57" t="n">
        <f aca="false">I460/$W478</f>
        <v>-0.3966942386621</v>
      </c>
      <c r="AJ478" s="57" t="n">
        <f aca="false">J460/$W478</f>
        <v>-0.372186862462362</v>
      </c>
      <c r="AK478" s="57" t="n">
        <f aca="false">K460/$W478</f>
        <v>-0.25</v>
      </c>
      <c r="AL478" s="57" t="n">
        <f aca="false">L460/$W478</f>
        <v>-0.225</v>
      </c>
      <c r="AM478" s="57" t="n">
        <f aca="false">M460/$W478</f>
        <v>-0.200000000000001</v>
      </c>
      <c r="AN478" s="57" t="n">
        <f aca="false">N460/$W478</f>
        <v>-0.174999999999999</v>
      </c>
      <c r="AO478" s="57" t="n">
        <f aca="false">O460/$W478</f>
        <v>-0.150000000000001</v>
      </c>
      <c r="AP478" s="57" t="n">
        <f aca="false">P460/$W478</f>
        <v>-0.125</v>
      </c>
      <c r="AQ478" s="57" t="n">
        <f aca="false">Q460/$W478</f>
        <v>-0.0999999999999991</v>
      </c>
      <c r="AR478" s="57" t="n">
        <f aca="false">R460/$W478</f>
        <v>-0.0749999999999991</v>
      </c>
    </row>
    <row r="479" s="3" customFormat="true" ht="11.25" hidden="false" customHeight="false" outlineLevel="0" collapsed="false">
      <c r="T479" s="13"/>
      <c r="U479" s="15" t="str">
        <f aca="false">AA479</f>
        <v>Biocapacidade não utilizada (0 - 2500 Mgha)</v>
      </c>
      <c r="V479" s="25" t="n">
        <f aca="false">V474</f>
        <v>2500</v>
      </c>
      <c r="W479" s="70" t="n">
        <f aca="false">W486</f>
        <v>2500</v>
      </c>
      <c r="AA479" s="152" t="str">
        <f aca="false">CONCATENATE(A461," (0 - ",W479," Mgha)")</f>
        <v> Biocapacidade não utilizada (0 - 2500 Mgha)</v>
      </c>
      <c r="AB479" s="57" t="n">
        <f aca="false">B461/$W479</f>
        <v>0.160577487602024</v>
      </c>
      <c r="AC479" s="57" t="n">
        <f aca="false">C461/$W479</f>
        <v>0.171300526979276</v>
      </c>
      <c r="AD479" s="57" t="n">
        <f aca="false">D461/$W479</f>
        <v>0.160189927359911</v>
      </c>
      <c r="AE479" s="57" t="n">
        <f aca="false">E461/$W479</f>
        <v>0.179220497097954</v>
      </c>
      <c r="AF479" s="57" t="n">
        <f aca="false">F461/$W479</f>
        <v>0.139661805693137</v>
      </c>
      <c r="AG479" s="57" t="n">
        <f aca="false">G461/$W479</f>
        <v>0.145095717559762</v>
      </c>
      <c r="AH479" s="57" t="n">
        <f aca="false">H461/$W479</f>
        <v>0.184420782638655</v>
      </c>
      <c r="AI479" s="57" t="n">
        <f aca="false">I461/$W479</f>
        <v>0.16687134441729</v>
      </c>
      <c r="AJ479" s="57" t="n">
        <f aca="false">J461/$W479</f>
        <v>0.154870201699716</v>
      </c>
      <c r="AK479" s="57" t="n">
        <f aca="false">K461/$W479</f>
        <v>0.149196312862677</v>
      </c>
      <c r="AL479" s="57" t="n">
        <f aca="false">L461/$W479</f>
        <v>0.156781987959537</v>
      </c>
      <c r="AM479" s="57" t="n">
        <f aca="false">M461/$W479</f>
        <v>0.166654568572592</v>
      </c>
      <c r="AN479" s="57" t="n">
        <f aca="false">N461/$W479</f>
        <v>0.177253960620691</v>
      </c>
      <c r="AO479" s="57" t="n">
        <f aca="false">O461/$W479</f>
        <v>0.187529691673402</v>
      </c>
      <c r="AP479" s="57" t="n">
        <f aca="false">P461/$W479</f>
        <v>0.197914969806807</v>
      </c>
      <c r="AQ479" s="57" t="n">
        <f aca="false">Q461/$W479</f>
        <v>0.200907588400249</v>
      </c>
      <c r="AR479" s="57" t="n">
        <f aca="false">R461/$W479</f>
        <v>0.172814002743361</v>
      </c>
    </row>
    <row r="480" s="3" customFormat="true" ht="11.25" hidden="false" customHeight="false" outlineLevel="0" collapsed="false">
      <c r="S480" s="29"/>
      <c r="T480" s="13"/>
      <c r="U480" s="148" t="str">
        <f aca="false">AA480</f>
        <v> Biocapacidade não utilizada por pessoa (0 - 1 gha / pessoa)</v>
      </c>
      <c r="V480" s="25" t="n">
        <v>1</v>
      </c>
      <c r="W480" s="70" t="n">
        <f aca="false">W487</f>
        <v>1</v>
      </c>
      <c r="AA480" s="152" t="str">
        <f aca="false">CONCATENATE(A462," (0 - ",W480," gha / person)")</f>
        <v> Biocapacidade não utilizada por pessoa (0 - 1 gha / pessoa)</v>
      </c>
      <c r="AB480" s="57" t="n">
        <f aca="false">B462/$W480</f>
        <v>0.674271241178635</v>
      </c>
      <c r="AC480" s="57" t="n">
        <f aca="false">C462/$W480</f>
        <v>0.689042614262773</v>
      </c>
      <c r="AD480" s="57" t="n">
        <f aca="false">D462/$W480</f>
        <v>0.62458151522251</v>
      </c>
      <c r="AE480" s="57" t="n">
        <f aca="false">E462/$W480</f>
        <v>0.681127890759648</v>
      </c>
      <c r="AF480" s="57" t="n">
        <f aca="false">F462/$W480</f>
        <v>0.518246981637901</v>
      </c>
      <c r="AG480" s="57" t="n">
        <f aca="false">G462/$W480</f>
        <v>0.5249205334759</v>
      </c>
      <c r="AH480" s="57" t="n">
        <f aca="false">H462/$W480</f>
        <v>0.656008830410009</v>
      </c>
      <c r="AI480" s="57" t="n">
        <f aca="false">I462/$W480</f>
        <v>0.579793555191186</v>
      </c>
      <c r="AJ480" s="57" t="n">
        <f aca="false">J462/$W480</f>
        <v>0.525242180791585</v>
      </c>
      <c r="AK480" s="57" t="n">
        <f aca="false">K462/$W480</f>
        <v>0.502850373934658</v>
      </c>
      <c r="AL480" s="57" t="n">
        <f aca="false">L462/$W480</f>
        <v>0.529121893911015</v>
      </c>
      <c r="AM480" s="57" t="n">
        <f aca="false">M462/$W480</f>
        <v>0.567046611021698</v>
      </c>
      <c r="AN480" s="57" t="n">
        <f aca="false">N462/$W480</f>
        <v>0.610841854082653</v>
      </c>
      <c r="AO480" s="57" t="n">
        <f aca="false">O462/$W480</f>
        <v>0.656464160159852</v>
      </c>
      <c r="AP480" s="57" t="n">
        <f aca="false">P462/$W480</f>
        <v>0.706378566240929</v>
      </c>
      <c r="AQ480" s="57" t="n">
        <f aca="false">Q462/$W480</f>
        <v>0.734533120390383</v>
      </c>
      <c r="AR480" s="57" t="n">
        <f aca="false">R462/$W480</f>
        <v>0.650760691638679</v>
      </c>
    </row>
    <row r="481" s="3" customFormat="true" ht="11.25" hidden="false" customHeight="false" outlineLevel="0" collapsed="false">
      <c r="S481" s="29"/>
      <c r="T481" s="13"/>
      <c r="U481" s="37" t="str">
        <f aca="false">AA482</f>
        <v> Biocapacidade total, OCDE excluindo EUA (0 - 2500 Mgha), Sua previsão</v>
      </c>
      <c r="W481" s="4" t="n">
        <v>2500</v>
      </c>
      <c r="AA481" s="153"/>
      <c r="AB481" s="24" t="n">
        <v>1970</v>
      </c>
      <c r="AC481" s="24" t="n">
        <v>1975</v>
      </c>
      <c r="AD481" s="24" t="n">
        <v>1980</v>
      </c>
      <c r="AE481" s="24" t="n">
        <v>1985</v>
      </c>
      <c r="AF481" s="24" t="n">
        <v>1990</v>
      </c>
      <c r="AG481" s="24" t="n">
        <v>1995</v>
      </c>
      <c r="AH481" s="24" t="n">
        <v>2000</v>
      </c>
      <c r="AI481" s="24" t="n">
        <v>2005</v>
      </c>
      <c r="AJ481" s="24" t="n">
        <v>2010</v>
      </c>
      <c r="AK481" s="24" t="n">
        <v>2015</v>
      </c>
      <c r="AL481" s="24" t="n">
        <v>2020</v>
      </c>
      <c r="AM481" s="24" t="n">
        <v>2025</v>
      </c>
      <c r="AN481" s="24" t="n">
        <v>2030</v>
      </c>
      <c r="AO481" s="24" t="n">
        <v>2035</v>
      </c>
      <c r="AP481" s="24" t="n">
        <v>2040</v>
      </c>
      <c r="AQ481" s="24" t="n">
        <v>2045</v>
      </c>
      <c r="AR481" s="24" t="n">
        <v>2050</v>
      </c>
    </row>
    <row r="482" s="3" customFormat="true" ht="11.25" hidden="false" customHeight="false" outlineLevel="0" collapsed="false">
      <c r="S482" s="29"/>
      <c r="T482" s="13"/>
      <c r="U482" s="37" t="str">
        <f aca="false">AA483</f>
        <v> Crescimento da biocapacidade total (0 - 2% ao ano), sua previsão</v>
      </c>
      <c r="W482" s="4" t="n">
        <v>2</v>
      </c>
      <c r="AA482" s="152" t="str">
        <f aca="false">CONCATENATE(A456," (0 - ",W481," Mgha), Your forecast")</f>
        <v> Biocapacidade total, OCDE excluindo EUA (0 - 2500 Mgha), Sua previsão</v>
      </c>
      <c r="AB482" s="29"/>
      <c r="AC482" s="29"/>
      <c r="AD482" s="29"/>
      <c r="AE482" s="29"/>
      <c r="AF482" s="29"/>
      <c r="AG482" s="29"/>
      <c r="AH482" s="29"/>
      <c r="AI482" s="29"/>
      <c r="AJ482" s="29"/>
      <c r="AK482" s="57" t="n">
        <f aca="false">K465/$W481</f>
        <v>0.804</v>
      </c>
      <c r="AL482" s="57" t="n">
        <f aca="false">L465/$W481</f>
        <v>0.78008</v>
      </c>
      <c r="AM482" s="57" t="n">
        <f aca="false">M465/$W481</f>
        <v>0.77224</v>
      </c>
      <c r="AN482" s="57" t="n">
        <f aca="false">N465/$W481</f>
        <v>0.7644</v>
      </c>
      <c r="AO482" s="57" t="n">
        <f aca="false">O465/$W481</f>
        <v>0.75656</v>
      </c>
      <c r="AP482" s="57" t="n">
        <f aca="false">P465/$W481</f>
        <v>0.74872</v>
      </c>
      <c r="AQ482" s="57" t="n">
        <f aca="false">Q465/$W481</f>
        <v>0.73304</v>
      </c>
      <c r="AR482" s="57" t="n">
        <f aca="false">R465/$W481</f>
        <v>0.686</v>
      </c>
    </row>
    <row r="483" s="3" customFormat="true" ht="11.25" hidden="false" customHeight="false" outlineLevel="0" collapsed="false">
      <c r="S483" s="29"/>
      <c r="T483" s="13"/>
      <c r="U483" s="37" t="str">
        <f aca="false">AA484</f>
        <v> Pegada não energética (0 - 2500 Mgha), Sua previsão</v>
      </c>
      <c r="W483" s="93" t="n">
        <f aca="false">W481</f>
        <v>2500</v>
      </c>
      <c r="AA483" s="152" t="str">
        <f aca="false">CONCATENATE(A457," (0 - ",W482," % / yr), Your forecast")</f>
        <v> Crescimento da biocapacidade total (0 - 2% ao ano), sua previsão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57" t="n">
        <f aca="false">K466/$W482</f>
        <v>-0.222361282606641</v>
      </c>
      <c r="AL483" s="57" t="n">
        <f aca="false">L466/$W482</f>
        <v>-0.297512437810945</v>
      </c>
      <c r="AM483" s="57" t="n">
        <f aca="false">M466/$W482</f>
        <v>-0.100502512562815</v>
      </c>
      <c r="AN483" s="57" t="n">
        <f aca="false">N466/$W482</f>
        <v>-0.101522842639593</v>
      </c>
      <c r="AO483" s="57" t="n">
        <f aca="false">O466/$W482</f>
        <v>-0.102564102564103</v>
      </c>
      <c r="AP483" s="57" t="n">
        <f aca="false">P466/$W482</f>
        <v>-0.103626943005181</v>
      </c>
      <c r="AQ483" s="57" t="n">
        <f aca="false">Q466/$W482</f>
        <v>-0.209424083769634</v>
      </c>
      <c r="AR483" s="57" t="n">
        <f aca="false">R466/$W482</f>
        <v>-0.641711229946524</v>
      </c>
    </row>
    <row r="484" s="3" customFormat="true" ht="11.25" hidden="false" customHeight="false" outlineLevel="0" collapsed="false">
      <c r="S484" s="29"/>
      <c r="T484" s="13"/>
      <c r="U484" s="37" t="str">
        <f aca="false">AA485</f>
        <v> Pegada de carbono não energética por pessoa (NEFPP) (0 - 2 gha/pessoa), sua previsão</v>
      </c>
      <c r="W484" s="4" t="n">
        <v>2</v>
      </c>
      <c r="AA484" s="152" t="str">
        <f aca="false">CONCATENATE(A458," (0 - ",W483," Mgha), Your forecast")</f>
        <v> Pegada não energética (0 - 2500 Mgha), Sua previsão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57" t="n">
        <f aca="false">K467/$W483</f>
        <v>0.654803687137323</v>
      </c>
      <c r="AL484" s="57" t="n">
        <f aca="false">L467/$W483</f>
        <v>0.639529340894695</v>
      </c>
      <c r="AM484" s="57" t="n">
        <f aca="false">M467/$W483</f>
        <v>0.622003644933326</v>
      </c>
      <c r="AN484" s="57" t="n">
        <f aca="false">N467/$W483</f>
        <v>0.603754231759886</v>
      </c>
      <c r="AO484" s="57" t="n">
        <f aca="false">O467/$W483</f>
        <v>0.585811296621061</v>
      </c>
      <c r="AP484" s="57" t="n">
        <f aca="false">P467/$W483</f>
        <v>0.567749630040339</v>
      </c>
      <c r="AQ484" s="57" t="n">
        <f aca="false">Q467/$W483</f>
        <v>0.549079484915856</v>
      </c>
      <c r="AR484" s="57" t="n">
        <f aca="false">R467/$W483</f>
        <v>0.529497994434243</v>
      </c>
    </row>
    <row r="485" s="3" customFormat="true" ht="11.25" hidden="false" customHeight="false" outlineLevel="0" collapsed="false">
      <c r="S485" s="29"/>
      <c r="T485" s="13"/>
      <c r="U485" s="37" t="str">
        <f aca="false">AA486</f>
        <v> Taxa de variação do NEFPP (0 - 2 % / ano), Sua previsão</v>
      </c>
      <c r="W485" s="4" t="n">
        <v>2</v>
      </c>
      <c r="AA485" s="152" t="str">
        <f aca="false">CONCATENATE(A459," (0 - ",W484," gha / person), Your forecast")</f>
        <v> Pegada de carbono não energética por pessoa (NEFPP) (0 - 2 gha/pessoa), sua previsão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57" t="n">
        <f aca="false">K468/$W484</f>
        <v>1.10347324479077</v>
      </c>
      <c r="AL485" s="57" t="n">
        <f aca="false">L468/$W484</f>
        <v>1.07914165974313</v>
      </c>
      <c r="AM485" s="57" t="n">
        <f aca="false">M468/$W484</f>
        <v>1.05799048321217</v>
      </c>
      <c r="AN485" s="57" t="n">
        <f aca="false">N468/$W484</f>
        <v>1.03984594642508</v>
      </c>
      <c r="AO485" s="57" t="n">
        <f aca="false">O468/$W484</f>
        <v>1.02456021101263</v>
      </c>
      <c r="AP485" s="57" t="n">
        <f aca="false">P468/$W484</f>
        <v>1.01200934842773</v>
      </c>
      <c r="AQ485" s="57" t="n">
        <f aca="false">Q468/$W484</f>
        <v>1.00209165681313</v>
      </c>
      <c r="AR485" s="57" t="n">
        <f aca="false">R468/$W484</f>
        <v>0.994726283135558</v>
      </c>
    </row>
    <row r="486" s="3" customFormat="true" ht="11.25" hidden="false" customHeight="false" outlineLevel="0" collapsed="false">
      <c r="S486" s="29"/>
      <c r="T486" s="13"/>
      <c r="U486" s="37" t="str">
        <f aca="false">AA487</f>
        <v> Biocapacidade não utilizada (0 - 2500 Mgha), Sua previsão</v>
      </c>
      <c r="W486" s="93" t="n">
        <f aca="false">W481</f>
        <v>2500</v>
      </c>
      <c r="AA486" s="152" t="str">
        <f aca="false">CONCATENATE(A460," (0 - ",W485," % / yr), Your forecast")</f>
        <v> Taxa de variação do NEFPP (0 - 2 % / ano), Sua previsão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57" t="n">
        <f aca="false">K469/$W485</f>
        <v>-0.25</v>
      </c>
      <c r="AL486" s="57" t="n">
        <f aca="false">L469/$W485</f>
        <v>-0.2205</v>
      </c>
      <c r="AM486" s="57" t="n">
        <f aca="false">M469/$W485</f>
        <v>-0.196000000000001</v>
      </c>
      <c r="AN486" s="57" t="n">
        <f aca="false">N469/$W485</f>
        <v>-0.171499999999999</v>
      </c>
      <c r="AO486" s="57" t="n">
        <f aca="false">O469/$W485</f>
        <v>-0.147000000000001</v>
      </c>
      <c r="AP486" s="57" t="n">
        <f aca="false">P469/$W485</f>
        <v>-0.1225</v>
      </c>
      <c r="AQ486" s="57" t="n">
        <f aca="false">Q469/$W485</f>
        <v>-0.0979999999999991</v>
      </c>
      <c r="AR486" s="57" t="n">
        <f aca="false">R469/$W485</f>
        <v>-0.0734999999999991</v>
      </c>
    </row>
    <row r="487" s="3" customFormat="true" ht="11.25" hidden="false" customHeight="false" outlineLevel="0" collapsed="false">
      <c r="S487" s="29"/>
      <c r="T487" s="13"/>
      <c r="U487" s="37" t="str">
        <f aca="false">AA488</f>
        <v> Biocapacidade não utilizada por pessoa (0 - 1 gha/pessoa), Sua previsão</v>
      </c>
      <c r="W487" s="4" t="n">
        <v>1</v>
      </c>
      <c r="AA487" s="152" t="str">
        <f aca="false">CONCATENATE(A461," (0 - ",W486," Mgha), Your forecast")</f>
        <v>Biocapacidade não utilizada (0 - 2500 Mgha), Sua previsão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57" t="n">
        <f aca="false">K470/$W486</f>
        <v>0.149196312862677</v>
      </c>
      <c r="AL487" s="57" t="n">
        <f aca="false">L470/$W486</f>
        <v>0.140550659105305</v>
      </c>
      <c r="AM487" s="57" t="n">
        <f aca="false">M470/$W486</f>
        <v>0.150236355066674</v>
      </c>
      <c r="AN487" s="57" t="n">
        <f aca="false">N470/$W486</f>
        <v>0.160645768240114</v>
      </c>
      <c r="AO487" s="57" t="n">
        <f aca="false">O470/$W486</f>
        <v>0.170748703378939</v>
      </c>
      <c r="AP487" s="57" t="n">
        <f aca="false">P470/$W486</f>
        <v>0.180970369959661</v>
      </c>
      <c r="AQ487" s="57" t="n">
        <f aca="false">Q470/$W486</f>
        <v>0.183960515084144</v>
      </c>
      <c r="AR487" s="57" t="n">
        <f aca="false">R470/$W486</f>
        <v>0.156502005565757</v>
      </c>
    </row>
    <row r="488" s="3" customFormat="true" ht="11.25" hidden="false" customHeight="false" outlineLevel="0" collapsed="false">
      <c r="S488" s="29"/>
      <c r="T488" s="13"/>
      <c r="AA488" s="152" t="str">
        <f aca="false">CONCATENATE(A462," (0 - ",W487," gha / person), Your forecast")</f>
        <v> Biocapacidade não utilizada por pessoa (0 - 1 gha/pessoa), Sua previsão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57" t="n">
        <f aca="false">K471/$W487</f>
        <v>0.502850373934658</v>
      </c>
      <c r="AL488" s="57" t="n">
        <f aca="false">L471/$W487</f>
        <v>0.474330298380679</v>
      </c>
      <c r="AM488" s="57" t="n">
        <f aca="false">M471/$W487</f>
        <v>0.511085859987408</v>
      </c>
      <c r="AN488" s="57" t="n">
        <f aca="false">N471/$W487</f>
        <v>0.553360430875653</v>
      </c>
      <c r="AO488" s="57" t="n">
        <f aca="false">O471/$W487</f>
        <v>0.597265121287762</v>
      </c>
      <c r="AP488" s="57" t="n">
        <f aca="false">P471/$W487</f>
        <v>0.645156584865017</v>
      </c>
      <c r="AQ488" s="57" t="n">
        <f aca="false">Q471/$W487</f>
        <v>0.67147035142687</v>
      </c>
      <c r="AR488" s="57" t="n">
        <f aca="false">R471/$W487</f>
        <v>0.588016045144886</v>
      </c>
    </row>
    <row r="489" customFormat="false" ht="11.25" hidden="false" customHeight="false" outlineLevel="0" collapsed="false">
      <c r="S489" s="29"/>
      <c r="T489" s="13"/>
    </row>
    <row r="490" customFormat="false" ht="11.25" hidden="false" customHeight="false" outlineLevel="0" collapsed="false">
      <c r="S490" s="29"/>
      <c r="T490" s="13"/>
    </row>
    <row r="491" customFormat="false" ht="11.25" hidden="false" customHeight="false" outlineLevel="0" collapsed="false">
      <c r="T491" s="13"/>
    </row>
    <row r="492" customFormat="false" ht="11.25" hidden="false" customHeight="false" outlineLevel="0" collapsed="false">
      <c r="T492" s="13"/>
    </row>
    <row r="493" customFormat="false" ht="11.25" hidden="false" customHeight="false" outlineLevel="0" collapsed="false">
      <c r="T493" s="13"/>
    </row>
    <row r="494" customFormat="false" ht="11.25" hidden="false" customHeight="false" outlineLevel="0" collapsed="false">
      <c r="T494" s="13"/>
    </row>
    <row r="495" customFormat="false" ht="11.25" hidden="false" customHeight="false" outlineLevel="0" collapsed="false">
      <c r="T495" s="13"/>
    </row>
    <row r="496" customFormat="false" ht="11.25" hidden="false" customHeight="false" outlineLevel="0" collapsed="false">
      <c r="T496" s="13"/>
    </row>
    <row r="497" customFormat="false" ht="11.25" hidden="false" customHeight="false" outlineLevel="0" collapsed="false">
      <c r="T497" s="13"/>
    </row>
    <row r="498" customFormat="false" ht="11.25" hidden="false" customHeight="false" outlineLevel="0" collapsed="false">
      <c r="T498" s="13"/>
    </row>
    <row r="499" customFormat="false" ht="11.25" hidden="false" customHeight="false" outlineLevel="0" collapsed="false">
      <c r="T499" s="13"/>
    </row>
    <row r="500" customFormat="false" ht="11.25" hidden="false" customHeight="false" outlineLevel="0" collapsed="false">
      <c r="T500" s="13"/>
    </row>
    <row r="501" s="35" customFormat="true" ht="13.8" hidden="false" customHeight="false" outlineLevel="0" collapsed="false">
      <c r="A501" s="61" t="s">
        <v>155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3"/>
      <c r="U501" s="3"/>
      <c r="V501" s="3"/>
      <c r="W501" s="3"/>
      <c r="X501" s="15" t="s">
        <v>33</v>
      </c>
      <c r="Y501" s="3"/>
    </row>
    <row r="502" customFormat="false" ht="12.65" hidden="false" customHeight="false" outlineLevel="0" collapsed="false">
      <c r="A502" s="23" t="str">
        <f aca="false">CONCATENATE(A501,". State of Affairs - ",A5," 1970 to 2050")</f>
        <v> Gráfico 13. Situação Atual - EUA (excluindo a OCDE) de 1970 a 2050</v>
      </c>
      <c r="T502" s="13"/>
      <c r="V502" s="3" t="s">
        <v>35</v>
      </c>
      <c r="AA502" s="52" t="s">
        <v>36</v>
      </c>
    </row>
    <row r="503" customFormat="false" ht="28.3" hidden="false" customHeight="false" outlineLevel="0" collapsed="false">
      <c r="T503" s="13"/>
      <c r="U503" s="55" t="s">
        <v>37</v>
      </c>
      <c r="V503" s="54" t="s">
        <v>38</v>
      </c>
      <c r="W503" s="54" t="s">
        <v>39</v>
      </c>
      <c r="X503" s="55"/>
      <c r="Y503" s="55"/>
      <c r="AB503" s="24" t="n">
        <v>1970</v>
      </c>
      <c r="AC503" s="24" t="n">
        <v>1975</v>
      </c>
      <c r="AD503" s="24" t="n">
        <v>1980</v>
      </c>
      <c r="AE503" s="24" t="n">
        <v>1985</v>
      </c>
      <c r="AF503" s="24" t="n">
        <v>1990</v>
      </c>
      <c r="AG503" s="24" t="n">
        <v>1995</v>
      </c>
      <c r="AH503" s="24" t="n">
        <v>2000</v>
      </c>
      <c r="AI503" s="24" t="n">
        <v>2005</v>
      </c>
      <c r="AJ503" s="24" t="n">
        <v>2010</v>
      </c>
      <c r="AK503" s="24" t="n">
        <v>2015</v>
      </c>
      <c r="AL503" s="24" t="n">
        <v>2020</v>
      </c>
      <c r="AM503" s="24" t="n">
        <v>2025</v>
      </c>
      <c r="AN503" s="24" t="n">
        <v>2030</v>
      </c>
      <c r="AO503" s="24" t="n">
        <v>2035</v>
      </c>
      <c r="AP503" s="24" t="n">
        <v>2040</v>
      </c>
      <c r="AQ503" s="24" t="n">
        <v>2045</v>
      </c>
      <c r="AR503" s="24" t="n">
        <v>2050</v>
      </c>
    </row>
    <row r="504" customFormat="false" ht="11.25" hidden="false" customHeight="false" outlineLevel="0" collapsed="false">
      <c r="T504" s="13"/>
      <c r="U504" s="15" t="str">
        <f aca="false">AA504</f>
        <v> População (0 - 0,8G pessoas)</v>
      </c>
      <c r="V504" s="25" t="n">
        <v>800</v>
      </c>
      <c r="W504" s="70" t="n">
        <f aca="false">W509</f>
        <v>800</v>
      </c>
      <c r="AA504" s="29" t="str">
        <f aca="false">CONCATENATE("Population (0 - ",W504/1000,"G persons)")</f>
        <v> População (0 - 0,8G pessoas)</v>
      </c>
      <c r="AB504" s="57" t="n">
        <f aca="false">B9/$W$504</f>
        <v>0.74421778375</v>
      </c>
      <c r="AC504" s="57" t="n">
        <f aca="false">C9/$W$504</f>
        <v>0.77689555875</v>
      </c>
      <c r="AD504" s="57" t="n">
        <f aca="false">D9/$W$504</f>
        <v>0.8014862925</v>
      </c>
      <c r="AE504" s="57" t="n">
        <f aca="false">E9/$W$504</f>
        <v>0.82225975625</v>
      </c>
      <c r="AF504" s="57" t="n">
        <f aca="false">F9/$W$504</f>
        <v>0.8421527925</v>
      </c>
      <c r="AG504" s="57" t="n">
        <f aca="false">G9/$W$504</f>
        <v>0.86379573375</v>
      </c>
      <c r="AH504" s="57" t="n">
        <f aca="false">H9/$W$504</f>
        <v>0.878517055</v>
      </c>
      <c r="AI504" s="57" t="n">
        <f aca="false">I9/$W$504</f>
        <v>0.89941143125</v>
      </c>
      <c r="AJ504" s="57" t="n">
        <f aca="false">J9/$W$504</f>
        <v>0.92142139</v>
      </c>
      <c r="AK504" s="57" t="n">
        <f aca="false">K9/$W$504</f>
        <v>0.927191271725</v>
      </c>
      <c r="AL504" s="57" t="n">
        <f aca="false">L9/$W$504</f>
        <v>0.925956226744131</v>
      </c>
      <c r="AM504" s="57" t="n">
        <f aca="false">M9/$W$504</f>
        <v>0.918435128024111</v>
      </c>
      <c r="AN504" s="57" t="n">
        <f aca="false">N9/$W$504</f>
        <v>0.906811842111768</v>
      </c>
      <c r="AO504" s="57" t="n">
        <f aca="false">O9/$W$504</f>
        <v>0.892707206341136</v>
      </c>
      <c r="AP504" s="57" t="n">
        <f aca="false">P9/$W$504</f>
        <v>0.875570565423017</v>
      </c>
      <c r="AQ504" s="57" t="n">
        <f aca="false">Q9/$W$504</f>
        <v>0.854741871159056</v>
      </c>
      <c r="AR504" s="57" t="n">
        <f aca="false">R9/$W$504</f>
        <v>0.829865364506145</v>
      </c>
    </row>
    <row r="505" customFormat="false" ht="11.25" hidden="false" customHeight="false" outlineLevel="0" collapsed="false">
      <c r="T505" s="13"/>
      <c r="U505" s="15" t="str">
        <f aca="false">AA505</f>
        <v> PIB (0 - 30 trilhões de dólares por ano)</v>
      </c>
      <c r="V505" s="25" t="n">
        <v>30</v>
      </c>
      <c r="W505" s="70" t="n">
        <f aca="false">W510</f>
        <v>30</v>
      </c>
      <c r="AA505" s="29" t="str">
        <f aca="false">CONCATENATE("GDP (0 - ",W505," T$ per yr)")</f>
        <v> PIB (0 - 30 trilhões de dólares por ano)</v>
      </c>
      <c r="AB505" s="57" t="n">
        <f aca="false">B96/$W505</f>
        <v>0.268671745671424</v>
      </c>
      <c r="AC505" s="57" t="n">
        <f aca="false">C96/$W505</f>
        <v>0.321472370537086</v>
      </c>
      <c r="AD505" s="57" t="n">
        <f aca="false">D96/$W505</f>
        <v>0.381884086805278</v>
      </c>
      <c r="AE505" s="57" t="n">
        <f aca="false">E96/$W505</f>
        <v>0.420556070270866</v>
      </c>
      <c r="AF505" s="57" t="n">
        <f aca="false">F96/$W505</f>
        <v>0.515085987945385</v>
      </c>
      <c r="AG505" s="57" t="n">
        <f aca="false">G96/$W505</f>
        <v>0.565234324711332</v>
      </c>
      <c r="AH505" s="57" t="n">
        <f aca="false">H96/$W505</f>
        <v>0.645925266104747</v>
      </c>
      <c r="AI505" s="57" t="n">
        <f aca="false">I96/$W505</f>
        <v>0.714847646288005</v>
      </c>
      <c r="AJ505" s="57" t="n">
        <f aca="false">J96/$W505</f>
        <v>0.734038082185543</v>
      </c>
      <c r="AK505" s="57" t="n">
        <f aca="false">K96/$W505</f>
        <v>0.778803617142477</v>
      </c>
      <c r="AL505" s="57" t="n">
        <f aca="false">L96/$W505</f>
        <v>0.816942323172263</v>
      </c>
      <c r="AM505" s="57" t="n">
        <f aca="false">M96/$W505</f>
        <v>0.848745681776886</v>
      </c>
      <c r="AN505" s="57" t="n">
        <f aca="false">N96/$W505</f>
        <v>0.859028479471921</v>
      </c>
      <c r="AO505" s="57" t="n">
        <f aca="false">O96/$W505</f>
        <v>0.853943896222242</v>
      </c>
      <c r="AP505" s="57" t="n">
        <f aca="false">P96/$W505</f>
        <v>0.837571515270781</v>
      </c>
      <c r="AQ505" s="57" t="n">
        <f aca="false">Q96/$W505</f>
        <v>0.818128145335466</v>
      </c>
      <c r="AR505" s="57" t="n">
        <f aca="false">R96/$W505</f>
        <v>0.793755649645277</v>
      </c>
    </row>
    <row r="506" customFormat="false" ht="11.25" hidden="false" customHeight="false" outlineLevel="0" collapsed="false">
      <c r="S506" s="36"/>
      <c r="T506" s="13"/>
      <c r="U506" s="15" t="str">
        <f aca="false">AA506</f>
        <v> Temperatura (0 - 3 graus Celsius acima do nível pré-industrial)</v>
      </c>
      <c r="V506" s="25" t="n">
        <v>3</v>
      </c>
      <c r="W506" s="70" t="n">
        <v>3</v>
      </c>
      <c r="AA506" s="29" t="str">
        <f aca="false">CONCATENATE("Temperature (0 - ",W506," deg C above preindustrial level)")</f>
        <v> Temperatura (0 - 3 graus Celsius acima do nível pré-industrial)</v>
      </c>
      <c r="AB506" s="57" t="n">
        <f aca="false"> SumWorld!B396/$V506</f>
        <v>0.153451363139682</v>
      </c>
      <c r="AC506" s="57" t="n">
        <f aca="false"> SumWorld!C396/$V506</f>
        <v>0.121451363139682</v>
      </c>
      <c r="AD506" s="57" t="n">
        <f aca="false"> SumWorld!D396/$V506</f>
        <v>0.198118029806349</v>
      </c>
      <c r="AE506" s="57" t="n">
        <f aca="false"> SumWorld!E396/$V506</f>
        <v>0.176784696473016</v>
      </c>
      <c r="AF506" s="57" t="n">
        <f aca="false"> SumWorld!F396/$V506</f>
        <v>0.231784696473016</v>
      </c>
      <c r="AG506" s="57" t="n">
        <f aca="false"> SumWorld!G396/$V506</f>
        <v>0.235784696473016</v>
      </c>
      <c r="AH506" s="57" t="n">
        <f aca="false"> SumWorld!H396/$V506</f>
        <v>0.237157742182414</v>
      </c>
      <c r="AI506" s="57" t="n">
        <f aca="false"> SumWorld!I396/$V506</f>
        <v>0.291885077953339</v>
      </c>
      <c r="AJ506" s="57" t="n">
        <f aca="false"> SumWorld!J396/$V506</f>
        <v>0.323311269283295</v>
      </c>
      <c r="AK506" s="57" t="n">
        <f aca="false"> SumWorld!K396/$V506</f>
        <v>0.363716165224711</v>
      </c>
      <c r="AL506" s="57" t="n">
        <f aca="false"> SumWorld!L396/$V506</f>
        <v>0.407845457394918</v>
      </c>
      <c r="AM506" s="57" t="n">
        <f aca="false"> SumWorld!M396/$V506</f>
        <v>0.451553185780843</v>
      </c>
      <c r="AN506" s="57" t="n">
        <f aca="false"> SumWorld!N396/$V506</f>
        <v>0.494161645571391</v>
      </c>
      <c r="AO506" s="57" t="n">
        <f aca="false"> SumWorld!O396/$V506</f>
        <v>0.537767728169759</v>
      </c>
      <c r="AP506" s="57" t="n">
        <f aca="false"> SumWorld!P396/$V506</f>
        <v>0.581482330958049</v>
      </c>
      <c r="AQ506" s="57" t="n">
        <f aca="false"> SumWorld!Q396/$V506</f>
        <v>0.62560510635376</v>
      </c>
      <c r="AR506" s="57" t="n">
        <f aca="false"> SumWorld!R396/$V506</f>
        <v>0.669907410939535</v>
      </c>
    </row>
    <row r="507" customFormat="false" ht="11.25" hidden="false" customHeight="false" outlineLevel="0" collapsed="false">
      <c r="T507" s="13"/>
      <c r="U507" s="15" t="str">
        <f aca="false">AA507</f>
        <v> Emissões de CO2 (0 - 7 GtCO2 por ano)</v>
      </c>
      <c r="V507" s="25" t="n">
        <v>7000</v>
      </c>
      <c r="W507" s="70" t="n">
        <f aca="false">W511</f>
        <v>7000</v>
      </c>
      <c r="AA507" s="29" t="str">
        <f aca="false">CONCATENATE("CO2 Emissions (0 - ",W507/1000," GtCO2 per yr)")</f>
        <v> Emissões de CO2 (0 - 7 GtCO2 por ano)</v>
      </c>
      <c r="AB507" s="57" t="n">
        <f aca="false">B357/$W507</f>
        <v>0.742240714285714</v>
      </c>
      <c r="AC507" s="57" t="n">
        <f aca="false">C357/$W507</f>
        <v>0.803020428571429</v>
      </c>
      <c r="AD507" s="57" t="n">
        <f aca="false">D357/$W507</f>
        <v>0.893781428571429</v>
      </c>
      <c r="AE507" s="57" t="n">
        <f aca="false">E357/$W507</f>
        <v>0.853724666666667</v>
      </c>
      <c r="AF507" s="57" t="n">
        <f aca="false">F357/$W507</f>
        <v>0.895548761904762</v>
      </c>
      <c r="AG507" s="57" t="n">
        <f aca="false">G357/$W507</f>
        <v>0.925352476190476</v>
      </c>
      <c r="AH507" s="57" t="n">
        <f aca="false">H357/$W507</f>
        <v>0.942977095238095</v>
      </c>
      <c r="AI507" s="57" t="n">
        <f aca="false">I357/$W507</f>
        <v>0.97795080952381</v>
      </c>
      <c r="AJ507" s="57" t="n">
        <f aca="false">J357/$W507</f>
        <v>0.969645285714286</v>
      </c>
      <c r="AK507" s="57" t="n">
        <f aca="false">K357/$W507</f>
        <v>0.954112010595333</v>
      </c>
      <c r="AL507" s="57" t="n">
        <f aca="false">L357/$W507</f>
        <v>0.910707927620665</v>
      </c>
      <c r="AM507" s="57" t="n">
        <f aca="false">M357/$W507</f>
        <v>0.866511192149718</v>
      </c>
      <c r="AN507" s="57" t="n">
        <f aca="false">N357/$W507</f>
        <v>0.794452206929518</v>
      </c>
      <c r="AO507" s="57" t="n">
        <f aca="false">O357/$W507</f>
        <v>0.714580186753862</v>
      </c>
      <c r="AP507" s="57" t="n">
        <f aca="false">P357/$W507</f>
        <v>0.619832630153617</v>
      </c>
      <c r="AQ507" s="57" t="n">
        <f aca="false">Q357/$W507</f>
        <v>0.524703473059106</v>
      </c>
      <c r="AR507" s="57" t="n">
        <f aca="false">R357/$W507</f>
        <v>0.428831842834387</v>
      </c>
    </row>
    <row r="508" customFormat="false" ht="11.25" hidden="false" customHeight="false" outlineLevel="0" collapsed="false">
      <c r="T508" s="13"/>
      <c r="U508" s="15" t="str">
        <f aca="false">AA508</f>
        <v> Consumo (0 - 30 trilhões de dólares por ano)</v>
      </c>
      <c r="V508" s="25" t="n">
        <f aca="false">V505</f>
        <v>30</v>
      </c>
      <c r="W508" s="70" t="n">
        <f aca="false">W512</f>
        <v>30</v>
      </c>
      <c r="AA508" s="29" t="str">
        <f aca="false">CONCATENATE("Consumption (0 - ",W508," T$ per yr)")</f>
        <v> Consumo (0 - 30 trilhões de dólares por ano)</v>
      </c>
      <c r="AB508" s="57" t="n">
        <f aca="false">B136/$W508</f>
        <v>0.199402249648116</v>
      </c>
      <c r="AC508" s="57" t="n">
        <f aca="false">C136/$W508</f>
        <v>0.248840682693402</v>
      </c>
      <c r="AD508" s="57" t="n">
        <f aca="false">D136/$W508</f>
        <v>0.294798779396855</v>
      </c>
      <c r="AE508" s="57" t="n">
        <f aca="false">E136/$W508</f>
        <v>0.331675072290774</v>
      </c>
      <c r="AF508" s="57" t="n">
        <f aca="false">F136/$W508</f>
        <v>0.388555632000824</v>
      </c>
      <c r="AG508" s="57" t="n">
        <f aca="false">G136/$W508</f>
        <v>0.432939326072491</v>
      </c>
      <c r="AH508" s="57" t="n">
        <f aca="false">H136/$W508</f>
        <v>0.492030075352317</v>
      </c>
      <c r="AI508" s="57" t="n">
        <f aca="false">I136/$W508</f>
        <v>0.547804033804208</v>
      </c>
      <c r="AJ508" s="57" t="n">
        <f aca="false">J136/$W508</f>
        <v>0.579476168360083</v>
      </c>
      <c r="AK508" s="57" t="n">
        <f aca="false">K136/$W508</f>
        <v>0.607137451825799</v>
      </c>
      <c r="AL508" s="57" t="n">
        <f aca="false">L136/$W508</f>
        <v>0.617247154229079</v>
      </c>
      <c r="AM508" s="57" t="n">
        <f aca="false">M136/$W508</f>
        <v>0.625880647866466</v>
      </c>
      <c r="AN508" s="57" t="n">
        <f aca="false">N136/$W508</f>
        <v>0.618770041943199</v>
      </c>
      <c r="AO508" s="57" t="n">
        <f aca="false">O136/$W508</f>
        <v>0.601163972969553</v>
      </c>
      <c r="AP508" s="57" t="n">
        <f aca="false">P136/$W508</f>
        <v>0.576449378081645</v>
      </c>
      <c r="AQ508" s="57" t="n">
        <f aca="false">Q136/$W508</f>
        <v>0.545633587429806</v>
      </c>
      <c r="AR508" s="57" t="n">
        <f aca="false">R136/$W508</f>
        <v>0.510342761921501</v>
      </c>
    </row>
    <row r="509" customFormat="false" ht="11.25" hidden="false" customHeight="false" outlineLevel="0" collapsed="false">
      <c r="T509" s="13"/>
      <c r="U509" s="37" t="str">
        <f aca="false">AA510</f>
        <v> População (0 - 0,8 mil pessoas), Sua previsão</v>
      </c>
      <c r="W509" s="4" t="n">
        <v>800</v>
      </c>
      <c r="AB509" s="24" t="n">
        <v>1970</v>
      </c>
      <c r="AC509" s="24" t="n">
        <v>1975</v>
      </c>
      <c r="AD509" s="24" t="n">
        <v>1980</v>
      </c>
      <c r="AE509" s="24" t="n">
        <v>1985</v>
      </c>
      <c r="AF509" s="24" t="n">
        <v>1990</v>
      </c>
      <c r="AG509" s="24" t="n">
        <v>1995</v>
      </c>
      <c r="AH509" s="24" t="n">
        <v>2000</v>
      </c>
      <c r="AI509" s="24" t="n">
        <v>2005</v>
      </c>
      <c r="AJ509" s="24" t="n">
        <v>2010</v>
      </c>
      <c r="AK509" s="24" t="n">
        <v>2015</v>
      </c>
      <c r="AL509" s="24" t="n">
        <v>2020</v>
      </c>
      <c r="AM509" s="24" t="n">
        <v>2025</v>
      </c>
      <c r="AN509" s="24" t="n">
        <v>2030</v>
      </c>
      <c r="AO509" s="24" t="n">
        <v>2035</v>
      </c>
      <c r="AP509" s="24" t="n">
        <v>2040</v>
      </c>
      <c r="AQ509" s="24" t="n">
        <v>2045</v>
      </c>
      <c r="AR509" s="24" t="n">
        <v>2050</v>
      </c>
    </row>
    <row r="510" customFormat="false" ht="11.25" hidden="false" customHeight="false" outlineLevel="0" collapsed="false">
      <c r="T510" s="13"/>
      <c r="U510" s="37" t="str">
        <f aca="false">AA511</f>
        <v> PIB (0 - 30 trilhões de dólares por ano), sua previsão</v>
      </c>
      <c r="W510" s="4" t="n">
        <v>30</v>
      </c>
      <c r="AA510" s="29" t="str">
        <f aca="false">CONCATENATE("Population (0 - ",W509/1000,"G persons), Your forecast")</f>
        <v> População (0 - 0,8 mil pessoas), Sua previsão</v>
      </c>
      <c r="AB510" s="29"/>
      <c r="AC510" s="29"/>
      <c r="AD510" s="29"/>
      <c r="AE510" s="29"/>
      <c r="AF510" s="29"/>
      <c r="AG510" s="29"/>
      <c r="AH510" s="29"/>
      <c r="AI510" s="29"/>
      <c r="AJ510" s="29"/>
      <c r="AK510" s="57" t="n">
        <f aca="false">K17/$W$504</f>
        <v>0.927191271725</v>
      </c>
      <c r="AL510" s="57" t="n">
        <f aca="false">L17/$W$504</f>
        <v>0.925980927643749</v>
      </c>
      <c r="AM510" s="57" t="n">
        <f aca="false">M17/$W$504</f>
        <v>0.918610054277229</v>
      </c>
      <c r="AN510" s="57" t="n">
        <f aca="false">N17/$W$504</f>
        <v>0.907217064573893</v>
      </c>
      <c r="AO510" s="57" t="n">
        <f aca="false">O17/$W$504</f>
        <v>0.89338834470815</v>
      </c>
      <c r="AP510" s="57" t="n">
        <f aca="false">P17/$W$504</f>
        <v>0.87658162280443</v>
      </c>
      <c r="AQ510" s="57" t="n">
        <f aca="false">Q17/$W$504</f>
        <v>0.856145931709927</v>
      </c>
      <c r="AR510" s="57" t="n">
        <f aca="false">R17/$W$504</f>
        <v>0.831726908527616</v>
      </c>
    </row>
    <row r="511" customFormat="false" ht="11.25" hidden="false" customHeight="false" outlineLevel="0" collapsed="false">
      <c r="T511" s="13"/>
      <c r="U511" s="37" t="str">
        <f aca="false">AA512</f>
        <v> Emissões de CO2 (0 - 7000 T$ por ano), sua previsão</v>
      </c>
      <c r="W511" s="4" t="n">
        <v>7000</v>
      </c>
      <c r="AA511" s="29" t="str">
        <f aca="false">CONCATENATE("GDP (0 - ",W510," T$ per yr), Your forecast")</f>
        <v> PIB (0 - 30 trilhões de dólares por ano), sua previsão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57" t="n">
        <f aca="false">K104/$W510</f>
        <v>0.778803617142477</v>
      </c>
      <c r="AL511" s="57" t="n">
        <f aca="false">L104/$W510</f>
        <v>0.79824876060085</v>
      </c>
      <c r="AM511" s="57" t="n">
        <f aca="false">M104/$W510</f>
        <v>0.827162637505751</v>
      </c>
      <c r="AN511" s="57" t="n">
        <f aca="false">N104/$W510</f>
        <v>0.835285800652519</v>
      </c>
      <c r="AO511" s="57" t="n">
        <f aca="false">O104/$W510</f>
        <v>0.828744939086116</v>
      </c>
      <c r="AP511" s="57" t="n">
        <f aca="false">P104/$W510</f>
        <v>0.811576376490617</v>
      </c>
      <c r="AQ511" s="57" t="n">
        <f aca="false">Q104/$W510</f>
        <v>0.791769705457451</v>
      </c>
      <c r="AR511" s="57" t="n">
        <f aca="false">R104/$W510</f>
        <v>0.76752184330283</v>
      </c>
    </row>
    <row r="512" customFormat="false" ht="11.25" hidden="false" customHeight="false" outlineLevel="0" collapsed="false">
      <c r="T512" s="13"/>
      <c r="U512" s="37" t="str">
        <f aca="false">AA513</f>
        <v> Consumo (0 - 30 trilhões de dólares por ano), Sua previsão</v>
      </c>
      <c r="W512" s="93" t="n">
        <f aca="false">W510</f>
        <v>30</v>
      </c>
      <c r="AA512" s="29" t="str">
        <f aca="false">CONCATENATE("CO2 Emissions (0 - ",W511," T$ per yr), Your forecast")</f>
        <v> Emissões de CO2 (0 - 7000 T$ por ano), sua previsão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57" t="n">
        <f aca="false">K368/$W511</f>
        <v>0.954112010595333</v>
      </c>
      <c r="AL512" s="57" t="n">
        <f aca="false">L368/$W511</f>
        <v>0.905723253291735</v>
      </c>
      <c r="AM512" s="57" t="n">
        <f aca="false">M368/$W511</f>
        <v>0.86158754849355</v>
      </c>
      <c r="AN512" s="57" t="n">
        <f aca="false">N368/$W511</f>
        <v>0.790415782234003</v>
      </c>
      <c r="AO512" s="57" t="n">
        <f aca="false">O368/$W511</f>
        <v>0.71171943471416</v>
      </c>
      <c r="AP512" s="57" t="n">
        <f aca="false">P368/$W511</f>
        <v>0.618909143437671</v>
      </c>
      <c r="AQ512" s="57" t="n">
        <f aca="false">Q368/$W511</f>
        <v>0.526049670237711</v>
      </c>
      <c r="AR512" s="57" t="n">
        <f aca="false">R368/$W511</f>
        <v>0.43265210059836</v>
      </c>
    </row>
    <row r="513" customFormat="false" ht="11.25" hidden="false" customHeight="false" outlineLevel="0" collapsed="false">
      <c r="T513" s="13"/>
      <c r="AA513" s="29" t="str">
        <f aca="false">CONCATENATE("Consumption (0 - ",W512," T$ per yr), Your forecast")</f>
        <v> Consumo (0 - 30 trilhões de dólares por ano), Sua previsão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57" t="n">
        <f aca="false">K147/$W512</f>
        <v>0.607137451825799</v>
      </c>
      <c r="AL513" s="57" t="n">
        <f aca="false">L147/$W512</f>
        <v>0.603458351473524</v>
      </c>
      <c r="AM513" s="57" t="n">
        <f aca="false">M147/$W512</f>
        <v>0.610543928624018</v>
      </c>
      <c r="AN513" s="57" t="n">
        <f aca="false">N147/$W512</f>
        <v>0.602486443555297</v>
      </c>
      <c r="AO513" s="57" t="n">
        <f aca="false">O147/$W512</f>
        <v>0.584468495514804</v>
      </c>
      <c r="AP513" s="57" t="n">
        <f aca="false">P147/$W512</f>
        <v>0.559808337507186</v>
      </c>
      <c r="AQ513" s="57" t="n">
        <f aca="false">Q147/$W512</f>
        <v>0.529590406214186</v>
      </c>
      <c r="AR513" s="57" t="n">
        <f aca="false">R147/$W512</f>
        <v>0.495317868969353</v>
      </c>
    </row>
    <row r="514" customFormat="false" ht="11.25" hidden="false" customHeight="false" outlineLevel="0" collapsed="false">
      <c r="T514" s="13"/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customFormat="false" ht="11.25" hidden="false" customHeight="false" outlineLevel="0" collapsed="false">
      <c r="T523" s="13"/>
    </row>
    <row r="524" customFormat="false" ht="11.25" hidden="false" customHeight="false" outlineLevel="0" collapsed="false">
      <c r="T524" s="13"/>
    </row>
    <row r="525" customFormat="false" ht="11.25" hidden="false" customHeight="false" outlineLevel="0" collapsed="false">
      <c r="T525" s="13"/>
    </row>
    <row r="526" customFormat="false" ht="11.25" hidden="false" customHeight="false" outlineLevel="0" collapsed="false">
      <c r="T526" s="13"/>
    </row>
    <row r="527" customFormat="false" ht="11.25" hidden="false" customHeight="false" outlineLevel="0" collapsed="false">
      <c r="T527" s="13"/>
    </row>
    <row r="528" customFormat="false" ht="11.25" hidden="false" customHeight="false" outlineLevel="0" collapsed="false">
      <c r="T528" s="13"/>
      <c r="X528" s="15" t="s">
        <v>33</v>
      </c>
    </row>
    <row r="529" customFormat="false" ht="12.65" hidden="false" customHeight="false" outlineLevel="0" collapsed="false">
      <c r="A529" s="61" t="s">
        <v>156</v>
      </c>
      <c r="T529" s="13"/>
      <c r="V529" s="3" t="s">
        <v>35</v>
      </c>
    </row>
    <row r="530" customFormat="false" ht="28.3" hidden="false" customHeight="false" outlineLevel="0" collapsed="false">
      <c r="A530" s="23" t="str">
        <f aca="false">CONCATENATE(A529,". Production - ",A5," 1970 to 2050")</f>
        <v>Gráfico 14. Produção - OCDE (excluindo EUA) de 1970 a 2050</v>
      </c>
      <c r="T530" s="13"/>
      <c r="U530" s="55" t="s">
        <v>37</v>
      </c>
      <c r="V530" s="54" t="s">
        <v>38</v>
      </c>
      <c r="W530" s="54" t="s">
        <v>39</v>
      </c>
      <c r="X530" s="55"/>
      <c r="Y530" s="55"/>
      <c r="AA530" s="52" t="s">
        <v>36</v>
      </c>
    </row>
    <row r="531" customFormat="false" ht="11.25" hidden="false" customHeight="false" outlineLevel="0" collapsed="false">
      <c r="T531" s="13"/>
      <c r="U531" s="15" t="str">
        <f aca="false">AA532</f>
        <v> Biocapacidade não utilizada (0 - 40%)</v>
      </c>
      <c r="V531" s="25" t="n">
        <v>40</v>
      </c>
      <c r="W531" s="70" t="n">
        <f aca="false">W536</f>
        <v>40</v>
      </c>
      <c r="AB531" s="24" t="n">
        <v>1970</v>
      </c>
      <c r="AC531" s="24" t="n">
        <v>1975</v>
      </c>
      <c r="AD531" s="24" t="n">
        <v>1980</v>
      </c>
      <c r="AE531" s="24" t="n">
        <v>1985</v>
      </c>
      <c r="AF531" s="24" t="n">
        <v>1990</v>
      </c>
      <c r="AG531" s="24" t="n">
        <v>1995</v>
      </c>
      <c r="AH531" s="24" t="n">
        <v>2000</v>
      </c>
      <c r="AI531" s="24" t="n">
        <v>2005</v>
      </c>
      <c r="AJ531" s="24" t="n">
        <v>2010</v>
      </c>
      <c r="AK531" s="24" t="n">
        <v>2015</v>
      </c>
      <c r="AL531" s="24" t="n">
        <v>2020</v>
      </c>
      <c r="AM531" s="24" t="n">
        <v>2025</v>
      </c>
      <c r="AN531" s="24" t="n">
        <v>2030</v>
      </c>
      <c r="AO531" s="24" t="n">
        <v>2035</v>
      </c>
      <c r="AP531" s="24" t="n">
        <v>2040</v>
      </c>
      <c r="AQ531" s="24" t="n">
        <v>2045</v>
      </c>
      <c r="AR531" s="24" t="n">
        <v>2050</v>
      </c>
    </row>
    <row r="532" customFormat="false" ht="11.25" hidden="false" customHeight="false" outlineLevel="0" collapsed="false">
      <c r="T532" s="13"/>
      <c r="U532" s="15" t="str">
        <f aca="false">AA533</f>
        <v> Percentagem do investimento no PIB (0 - 50%)</v>
      </c>
      <c r="V532" s="25" t="n">
        <v>50</v>
      </c>
      <c r="W532" s="70" t="n">
        <f aca="false">W537</f>
        <v>50</v>
      </c>
      <c r="AA532" s="29" t="str">
        <f aca="false">CONCATENATE("Unused bio-capacity (0 - ",W531," %)")</f>
        <v> Biocapacidade não utilizada (0 - 40%)</v>
      </c>
      <c r="AB532" s="57" t="n">
        <f aca="false">(100*B461/B456)/$W531</f>
        <v>0.469041249348626</v>
      </c>
      <c r="AC532" s="57" t="n">
        <f aca="false">(100*C461/C456)/$W531</f>
        <v>0.486757771218401</v>
      </c>
      <c r="AD532" s="57" t="n">
        <f aca="false">(100*D461/D456)/$W531</f>
        <v>0.458326976875594</v>
      </c>
      <c r="AE532" s="57" t="n">
        <f aca="false">(100*E461/E456)/$W531</f>
        <v>0.517191344219313</v>
      </c>
      <c r="AF532" s="57" t="n">
        <f aca="false">(100*F461/F456)/$W531</f>
        <v>0.407431377724251</v>
      </c>
      <c r="AG532" s="57" t="n">
        <f aca="false">(100*G461/G456)/$W531</f>
        <v>0.415645494140846</v>
      </c>
      <c r="AH532" s="57" t="n">
        <f aca="false">(100*H461/H456)/$W531</f>
        <v>0.528329869331862</v>
      </c>
      <c r="AI532" s="57" t="n">
        <f aca="false">(100*I461/I456)/$W531</f>
        <v>0.494564141748536</v>
      </c>
      <c r="AJ532" s="57" t="n">
        <f aca="false">(100*J461/J456)/$W531</f>
        <v>0.470853507558975</v>
      </c>
      <c r="AK532" s="57" t="n">
        <f aca="false">(100*K461/K456)/$W531</f>
        <v>0.46391888327947</v>
      </c>
      <c r="AL532" s="57" t="n">
        <f aca="false">(100*L461/L456)/$W531</f>
        <v>0.492405741078947</v>
      </c>
      <c r="AM532" s="57" t="n">
        <f aca="false">(100*M461/M456)/$W531</f>
        <v>0.528726423136397</v>
      </c>
      <c r="AN532" s="57" t="n">
        <f aca="false">(100*N461/N456)/$W531</f>
        <v>0.56812166865606</v>
      </c>
      <c r="AO532" s="57" t="n">
        <f aca="false">(100*O461/O456)/$W531</f>
        <v>0.60728527096309</v>
      </c>
      <c r="AP532" s="57" t="n">
        <f aca="false">(100*P461/P456)/$W531</f>
        <v>0.647627519001331</v>
      </c>
      <c r="AQ532" s="57" t="n">
        <f aca="false">(100*Q461/Q456)/$W531</f>
        <v>0.671482581551633</v>
      </c>
      <c r="AR532" s="57" t="n">
        <f aca="false">(100*R461/R456)/$W531</f>
        <v>0.617192866940575</v>
      </c>
    </row>
    <row r="533" s="3" customFormat="true" ht="11.25" hidden="false" customHeight="false" outlineLevel="0" collapsed="false">
      <c r="T533" s="13"/>
      <c r="U533" s="15" t="str">
        <f aca="false">AA534</f>
        <v> Consumo de energia (0 - 3,2 Mtoe por ano)</v>
      </c>
      <c r="V533" s="25" t="n">
        <v>3200</v>
      </c>
      <c r="W533" s="70" t="n">
        <f aca="false">W538</f>
        <v>3200</v>
      </c>
      <c r="AA533" s="29" t="str">
        <f aca="false">CONCATENATE("Investment share of GDP (0 - ",W532," %)")</f>
        <v> Percentagem do investimento no PIB (0 - 50%)</v>
      </c>
      <c r="AB533" s="57" t="n">
        <f aca="false">B137/$W532</f>
        <v>0.515644068565523</v>
      </c>
      <c r="AC533" s="57" t="n">
        <f aca="false">C137/$W532</f>
        <v>0.451868928719053</v>
      </c>
      <c r="AD533" s="57" t="n">
        <f aca="false">D137/$W532</f>
        <v>0.45608241043481</v>
      </c>
      <c r="AE533" s="57" t="n">
        <f aca="false">E137/$W532</f>
        <v>0.422683224725998</v>
      </c>
      <c r="AF533" s="57" t="n">
        <f aca="false">F137/$W532</f>
        <v>0.491297992590616</v>
      </c>
      <c r="AG533" s="57" t="n">
        <f aca="false">G137/$W532</f>
        <v>0.468106740355531</v>
      </c>
      <c r="AH533" s="57" t="n">
        <f aca="false">H137/$W532</f>
        <v>0.476510825100543</v>
      </c>
      <c r="AI533" s="57" t="n">
        <f aca="false">I137/$W532</f>
        <v>0.467354444967975</v>
      </c>
      <c r="AJ533" s="57" t="n">
        <f aca="false">J137/$W532</f>
        <v>0.421127779543164</v>
      </c>
      <c r="AK533" s="57" t="n">
        <f aca="false">K137/$W532</f>
        <v>0.440845834657373</v>
      </c>
      <c r="AL533" s="57" t="n">
        <f aca="false">L137/$W532</f>
        <v>0.48888437599303</v>
      </c>
      <c r="AM533" s="57" t="n">
        <f aca="false">M137/$W532</f>
        <v>0.525163281994773</v>
      </c>
      <c r="AN533" s="57" t="n">
        <f aca="false">N137/$W532</f>
        <v>0.559372461496079</v>
      </c>
      <c r="AO533" s="57" t="n">
        <f aca="false">O137/$W532</f>
        <v>0.59202934612206</v>
      </c>
      <c r="AP533" s="57" t="n">
        <f aca="false">P137/$W532</f>
        <v>0.623522009591545</v>
      </c>
      <c r="AQ533" s="57" t="n">
        <f aca="false">Q137/$W532</f>
        <v>0.666141507193658</v>
      </c>
      <c r="AR533" s="57" t="n">
        <f aca="false">R137/$W532</f>
        <v>0.714106130395244</v>
      </c>
    </row>
    <row r="534" s="3" customFormat="true" ht="11.25" hidden="false" customHeight="false" outlineLevel="0" collapsed="false">
      <c r="T534" s="13"/>
      <c r="U534" s="15" t="str">
        <f aca="false">AA535</f>
        <v> Produção de alimentos (0 - 1,2 Gt por ano)</v>
      </c>
      <c r="V534" s="25" t="n">
        <v>1200</v>
      </c>
      <c r="W534" s="70" t="n">
        <f aca="false">W539</f>
        <v>1200</v>
      </c>
      <c r="AA534" s="29" t="str">
        <f aca="false">CONCATENATE("Energy use (0 - ",W533/1000," Mtoe per yr)")</f>
        <v> Consumo de energia (0 - 3,2 Mtoe por ano)</v>
      </c>
      <c r="AB534" s="57" t="n">
        <f aca="false">B250/$W533</f>
        <v>0.558622222798515</v>
      </c>
      <c r="AC534" s="57" t="n">
        <f aca="false">C250/$W533</f>
        <v>0.624016256384834</v>
      </c>
      <c r="AD534" s="57" t="n">
        <f aca="false">D250/$W533</f>
        <v>0.696412749614974</v>
      </c>
      <c r="AE534" s="57" t="n">
        <f aca="false">E250/$W533</f>
        <v>0.714808241531863</v>
      </c>
      <c r="AF534" s="57" t="n">
        <f aca="false">F250/$W533</f>
        <v>0.780570846018903</v>
      </c>
      <c r="AG534" s="57" t="n">
        <f aca="false">G250/$W533</f>
        <v>0.838759578931586</v>
      </c>
      <c r="AH534" s="57" t="n">
        <f aca="false">H250/$W533</f>
        <v>0.904755539928126</v>
      </c>
      <c r="AI534" s="57" t="n">
        <f aca="false">I250/$W533</f>
        <v>0.95600078231888</v>
      </c>
      <c r="AJ534" s="57" t="n">
        <f aca="false">J250/$W533</f>
        <v>0.937593015468589</v>
      </c>
      <c r="AK534" s="57" t="n">
        <f aca="false">K250/$W533</f>
        <v>0.945033789250178</v>
      </c>
      <c r="AL534" s="57" t="n">
        <f aca="false">L250/$W533</f>
        <v>0.941747287967247</v>
      </c>
      <c r="AM534" s="57" t="n">
        <f aca="false">M250/$W533</f>
        <v>0.929488808756226</v>
      </c>
      <c r="AN534" s="57" t="n">
        <f aca="false">N250/$W533</f>
        <v>0.893712340992888</v>
      </c>
      <c r="AO534" s="57" t="n">
        <f aca="false">O250/$W533</f>
        <v>0.844001341010951</v>
      </c>
      <c r="AP534" s="57" t="n">
        <f aca="false">P250/$W533</f>
        <v>0.786428606080557</v>
      </c>
      <c r="AQ534" s="57" t="n">
        <f aca="false">Q250/$W533</f>
        <v>0.729763843374334</v>
      </c>
      <c r="AR534" s="57" t="n">
        <f aca="false">R250/$W533</f>
        <v>0.672622581246518</v>
      </c>
    </row>
    <row r="535" s="3" customFormat="true" ht="11.25" hidden="false" customHeight="false" outlineLevel="0" collapsed="false">
      <c r="T535" s="13"/>
      <c r="U535" s="15" t="str">
        <f aca="false">AA536</f>
        <v> Fração renovável (0 - 50%)</v>
      </c>
      <c r="V535" s="25" t="n">
        <v>50</v>
      </c>
      <c r="W535" s="70" t="n">
        <f aca="false">W540</f>
        <v>50</v>
      </c>
      <c r="AA535" s="29" t="str">
        <f aca="false">CONCATENATE("Food production (0 - ",W534/1000," Gt per year)")</f>
        <v> Produção de alimentos (0 - 1,2 Gt por ano)</v>
      </c>
      <c r="AB535" s="57" t="n">
        <f aca="false">B411/$W534</f>
        <v>0.552579003333333</v>
      </c>
      <c r="AC535" s="57" t="n">
        <f aca="false">C411/$W534</f>
        <v>0.588677164166667</v>
      </c>
      <c r="AD535" s="57" t="n">
        <f aca="false">D411/$W534</f>
        <v>0.6212588325</v>
      </c>
      <c r="AE535" s="57" t="n">
        <f aca="false">E411/$W534</f>
        <v>0.701248935</v>
      </c>
      <c r="AF535" s="57" t="n">
        <f aca="false">F411/$W534</f>
        <v>0.700213220833333</v>
      </c>
      <c r="AG535" s="57" t="n">
        <f aca="false">G411/$W534</f>
        <v>0.665350373333333</v>
      </c>
      <c r="AH535" s="57" t="n">
        <f aca="false">H411/$W534</f>
        <v>0.723357610833333</v>
      </c>
      <c r="AI535" s="57" t="n">
        <f aca="false">I411/$W534</f>
        <v>0.715194251666667</v>
      </c>
      <c r="AJ535" s="57" t="n">
        <f aca="false">J411/$W534</f>
        <v>0.721551256666667</v>
      </c>
      <c r="AK535" s="57" t="n">
        <f aca="false">K411/$W534</f>
        <v>0.750833333333333</v>
      </c>
      <c r="AL535" s="57" t="n">
        <f aca="false">L411/$W534</f>
        <v>0.779166666666667</v>
      </c>
      <c r="AM535" s="57" t="n">
        <f aca="false">M411/$W534</f>
        <v>0.821666666666667</v>
      </c>
      <c r="AN535" s="57" t="n">
        <f aca="false">N411/$W534</f>
        <v>0.864166666666667</v>
      </c>
      <c r="AO535" s="57" t="n">
        <f aca="false">O411/$W534</f>
        <v>0.885416666666667</v>
      </c>
      <c r="AP535" s="57" t="n">
        <f aca="false">P411/$W534</f>
        <v>0.906666666666667</v>
      </c>
      <c r="AQ535" s="57" t="n">
        <f aca="false">Q411/$W534</f>
        <v>0.89375</v>
      </c>
      <c r="AR535" s="57" t="n">
        <f aca="false">R411/$W534</f>
        <v>0.8525</v>
      </c>
    </row>
    <row r="536" s="3" customFormat="true" ht="11.25" hidden="false" customHeight="false" outlineLevel="0" collapsed="false">
      <c r="T536" s="13"/>
      <c r="U536" s="37" t="str">
        <f aca="false">AA539</f>
        <v> Biocapacidade não utilizada (0 - 40%), Sua previsão</v>
      </c>
      <c r="W536" s="4" t="n">
        <v>40</v>
      </c>
      <c r="AA536" s="29" t="str">
        <f aca="false">CONCATENATE("Fraction renewable (0 - ",W535," %)")</f>
        <v> Fração renovável (0 - 50%)</v>
      </c>
      <c r="AB536" s="120" t="n">
        <f aca="false">B255/$W535</f>
        <v>0.147513650054186</v>
      </c>
      <c r="AC536" s="120" t="n">
        <f aca="false">C255/$W535</f>
        <v>0.153349573713457</v>
      </c>
      <c r="AD536" s="120" t="n">
        <f aca="false">D255/$W535</f>
        <v>0.152804214467173</v>
      </c>
      <c r="AE536" s="120" t="n">
        <f aca="false">E255/$W535</f>
        <v>0.17076918487255</v>
      </c>
      <c r="AF536" s="120" t="n">
        <f aca="false">F255/$W535</f>
        <v>0.162302969560934</v>
      </c>
      <c r="AG536" s="120" t="n">
        <f aca="false">G255/$W535</f>
        <v>0.167534246818639</v>
      </c>
      <c r="AH536" s="120" t="n">
        <f aca="false">H255/$W535</f>
        <v>0.174877651766061</v>
      </c>
      <c r="AI536" s="120" t="n">
        <f aca="false">I255/$W535</f>
        <v>0.173156361085149</v>
      </c>
      <c r="AJ536" s="120" t="n">
        <f aca="false">J255/$W535</f>
        <v>0.212386111981552</v>
      </c>
      <c r="AK536" s="120" t="n">
        <f aca="false">K255/$W535</f>
        <v>0.24</v>
      </c>
      <c r="AL536" s="120" t="n">
        <f aca="false">L255/$W535</f>
        <v>0.3</v>
      </c>
      <c r="AM536" s="120" t="n">
        <f aca="false">M255/$W535</f>
        <v>0.36</v>
      </c>
      <c r="AN536" s="120" t="n">
        <f aca="false">N255/$W535</f>
        <v>0.44</v>
      </c>
      <c r="AO536" s="120" t="n">
        <f aca="false">O255/$W535</f>
        <v>0.52</v>
      </c>
      <c r="AP536" s="120" t="n">
        <f aca="false">P255/$W535</f>
        <v>0.62</v>
      </c>
      <c r="AQ536" s="120" t="n">
        <f aca="false">Q255/$W535</f>
        <v>0.74</v>
      </c>
      <c r="AR536" s="120" t="n">
        <f aca="false">R255/$W535</f>
        <v>0.88</v>
      </c>
    </row>
    <row r="537" s="3" customFormat="true" ht="11.25" hidden="false" customHeight="false" outlineLevel="0" collapsed="false">
      <c r="T537" s="13"/>
      <c r="U537" s="37" t="str">
        <f aca="false">AA540</f>
        <v> Participação do investimento no PIB (0 - 50%), Sua previsão</v>
      </c>
      <c r="W537" s="4" t="n">
        <v>50</v>
      </c>
      <c r="AA537" s="29" t="str">
        <f aca="false">CONCATENATE("Sea level rise (0 - ",W564/1000," m)")</f>
        <v> Aumento do nível do mar (0 - 0,8 m)</v>
      </c>
      <c r="AB537" s="29"/>
      <c r="AC537" s="29"/>
      <c r="AD537" s="29"/>
      <c r="AE537" s="29"/>
      <c r="AF537" s="29"/>
      <c r="AG537" s="29"/>
      <c r="AH537" s="29"/>
      <c r="AI537" s="57" t="n">
        <f aca="false"> SumWorld!I403/$V$564</f>
        <v>0.0234931063652039</v>
      </c>
      <c r="AJ537" s="57" t="n">
        <f aca="false"> SumWorld!J403/$V$564</f>
        <v>0.0558284044265747</v>
      </c>
      <c r="AK537" s="57" t="n">
        <f aca="false"> SumWorld!K403/$V$564</f>
        <v>0.0902567386627197</v>
      </c>
      <c r="AL537" s="57" t="n">
        <f aca="false"> SumWorld!L403/$V$564</f>
        <v>0.128428058624268</v>
      </c>
      <c r="AM537" s="57" t="n">
        <f aca="false"> SumWorld!M403/$V$564</f>
        <v>0.171287422180176</v>
      </c>
      <c r="AN537" s="57" t="n">
        <f aca="false"> SumWorld!N403/$V$564</f>
        <v>0.218884449005127</v>
      </c>
      <c r="AO537" s="57" t="n">
        <f aca="false"> SumWorld!O403/$V$564</f>
        <v>0.270819759368896</v>
      </c>
      <c r="AP537" s="57" t="n">
        <f aca="false"> SumWorld!P403/$V$564</f>
        <v>0.327321701049805</v>
      </c>
      <c r="AQ537" s="57" t="n">
        <f aca="false"> SumWorld!Q403/$V$564</f>
        <v>0.388355827331543</v>
      </c>
      <c r="AR537" s="57" t="n">
        <f aca="false"> SumWorld!R403/$V$564</f>
        <v>0.454001922607422</v>
      </c>
    </row>
    <row r="538" s="3" customFormat="true" ht="11.25" hidden="false" customHeight="false" outlineLevel="0" collapsed="false">
      <c r="T538" s="13"/>
      <c r="U538" s="37" t="str">
        <f aca="false">AA541</f>
        <v> Consumo de energia (0 - 3,2 Mtoe por ano), sua previsão</v>
      </c>
      <c r="W538" s="4" t="n">
        <v>3200</v>
      </c>
      <c r="AB538" s="24" t="n">
        <v>1970</v>
      </c>
      <c r="AC538" s="24" t="n">
        <v>1975</v>
      </c>
      <c r="AD538" s="24" t="n">
        <v>1980</v>
      </c>
      <c r="AE538" s="24" t="n">
        <v>1985</v>
      </c>
      <c r="AF538" s="24" t="n">
        <v>1990</v>
      </c>
      <c r="AG538" s="24" t="n">
        <v>1995</v>
      </c>
      <c r="AH538" s="24" t="n">
        <v>2000</v>
      </c>
      <c r="AI538" s="24" t="n">
        <v>2005</v>
      </c>
      <c r="AJ538" s="24" t="n">
        <v>2010</v>
      </c>
      <c r="AK538" s="24" t="n">
        <v>2015</v>
      </c>
      <c r="AL538" s="24" t="n">
        <v>2020</v>
      </c>
      <c r="AM538" s="24" t="n">
        <v>2025</v>
      </c>
      <c r="AN538" s="24" t="n">
        <v>2030</v>
      </c>
      <c r="AO538" s="24" t="n">
        <v>2035</v>
      </c>
      <c r="AP538" s="24" t="n">
        <v>2040</v>
      </c>
      <c r="AQ538" s="24" t="n">
        <v>2045</v>
      </c>
      <c r="AR538" s="24" t="n">
        <v>2050</v>
      </c>
    </row>
    <row r="539" s="3" customFormat="true" ht="11.25" hidden="false" customHeight="false" outlineLevel="0" collapsed="false">
      <c r="T539" s="13"/>
      <c r="U539" s="37" t="str">
        <f aca="false">AA542</f>
        <v> Produção de alimentos (0 - 1,2 Gt por ano), Sua previsão</v>
      </c>
      <c r="W539" s="4" t="n">
        <v>1200</v>
      </c>
      <c r="AA539" s="29" t="str">
        <f aca="false">CONCATENATE("Unused bio-capacity (0 - ",W536," %), Your forecast")</f>
        <v> Biocapacidade não utilizada (0 - 40%), Sua previsão</v>
      </c>
      <c r="AB539" s="29"/>
      <c r="AC539" s="29"/>
      <c r="AD539" s="29"/>
      <c r="AE539" s="29"/>
      <c r="AF539" s="29"/>
      <c r="AG539" s="29"/>
      <c r="AH539" s="29"/>
      <c r="AI539" s="29"/>
      <c r="AJ539" s="29"/>
      <c r="AK539" s="57" t="n">
        <f aca="false">(100*K470/K465)/$W536</f>
        <v>0.46391888327947</v>
      </c>
      <c r="AL539" s="57" t="n">
        <f aca="false">(100*L470/L465)/$W536</f>
        <v>0.450436683113606</v>
      </c>
      <c r="AM539" s="57" t="n">
        <f aca="false">(100*M470/M465)/$W536</f>
        <v>0.486365492161356</v>
      </c>
      <c r="AN539" s="57" t="n">
        <f aca="false">(100*N470/N465)/$W536</f>
        <v>0.525398247776405</v>
      </c>
      <c r="AO539" s="57" t="n">
        <f aca="false">(100*O470/O465)/$W536</f>
        <v>0.56422723702991</v>
      </c>
      <c r="AP539" s="57" t="n">
        <f aca="false">(100*P470/P465)/$W536</f>
        <v>0.604265846910931</v>
      </c>
      <c r="AQ539" s="57" t="n">
        <f aca="false">(100*Q470/Q465)/$W536</f>
        <v>0.62738907523513</v>
      </c>
      <c r="AR539" s="57" t="n">
        <f aca="false">(100*R470/R465)/$W536</f>
        <v>0.57034258588104</v>
      </c>
    </row>
    <row r="540" s="3" customFormat="true" ht="11.25" hidden="false" customHeight="false" outlineLevel="0" collapsed="false">
      <c r="T540" s="13"/>
      <c r="U540" s="37" t="str">
        <f aca="false">AA543</f>
        <v> Fração renovável (0 - 50%), Sua previsão</v>
      </c>
      <c r="W540" s="4" t="n">
        <v>50</v>
      </c>
      <c r="AA540" s="29" t="str">
        <f aca="false">CONCATENATE("Investment share of GDP (0 - ",W537," %), Your forecast")</f>
        <v> Participação do investimento no PIB (0 - 50%), Sua previsão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57" t="n">
        <f aca="false">K148/$W537</f>
        <v>0.440845834657373</v>
      </c>
      <c r="AL540" s="57" t="n">
        <f aca="false">L148/$W537</f>
        <v>0.48804437599303</v>
      </c>
      <c r="AM540" s="57" t="n">
        <f aca="false">M148/$W537</f>
        <v>0.523763281994773</v>
      </c>
      <c r="AN540" s="57" t="n">
        <f aca="false">N148/$W537</f>
        <v>0.557412461496079</v>
      </c>
      <c r="AO540" s="57" t="n">
        <f aca="false">O148/$W537</f>
        <v>0.58950934612206</v>
      </c>
      <c r="AP540" s="57" t="n">
        <f aca="false">P148/$W537</f>
        <v>0.620442009591545</v>
      </c>
      <c r="AQ540" s="57" t="n">
        <f aca="false">Q148/$W537</f>
        <v>0.662261507193659</v>
      </c>
      <c r="AR540" s="57" t="n">
        <f aca="false">R148/$W537</f>
        <v>0.709306130395244</v>
      </c>
    </row>
    <row r="541" s="3" customFormat="true" ht="11.25" hidden="false" customHeight="false" outlineLevel="0" collapsed="false">
      <c r="T541" s="13"/>
      <c r="AA541" s="29" t="str">
        <f aca="false">CONCATENATE("Energy use (0 - ",W538/1000," Mtoe per yr), Your forecast")</f>
        <v> Consumo de energia (0 - 3,2 Mtoe por ano), sua previsão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57" t="n">
        <f aca="false">K266/$W538</f>
        <v>0.945033789250178</v>
      </c>
      <c r="AL541" s="57" t="n">
        <f aca="false">L266/$W538</f>
        <v>0.92116652350484</v>
      </c>
      <c r="AM541" s="57" t="n">
        <f aca="false">M266/$W538</f>
        <v>0.907760581540758</v>
      </c>
      <c r="AN541" s="57" t="n">
        <f aca="false">N266/$W538</f>
        <v>0.87175817036895</v>
      </c>
      <c r="AO541" s="57" t="n">
        <f aca="false">O266/$W538</f>
        <v>0.822550051545588</v>
      </c>
      <c r="AP541" s="57" t="n">
        <f aca="false">P266/$W538</f>
        <v>0.766039842958377</v>
      </c>
      <c r="AQ541" s="57" t="n">
        <f aca="false">Q266/$W538</f>
        <v>0.710724618946484</v>
      </c>
      <c r="AR541" s="57" t="n">
        <f aca="false">R266/$W538</f>
        <v>0.655199774918989</v>
      </c>
    </row>
    <row r="542" s="3" customFormat="true" ht="11.25" hidden="false" customHeight="false" outlineLevel="0" collapsed="false">
      <c r="T542" s="13"/>
      <c r="AA542" s="29" t="str">
        <f aca="false">CONCATENATE("Food production (0 - ",W539/1000," Gt per year), Your forecast")</f>
        <v> Produção de alimentos (0 - 1,2 Gt por ano), Sua previsão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57" t="n">
        <f aca="false">K419/$W539</f>
        <v>0.750833333333333</v>
      </c>
      <c r="AL542" s="57" t="n">
        <f aca="false">L419/$W539</f>
        <v>0.748311666666667</v>
      </c>
      <c r="AM542" s="57" t="n">
        <f aca="false">M419/$W539</f>
        <v>0.789128666666667</v>
      </c>
      <c r="AN542" s="57" t="n">
        <f aca="false">N419/$W539</f>
        <v>0.829945666666667</v>
      </c>
      <c r="AO542" s="57" t="n">
        <f aca="false">O419/$W539</f>
        <v>0.850354166666667</v>
      </c>
      <c r="AP542" s="57" t="n">
        <f aca="false">P419/$W539</f>
        <v>0.870762666666667</v>
      </c>
      <c r="AQ542" s="57" t="n">
        <f aca="false">Q419/$W539</f>
        <v>0.8583575</v>
      </c>
      <c r="AR542" s="57" t="n">
        <f aca="false">R419/$W539</f>
        <v>0.818741</v>
      </c>
    </row>
    <row r="543" s="3" customFormat="true" ht="11.25" hidden="false" customHeight="false" outlineLevel="0" collapsed="false">
      <c r="T543" s="13"/>
      <c r="AA543" s="29" t="str">
        <f aca="false">CONCATENATE("Fraction renewable (0 - ",W540," %), Your forecast")</f>
        <v> Fração renovável (0 - 50%), Sua previsão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120" t="n">
        <f aca="false">K271/$W540</f>
        <v>0.24</v>
      </c>
      <c r="AL543" s="120" t="n">
        <f aca="false">L271/$W540</f>
        <v>0.294</v>
      </c>
      <c r="AM543" s="120" t="n">
        <f aca="false">M271/$W540</f>
        <v>0.3528</v>
      </c>
      <c r="AN543" s="120" t="n">
        <f aca="false">N271/$W540</f>
        <v>0.4312</v>
      </c>
      <c r="AO543" s="120" t="n">
        <f aca="false">O271/$W540</f>
        <v>0.5096</v>
      </c>
      <c r="AP543" s="120" t="n">
        <f aca="false">P271/$W540</f>
        <v>0.6076</v>
      </c>
      <c r="AQ543" s="120" t="n">
        <f aca="false">Q271/$W540</f>
        <v>0.7252</v>
      </c>
      <c r="AR543" s="120" t="n">
        <f aca="false">R271/$W540</f>
        <v>0.8624</v>
      </c>
    </row>
    <row r="544" customFormat="false" ht="11.25" hidden="false" customHeight="false" outlineLevel="0" collapsed="false">
      <c r="T544" s="13"/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</row>
    <row r="551" customFormat="false" ht="11.25" hidden="false" customHeight="false" outlineLevel="0" collapsed="false">
      <c r="T551" s="13"/>
    </row>
    <row r="552" customFormat="false" ht="11.25" hidden="false" customHeight="false" outlineLevel="0" collapsed="false">
      <c r="T552" s="13"/>
    </row>
    <row r="553" customFormat="false" ht="11.25" hidden="false" customHeight="false" outlineLevel="0" collapsed="false">
      <c r="T553" s="13"/>
    </row>
    <row r="554" customFormat="false" ht="11.25" hidden="false" customHeight="false" outlineLevel="0" collapsed="false">
      <c r="T554" s="13"/>
    </row>
    <row r="555" customFormat="false" ht="11.25" hidden="false" customHeight="false" outlineLevel="0" collapsed="false">
      <c r="T555" s="13"/>
    </row>
    <row r="556" customFormat="false" ht="11.25" hidden="false" customHeight="false" outlineLevel="0" collapsed="false">
      <c r="T556" s="13"/>
    </row>
    <row r="557" customFormat="false" ht="11.25" hidden="false" customHeight="false" outlineLevel="0" collapsed="false">
      <c r="T557" s="13"/>
      <c r="X557" s="15" t="s">
        <v>33</v>
      </c>
    </row>
    <row r="558" customFormat="false" ht="12.65" hidden="false" customHeight="false" outlineLevel="0" collapsed="false">
      <c r="A558" s="61" t="s">
        <v>157</v>
      </c>
      <c r="T558" s="13"/>
      <c r="V558" s="3" t="s">
        <v>35</v>
      </c>
    </row>
    <row r="559" customFormat="false" ht="28.3" hidden="false" customHeight="false" outlineLevel="0" collapsed="false">
      <c r="A559" s="23" t="str">
        <f aca="false">CONCATENATE(A558,". Standard of Living - ",A5," 1970 to 2050")</f>
        <v>Gráfico 15. Padrão de Vida - EUA (excluindo os países da OCDE) de 1970 a 2050</v>
      </c>
      <c r="T559" s="13"/>
      <c r="U559" s="55" t="s">
        <v>37</v>
      </c>
      <c r="V559" s="54" t="s">
        <v>38</v>
      </c>
      <c r="W559" s="54" t="s">
        <v>39</v>
      </c>
      <c r="X559" s="55"/>
      <c r="Y559" s="55"/>
      <c r="AA559" s="52" t="s">
        <v>36</v>
      </c>
    </row>
    <row r="560" customFormat="false" ht="11.25" hidden="false" customHeight="false" outlineLevel="0" collapsed="false">
      <c r="S560" s="154"/>
      <c r="T560" s="13"/>
      <c r="U560" s="15" t="str">
        <f aca="false">AA561</f>
        <v> PIB per capita (0 - 36.000 dólares por pessoa-ano)</v>
      </c>
      <c r="V560" s="25" t="n">
        <v>36</v>
      </c>
      <c r="W560" s="56" t="n">
        <f aca="false">W565</f>
        <v>36</v>
      </c>
      <c r="AB560" s="24" t="n">
        <v>1970</v>
      </c>
      <c r="AC560" s="24" t="n">
        <v>1975</v>
      </c>
      <c r="AD560" s="24" t="n">
        <v>1980</v>
      </c>
      <c r="AE560" s="24" t="n">
        <v>1985</v>
      </c>
      <c r="AF560" s="24" t="n">
        <v>1990</v>
      </c>
      <c r="AG560" s="24" t="n">
        <v>1995</v>
      </c>
      <c r="AH560" s="24" t="n">
        <v>2000</v>
      </c>
      <c r="AI560" s="24" t="n">
        <v>2005</v>
      </c>
      <c r="AJ560" s="24" t="n">
        <v>2010</v>
      </c>
      <c r="AK560" s="24" t="n">
        <v>2015</v>
      </c>
      <c r="AL560" s="24" t="n">
        <v>2020</v>
      </c>
      <c r="AM560" s="24" t="n">
        <v>2025</v>
      </c>
      <c r="AN560" s="24" t="n">
        <v>2030</v>
      </c>
      <c r="AO560" s="24" t="n">
        <v>2035</v>
      </c>
      <c r="AP560" s="24" t="n">
        <v>2040</v>
      </c>
      <c r="AQ560" s="24" t="n">
        <v>2045</v>
      </c>
      <c r="AR560" s="24" t="n">
        <v>2050</v>
      </c>
    </row>
    <row r="561" customFormat="false" ht="11.25" hidden="false" customHeight="false" outlineLevel="0" collapsed="false">
      <c r="S561" s="154"/>
      <c r="T561" s="13"/>
      <c r="U561" s="15" t="str">
        <f aca="false">AA562</f>
        <v> Consumo por pessoa (0 - 36.000 dólares por pessoa-ano)</v>
      </c>
      <c r="V561" s="25" t="n">
        <v>36</v>
      </c>
      <c r="W561" s="56" t="n">
        <f aca="false">W566</f>
        <v>36</v>
      </c>
      <c r="AA561" s="29" t="str">
        <f aca="false">CONCATENATE("GDP per person (0 - ",W560," 000 $ per person-yr)")</f>
        <v> PIB per capita (0 - 36.000 dólares por pessoa-ano)</v>
      </c>
      <c r="AB561" s="120" t="n">
        <f aca="false">B96/B9*1000/$W$560</f>
        <v>0.376054439778182</v>
      </c>
      <c r="AC561" s="120" t="n">
        <f aca="false">C96/C9*1000/$W$560</f>
        <v>0.431032265368575</v>
      </c>
      <c r="AD561" s="120" t="n">
        <f aca="false">D96/D9*1000/$W$560</f>
        <v>0.496322803618626</v>
      </c>
      <c r="AE561" s="120" t="n">
        <f aca="false">E96/E9*1000/$W$560</f>
        <v>0.532774754614515</v>
      </c>
      <c r="AF561" s="120" t="n">
        <f aca="false">F96/F9*1000/$W$560</f>
        <v>0.637114676681162</v>
      </c>
      <c r="AG561" s="120" t="n">
        <f aca="false">G96/G9*1000/$W$560</f>
        <v>0.681626143661927</v>
      </c>
      <c r="AH561" s="120" t="n">
        <f aca="false">H96/H9*1000/$W$560</f>
        <v>0.765880201220581</v>
      </c>
      <c r="AI561" s="120" t="n">
        <f aca="false">I96/I9*1000/$W$560</f>
        <v>0.827911386281192</v>
      </c>
      <c r="AJ561" s="120" t="n">
        <f aca="false">J96/J9*1000/$W$560</f>
        <v>0.829829880850289</v>
      </c>
      <c r="AK561" s="120" t="n">
        <f aca="false">K96/K9*1000/$W$560</f>
        <v>0.874958374389616</v>
      </c>
      <c r="AL561" s="120" t="n">
        <f aca="false">L96/L9*1000/$W$560</f>
        <v>0.919030038417707</v>
      </c>
      <c r="AM561" s="120" t="n">
        <f aca="false">M96/M9*1000/$W$560</f>
        <v>0.962626600624804</v>
      </c>
      <c r="AN561" s="120" t="n">
        <f aca="false">N96/N9*1000/$W$560</f>
        <v>0.986777290754613</v>
      </c>
      <c r="AO561" s="120" t="n">
        <f aca="false">O96/O9*1000/$W$560</f>
        <v>0.996435209192484</v>
      </c>
      <c r="AP561" s="120" t="n">
        <f aca="false">P96/P9*1000/$W$560</f>
        <v>0.99645918086059</v>
      </c>
      <c r="AQ561" s="120" t="n">
        <f aca="false">Q96/Q9*1000/$W$560</f>
        <v>0.997045829639941</v>
      </c>
      <c r="AR561" s="120" t="n">
        <f aca="false">R96/R9*1000/$W$560</f>
        <v>0.996340897063319</v>
      </c>
    </row>
    <row r="562" customFormat="false" ht="11.25" hidden="false" customHeight="false" outlineLevel="0" collapsed="false">
      <c r="S562" s="154"/>
      <c r="T562" s="13"/>
      <c r="U562" s="15" t="str">
        <f aca="false">AA563</f>
        <v> Alimentos por pessoa (0 - 2 t por pessoa-ano)</v>
      </c>
      <c r="V562" s="25" t="n">
        <v>2</v>
      </c>
      <c r="W562" s="56" t="n">
        <f aca="false">W567</f>
        <v>2</v>
      </c>
      <c r="AA562" s="29" t="str">
        <f aca="false">CONCATENATE("Consumption per person (0 - ",W561," 000 $ per person-yr)")</f>
        <v> Consumo por pessoa (0 - 36.000 dólares por pessoa-ano)</v>
      </c>
      <c r="AB562" s="120" t="n">
        <f aca="false">B136/B9*1000/$W$561</f>
        <v>0.279099319113507</v>
      </c>
      <c r="AC562" s="120" t="n">
        <f aca="false">C136/C9*1000/$W$561</f>
        <v>0.333647221370853</v>
      </c>
      <c r="AD562" s="120" t="n">
        <f aca="false">D136/D9*1000/$W$561</f>
        <v>0.383140753304553</v>
      </c>
      <c r="AE562" s="120" t="n">
        <f aca="false">E136/E9*1000/$W$561</f>
        <v>0.420177278947983</v>
      </c>
      <c r="AF562" s="120" t="n">
        <f aca="false">F136/F9*1000/$W$561</f>
        <v>0.480608095829425</v>
      </c>
      <c r="AG562" s="120" t="n">
        <f aca="false">G136/G9*1000/$W$561</f>
        <v>0.52208924753658</v>
      </c>
      <c r="AH562" s="120" t="n">
        <f aca="false">H136/H9*1000/$W$561</f>
        <v>0.583405097914686</v>
      </c>
      <c r="AI562" s="120" t="n">
        <f aca="false">I136/I9*1000/$W$561</f>
        <v>0.634447353072136</v>
      </c>
      <c r="AJ562" s="120" t="n">
        <f aca="false">J136/J9*1000/$W$561</f>
        <v>0.655097673289763</v>
      </c>
      <c r="AK562" s="120" t="n">
        <f aca="false">K136/K9*1000/$W$561</f>
        <v>0.682097496965492</v>
      </c>
      <c r="AL562" s="120" t="n">
        <f aca="false">L136/L9*1000/$W$561</f>
        <v>0.694380324992361</v>
      </c>
      <c r="AM562" s="120" t="n">
        <f aca="false">M136/M9*1000/$W$561</f>
        <v>0.709858528165007</v>
      </c>
      <c r="AN562" s="120" t="n">
        <f aca="false">N136/N9*1000/$W$561</f>
        <v>0.710789269715693</v>
      </c>
      <c r="AO562" s="120" t="n">
        <f aca="false">O136/O9*1000/$W$561</f>
        <v>0.701475766516872</v>
      </c>
      <c r="AP562" s="120" t="n">
        <f aca="false">P136/P9*1000/$W$561</f>
        <v>0.68580206539752</v>
      </c>
      <c r="AQ562" s="120" t="n">
        <f aca="false">Q136/Q9*1000/$W$561</f>
        <v>0.66495902379119</v>
      </c>
      <c r="AR562" s="120" t="n">
        <f aca="false">R136/R9*1000/$W$561</f>
        <v>0.640594325785112</v>
      </c>
    </row>
    <row r="563" customFormat="false" ht="11.25" hidden="false" customHeight="false" outlineLevel="0" collapsed="false">
      <c r="S563" s="154"/>
      <c r="T563" s="13"/>
      <c r="U563" s="15" t="str">
        <f aca="false">AA564</f>
        <v> Consumo de energia por pessoa (0 - 5 toe por pessoa-ano)</v>
      </c>
      <c r="V563" s="25" t="n">
        <v>5</v>
      </c>
      <c r="W563" s="56" t="n">
        <f aca="false">W568</f>
        <v>5</v>
      </c>
      <c r="AA563" s="29" t="str">
        <f aca="false">CONCATENATE("Food per person (0 - ",W562," t per person-yr)")</f>
        <v> Alimentos por pessoa (0 - 2 t por pessoa-ano)</v>
      </c>
      <c r="AB563" s="120" t="n">
        <f aca="false">B411/B9/$W$562</f>
        <v>0.556872277912695</v>
      </c>
      <c r="AC563" s="120" t="n">
        <f aca="false">C411/C9/$W$562</f>
        <v>0.568297589234996</v>
      </c>
      <c r="AD563" s="120" t="n">
        <f aca="false">D411/D9/$W$562</f>
        <v>0.581350085129497</v>
      </c>
      <c r="AE563" s="120" t="n">
        <f aca="false">E411/E9/$W$562</f>
        <v>0.63962354627276</v>
      </c>
      <c r="AF563" s="120" t="n">
        <f aca="false">F411/F9/$W$562</f>
        <v>0.623592203578664</v>
      </c>
      <c r="AG563" s="120" t="n">
        <f aca="false">G411/G9/$W$562</f>
        <v>0.577697666824116</v>
      </c>
      <c r="AH563" s="120" t="n">
        <f aca="false">H411/H9/$W$562</f>
        <v>0.617538618103436</v>
      </c>
      <c r="AI563" s="120" t="n">
        <f aca="false">I411/I9/$W$562</f>
        <v>0.59638522495152</v>
      </c>
      <c r="AJ563" s="120" t="n">
        <f aca="false">J411/J9/$W$562</f>
        <v>0.587313739808015</v>
      </c>
      <c r="AK563" s="120" t="n">
        <f aca="false">K411/K9/$W$562</f>
        <v>0.607345018414949</v>
      </c>
      <c r="AL563" s="120" t="n">
        <f aca="false">L411/L9/$W$562</f>
        <v>0.63110434718366</v>
      </c>
      <c r="AM563" s="120" t="n">
        <f aca="false">M411/M9/$W$562</f>
        <v>0.670978255509214</v>
      </c>
      <c r="AN563" s="120" t="n">
        <f aca="false">N411/N9/$W$562</f>
        <v>0.714729307560273</v>
      </c>
      <c r="AO563" s="120" t="n">
        <f aca="false">O411/O9/$W$562</f>
        <v>0.743874918095192</v>
      </c>
      <c r="AP563" s="120" t="n">
        <f aca="false">P411/P9/$W$562</f>
        <v>0.776636432120659</v>
      </c>
      <c r="AQ563" s="120" t="n">
        <f aca="false">Q411/Q9/$W$562</f>
        <v>0.784227990482127</v>
      </c>
      <c r="AR563" s="120" t="n">
        <f aca="false">R411/R9/$W$562</f>
        <v>0.770456302126182</v>
      </c>
    </row>
    <row r="564" customFormat="false" ht="11.25" hidden="false" customHeight="false" outlineLevel="0" collapsed="false">
      <c r="T564" s="13"/>
      <c r="U564" s="15" t="str">
        <f aca="false">AA537</f>
        <v> Aumento do nível do mar (0 - 0,8 m)</v>
      </c>
      <c r="V564" s="25" t="n">
        <v>800</v>
      </c>
      <c r="W564" s="70" t="n">
        <v>800</v>
      </c>
      <c r="AA564" s="29" t="str">
        <f aca="false">CONCATENATE("Energy use per person (0 - ",W563," toe per person-yr)")</f>
        <v> Consumo de energia por pessoa (0 - 5 toe por pessoa-ano)</v>
      </c>
      <c r="AB564" s="120" t="n">
        <f aca="false">B250/B9/$W563</f>
        <v>0.600493280323082</v>
      </c>
      <c r="AC564" s="120" t="n">
        <f aca="false">C250/C9/$W563</f>
        <v>0.64257415232375</v>
      </c>
      <c r="AD564" s="120" t="n">
        <f aca="false">D250/D9/$W563</f>
        <v>0.695121307632319</v>
      </c>
      <c r="AE564" s="120" t="n">
        <f aca="false">E250/E9/$W563</f>
        <v>0.695457352593122</v>
      </c>
      <c r="AF564" s="120" t="n">
        <f aca="false">F250/F9/$W563</f>
        <v>0.741500452621396</v>
      </c>
      <c r="AG564" s="120" t="n">
        <f aca="false">G250/G9/$W563</f>
        <v>0.776812893289274</v>
      </c>
      <c r="AH564" s="120" t="n">
        <f aca="false">H250/H9/$W563</f>
        <v>0.823893432487205</v>
      </c>
      <c r="AI564" s="120" t="n">
        <f aca="false">I250/I9/$W563</f>
        <v>0.850334562450675</v>
      </c>
      <c r="AJ564" s="120" t="n">
        <f aca="false">J250/J9/$W563</f>
        <v>0.814040590456524</v>
      </c>
      <c r="AK564" s="120" t="n">
        <f aca="false">K250/K9/$W563</f>
        <v>0.815394896884206</v>
      </c>
      <c r="AL564" s="120" t="n">
        <f aca="false">L250/L9/$W563</f>
        <v>0.813643030430188</v>
      </c>
      <c r="AM564" s="120" t="n">
        <f aca="false">M250/M9/$W563</f>
        <v>0.809628273479387</v>
      </c>
      <c r="AN564" s="120" t="n">
        <f aca="false">N250/N9/$W563</f>
        <v>0.788443467091586</v>
      </c>
      <c r="AO564" s="120" t="n">
        <f aca="false">O250/O9/$W563</f>
        <v>0.756352214939712</v>
      </c>
      <c r="AP564" s="120" t="n">
        <f aca="false">P250/P9/$W563</f>
        <v>0.71855189028709</v>
      </c>
      <c r="AQ564" s="120" t="n">
        <f aca="false">Q250/Q9/$W563</f>
        <v>0.683026179480129</v>
      </c>
      <c r="AR564" s="120" t="n">
        <f aca="false">R250/R9/$W563</f>
        <v>0.648416102191996</v>
      </c>
    </row>
    <row r="565" customFormat="false" ht="11.25" hidden="false" customHeight="false" outlineLevel="0" collapsed="false">
      <c r="T565" s="13"/>
      <c r="U565" s="37" t="str">
        <f aca="false">AA566</f>
        <v> PIB per capita (0 - 36.000 dólares por pessoa-ano), Sua previsão</v>
      </c>
      <c r="W565" s="4" t="n">
        <v>36</v>
      </c>
      <c r="AA565" s="29"/>
      <c r="AB565" s="24" t="n">
        <v>1970</v>
      </c>
      <c r="AC565" s="24" t="n">
        <v>1975</v>
      </c>
      <c r="AD565" s="24" t="n">
        <v>1980</v>
      </c>
      <c r="AE565" s="24" t="n">
        <v>1985</v>
      </c>
      <c r="AF565" s="24" t="n">
        <v>1990</v>
      </c>
      <c r="AG565" s="24" t="n">
        <v>1995</v>
      </c>
      <c r="AH565" s="24" t="n">
        <v>2000</v>
      </c>
      <c r="AI565" s="24" t="n">
        <v>2005</v>
      </c>
      <c r="AJ565" s="24" t="n">
        <v>2010</v>
      </c>
      <c r="AK565" s="24" t="n">
        <v>2015</v>
      </c>
      <c r="AL565" s="24" t="n">
        <v>2020</v>
      </c>
      <c r="AM565" s="24" t="n">
        <v>2025</v>
      </c>
      <c r="AN565" s="24" t="n">
        <v>2030</v>
      </c>
      <c r="AO565" s="24" t="n">
        <v>2035</v>
      </c>
      <c r="AP565" s="24" t="n">
        <v>2040</v>
      </c>
      <c r="AQ565" s="24" t="n">
        <v>2045</v>
      </c>
      <c r="AR565" s="24" t="n">
        <v>2050</v>
      </c>
    </row>
    <row r="566" customFormat="false" ht="11.25" hidden="false" customHeight="false" outlineLevel="0" collapsed="false">
      <c r="T566" s="13"/>
      <c r="U566" s="37" t="str">
        <f aca="false">AA567</f>
        <v> Consumo por pessoa (0 - 36.000 dólares por pessoa-ano), Sua previsão</v>
      </c>
      <c r="W566" s="155" t="n">
        <f aca="false">W565</f>
        <v>36</v>
      </c>
      <c r="AA566" s="29" t="str">
        <f aca="false">CONCATENATE("GDP per person (0 - ",W565," 000$ per person-yr), Your forecast")</f>
        <v> PIB per capita (0 - 36.000 dólares por pessoa-ano), Sua previsão</v>
      </c>
      <c r="AB566" s="29"/>
      <c r="AC566" s="29"/>
      <c r="AD566" s="29"/>
      <c r="AE566" s="29"/>
      <c r="AF566" s="29"/>
      <c r="AG566" s="29"/>
      <c r="AH566" s="29"/>
      <c r="AI566" s="29"/>
      <c r="AJ566" s="29"/>
      <c r="AK566" s="120" t="n">
        <f aca="false">K104/K17*1000/$W565</f>
        <v>0.874958374389616</v>
      </c>
      <c r="AL566" s="120" t="n">
        <f aca="false">L104/L17*1000/$W565</f>
        <v>0.897976514205043</v>
      </c>
      <c r="AM566" s="120" t="n">
        <f aca="false">M104/M17*1000/$W565</f>
        <v>0.937968992816827</v>
      </c>
      <c r="AN566" s="120" t="n">
        <f aca="false">N104/N17*1000/$W565</f>
        <v>0.9590751868059</v>
      </c>
      <c r="AO566" s="120" t="n">
        <f aca="false">O104/O17*1000/$W565</f>
        <v>0.96629420265911</v>
      </c>
      <c r="AP566" s="120" t="n">
        <f aca="false">P104/P17*1000/$W565</f>
        <v>0.964419098976485</v>
      </c>
      <c r="AQ566" s="120" t="n">
        <f aca="false">Q104/Q17*1000/$W565</f>
        <v>0.963340569994031</v>
      </c>
      <c r="AR566" s="120" t="n">
        <f aca="false">R104/R17*1000/$W565</f>
        <v>0.961255325407773</v>
      </c>
    </row>
    <row r="567" customFormat="false" ht="11.25" hidden="false" customHeight="false" outlineLevel="0" collapsed="false">
      <c r="T567" s="13"/>
      <c r="U567" s="37" t="str">
        <f aca="false">AA568</f>
        <v> Alimentos por pessoa (0 a 2 toneladas por pessoa-ano), Sua previsão</v>
      </c>
      <c r="W567" s="4" t="n">
        <v>2</v>
      </c>
      <c r="AA567" s="29" t="str">
        <f aca="false">CONCATENATE("Consumption per person (0 - ",W566," 000$ per person-yr), Your forecast")</f>
        <v> Consumo por pessoa (0 - 36.000 dólares por pessoa-ano), Sua previsão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120" t="n">
        <f aca="false">K147/K17*1000/$W566</f>
        <v>0.682097496965492</v>
      </c>
      <c r="AL567" s="120" t="n">
        <f aca="false">L147/L17*1000/$W566</f>
        <v>0.678850320439245</v>
      </c>
      <c r="AM567" s="120" t="n">
        <f aca="false">M147/M17*1000/$W566</f>
        <v>0.692332133773291</v>
      </c>
      <c r="AN567" s="120" t="n">
        <f aca="false">N147/N17*1000/$W566</f>
        <v>0.691774956487256</v>
      </c>
      <c r="AO567" s="120" t="n">
        <f aca="false">O147/O17*1000/$W566</f>
        <v>0.681474470873555</v>
      </c>
      <c r="AP567" s="120" t="n">
        <f aca="false">P147/P17*1000/$W566</f>
        <v>0.665236037047766</v>
      </c>
      <c r="AQ567" s="120" t="n">
        <f aca="false">Q147/Q17*1000/$W566</f>
        <v>0.644348881081509</v>
      </c>
      <c r="AR567" s="120" t="n">
        <f aca="false">R147/R17*1000/$W566</f>
        <v>0.620343177814369</v>
      </c>
    </row>
    <row r="568" customFormat="false" ht="11.25" hidden="false" customHeight="false" outlineLevel="0" collapsed="false">
      <c r="T568" s="13"/>
      <c r="U568" s="37" t="str">
        <f aca="false">AA569</f>
        <v> Consumo de energia por pessoa (0 a 5 toneladas equivalentes de petróleo por pessoa-ano), sua previsão</v>
      </c>
      <c r="W568" s="4" t="n">
        <v>5</v>
      </c>
      <c r="AA568" s="29" t="str">
        <f aca="false">CONCATENATE("Food per person (0 - ",W567," t per person-yr), Your forecast")</f>
        <v> Alimentos por pessoa (0 a 2 toneladas por pessoa-ano), Sua previsão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120" t="n">
        <f aca="false">K419/K17/$W567</f>
        <v>0.607345018414949</v>
      </c>
      <c r="AL568" s="120" t="n">
        <f aca="false">L419/L17/$W567</f>
        <v>0.606096446746604</v>
      </c>
      <c r="AM568" s="120" t="n">
        <f aca="false">M419/M17/$W567</f>
        <v>0.64428480533633</v>
      </c>
      <c r="AN568" s="120" t="n">
        <f aca="false">N419/N17/$W567</f>
        <v>0.686119424233229</v>
      </c>
      <c r="AO568" s="120" t="n">
        <f aca="false">O419/O17/$W567</f>
        <v>0.713872784190333</v>
      </c>
      <c r="AP568" s="120" t="n">
        <f aca="false">P419/P17/$W567</f>
        <v>0.745021322612993</v>
      </c>
      <c r="AQ568" s="120" t="n">
        <f aca="false">Q419/Q17/$W567</f>
        <v>0.751937375575963</v>
      </c>
      <c r="AR568" s="120" t="n">
        <f aca="false">R419/R17/$W567</f>
        <v>0.738290109054</v>
      </c>
    </row>
    <row r="569" s="3" customFormat="true" ht="11.25" hidden="false" customHeight="false" outlineLevel="0" collapsed="false">
      <c r="T569" s="13"/>
      <c r="AA569" s="29" t="str">
        <f aca="false">CONCATENATE("Energy use per person (0 - ",W568," toe per person-yr), Your forecast")</f>
        <v>Consumo de energia por pessoa (0 a 5 toneladas equivalentes de petróleo por pessoa-ano), sua previsão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120" t="n">
        <f aca="false">K266/K17/$W568</f>
        <v>0.815394896884206</v>
      </c>
      <c r="AL569" s="120" t="n">
        <f aca="false">L266/L17/$W568</f>
        <v>0.795840601899947</v>
      </c>
      <c r="AM569" s="120" t="n">
        <f aca="false">M266/M17/$W568</f>
        <v>0.790551400837861</v>
      </c>
      <c r="AN569" s="120" t="n">
        <f aca="false">N266/N17/$W568</f>
        <v>0.768731722019274</v>
      </c>
      <c r="AO569" s="120" t="n">
        <f aca="false">O266/O17/$W568</f>
        <v>0.736566628761468</v>
      </c>
      <c r="AP569" s="120" t="n">
        <f aca="false">P266/P17/$W568</f>
        <v>0.699115585387337</v>
      </c>
      <c r="AQ569" s="120" t="n">
        <f aca="false">Q266/Q17/$W568</f>
        <v>0.664115396801102</v>
      </c>
      <c r="AR569" s="120" t="n">
        <f aca="false">R266/R17/$W568</f>
        <v>0.630206639416172</v>
      </c>
    </row>
    <row r="570" customFormat="false" ht="11.25" hidden="false" customHeight="false" outlineLevel="0" collapsed="false">
      <c r="T570" s="13"/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1.25" hidden="false" customHeight="false" outlineLevel="0" collapsed="false">
      <c r="T580" s="13"/>
    </row>
    <row r="581" customFormat="false" ht="11.25" hidden="false" customHeight="false" outlineLevel="0" collapsed="false">
      <c r="T581" s="13"/>
    </row>
    <row r="582" customFormat="false" ht="11.25" hidden="false" customHeight="false" outlineLevel="0" collapsed="false">
      <c r="T582" s="13"/>
    </row>
    <row r="583" customFormat="false" ht="11.25" hidden="false" customHeight="false" outlineLevel="0" collapsed="false">
      <c r="T583" s="13"/>
    </row>
    <row r="584" customFormat="false" ht="11.25" hidden="false" customHeight="false" outlineLevel="0" collapsed="false">
      <c r="T584" s="13"/>
    </row>
    <row r="585" customFormat="false" ht="11.25" hidden="false" customHeight="false" outlineLevel="0" collapsed="false">
      <c r="T585" s="13"/>
    </row>
    <row r="586" customFormat="false" ht="11.25" hidden="false" customHeight="false" outlineLevel="0" collapsed="false">
      <c r="T586" s="13"/>
    </row>
    <row r="587" customFormat="false" ht="11.25" hidden="false" customHeight="false" outlineLevel="0" collapsed="false">
      <c r="T587" s="13"/>
    </row>
    <row r="588" customFormat="false" ht="11.25" hidden="false" customHeight="false" outlineLevel="0" collapsed="false">
      <c r="T588" s="13"/>
    </row>
    <row r="589" customFormat="false" ht="11.25" hidden="false" customHeight="false" outlineLevel="0" collapsed="false">
      <c r="T589" s="13"/>
    </row>
  </sheetData>
  <sheetProtection sheet="true" password="dbc0" objects="true" scenarios="true"/>
  <mergeCells count="1">
    <mergeCell ref="D6:E6"/>
  </mergeCells>
  <conditionalFormatting sqref="K273:R273">
    <cfRule type="cellIs" priority="2" operator="lessThan" aboveAverage="0" equalAverage="0" bottom="0" percent="0" rank="0" text="" dxfId="4">
      <formula>0</formula>
    </cfRule>
  </conditionalFormatting>
  <conditionalFormatting sqref="K257:R257"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1.57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tr">
        <f aca="false"> SumWorld!A1</f>
        <v> Prezado(a) usuário(a): Esta é a versão de 7 de novembro de 2014, às 11h, da planilha de 2052 de Ulrich Goluke (2052@blue-way.net)</v>
      </c>
      <c r="T1" s="13"/>
    </row>
    <row r="2" customFormat="false" ht="15" hidden="false" customHeight="false" outlineLevel="0" collapsed="false">
      <c r="A2" s="1" t="str">
        <f aca="false"> SumWorld!A2</f>
        <v> Prezado(a) usuário(a): O lado esquerdo desta planilha contém os dados numéricos e os gráficos que você também encontra no livro de 2052.</v>
      </c>
      <c r="T2" s="13"/>
      <c r="U2" s="1" t="str">
        <f aca="false"> SumWorld!U2</f>
        <v> Prezado(a) usuário(a): Os cálculos nesta parte à direita da planilha garantem o dimensionamento correto dos gráficos.</v>
      </c>
    </row>
    <row r="3" customFormat="false" ht="15" hidden="false" customHeight="false" outlineLevel="0" collapsed="false">
      <c r="A3" s="14"/>
      <c r="T3" s="13"/>
      <c r="U3" s="1" t="str">
        <f aca="false"> SumWorld!U3</f>
        <v> Contém também a fonte dos dados históricos.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U4" s="16"/>
    </row>
    <row r="5" customFormat="false" ht="17.35" hidden="false" customHeight="false" outlineLevel="0" collapsed="false">
      <c r="A5" s="17" t="s">
        <v>177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U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M6" s="10" t="s">
        <v>11</v>
      </c>
      <c r="N6" s="10"/>
      <c r="O6" s="10"/>
      <c r="P6" s="10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 Gráfico 1. População - BRISE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178</v>
      </c>
      <c r="B9" s="62" t="n">
        <v>1206.798333</v>
      </c>
      <c r="C9" s="62" t="n">
        <v>1344.376475</v>
      </c>
      <c r="D9" s="62" t="n">
        <v>1496.299347</v>
      </c>
      <c r="E9" s="62" t="n">
        <v>1661.983711</v>
      </c>
      <c r="F9" s="62" t="n">
        <v>1830.411682</v>
      </c>
      <c r="G9" s="62" t="n">
        <v>1986.892016</v>
      </c>
      <c r="H9" s="62" t="n">
        <v>2134.295697</v>
      </c>
      <c r="I9" s="62" t="n">
        <v>2275.497865</v>
      </c>
      <c r="J9" s="62" t="n">
        <v>2411.931044</v>
      </c>
      <c r="K9" s="27" t="n">
        <f aca="false">J9+(J10-J11)*5</f>
        <v>2521.95262674</v>
      </c>
      <c r="L9" s="27" t="n">
        <f aca="false">K9+(K10-K11)*5</f>
        <v>2609.33360848691</v>
      </c>
      <c r="M9" s="27" t="n">
        <f aca="false">L9+(L10-L11)*5</f>
        <v>2678.49691505875</v>
      </c>
      <c r="N9" s="27" t="n">
        <f aca="false">M9+(M10-M11)*5</f>
        <v>2724.79669525156</v>
      </c>
      <c r="O9" s="27" t="n">
        <f aca="false">N9+(N10-N11)*5</f>
        <v>2751.45960729096</v>
      </c>
      <c r="P9" s="27" t="n">
        <f aca="false">O9+(O10-O11)*5</f>
        <v>2755.76262440476</v>
      </c>
      <c r="Q9" s="27" t="n">
        <f aca="false">P9+(P10-P11)*5</f>
        <v>2735.92501895732</v>
      </c>
      <c r="R9" s="27" t="n">
        <f aca="false">Q9+(Q10-Q11)*5</f>
        <v>2695.20350991165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179</v>
      </c>
      <c r="B10" s="30" t="n">
        <v>42.2910316</v>
      </c>
      <c r="C10" s="30" t="n">
        <v>45.1938738</v>
      </c>
      <c r="D10" s="30" t="n">
        <v>47.8157804</v>
      </c>
      <c r="E10" s="30" t="n">
        <v>48.5985288</v>
      </c>
      <c r="F10" s="30" t="n">
        <v>47.412844</v>
      </c>
      <c r="G10" s="30" t="n">
        <v>45.7482742</v>
      </c>
      <c r="H10" s="30" t="n">
        <v>45.3020258</v>
      </c>
      <c r="I10" s="30" t="n">
        <v>45.1337196</v>
      </c>
      <c r="J10" s="31" t="n">
        <f aca="false">J9*J12/100</f>
        <v>41.002827748</v>
      </c>
      <c r="K10" s="31" t="n">
        <f aca="false">K9*K12/100</f>
        <v>37.8292894011</v>
      </c>
      <c r="L10" s="31" t="n">
        <f aca="false">L9*L12/100</f>
        <v>35.2260037145733</v>
      </c>
      <c r="M10" s="31" t="n">
        <f aca="false">M9*M12/100</f>
        <v>32.141962980705</v>
      </c>
      <c r="N10" s="31" t="n">
        <f aca="false">N9*N12/100</f>
        <v>29.9727636477672</v>
      </c>
      <c r="O10" s="31" t="n">
        <f aca="false">O9*O12/100</f>
        <v>27.5145960729096</v>
      </c>
      <c r="P10" s="31" t="n">
        <f aca="false">P9*P12/100</f>
        <v>24.8018636196428</v>
      </c>
      <c r="Q10" s="31" t="n">
        <f aca="false">Q9*Q12/100</f>
        <v>22.7081776573458</v>
      </c>
      <c r="R10" s="31" t="n">
        <f aca="false">R9*R12/100</f>
        <v>20.2140263243374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180</v>
      </c>
      <c r="B11" s="30" t="n">
        <v>16.3835852</v>
      </c>
      <c r="C11" s="30" t="n">
        <v>16.2398454</v>
      </c>
      <c r="D11" s="30" t="n">
        <v>16.6913144</v>
      </c>
      <c r="E11" s="30" t="n">
        <v>16.670833</v>
      </c>
      <c r="F11" s="30" t="n">
        <v>17.2842844</v>
      </c>
      <c r="G11" s="30" t="n">
        <v>17.7953536</v>
      </c>
      <c r="H11" s="30" t="n">
        <v>18.485538</v>
      </c>
      <c r="I11" s="30" t="n">
        <v>18.8637478</v>
      </c>
      <c r="J11" s="31" t="n">
        <f aca="false">J9*J13/100</f>
        <v>18.9985112</v>
      </c>
      <c r="K11" s="31" t="n">
        <f aca="false">K9*K13/100</f>
        <v>20.3530930517178</v>
      </c>
      <c r="L11" s="31" t="n">
        <f aca="false">L9*L13/100</f>
        <v>21.3933424002053</v>
      </c>
      <c r="M11" s="31" t="n">
        <f aca="false">M9*M13/100</f>
        <v>22.8820069421428</v>
      </c>
      <c r="N11" s="31" t="n">
        <f aca="false">N9*N13/100</f>
        <v>24.6401812398875</v>
      </c>
      <c r="O11" s="31" t="n">
        <f aca="false">O9*O13/100</f>
        <v>26.6539926501505</v>
      </c>
      <c r="P11" s="31" t="n">
        <f aca="false">P9*P13/100</f>
        <v>28.7693847091294</v>
      </c>
      <c r="Q11" s="31" t="n">
        <f aca="false">Q9*Q13/100</f>
        <v>30.8524794664805</v>
      </c>
      <c r="R11" s="31" t="n">
        <f aca="false">R9*R13/100</f>
        <v>32.8474725636028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3.50439923917263</v>
      </c>
      <c r="C12" s="32" t="n">
        <f aca="false">C10/C9*100</f>
        <v>3.36169775657522</v>
      </c>
      <c r="D12" s="32" t="n">
        <f aca="false">D10/D9*100</f>
        <v>3.19560257082703</v>
      </c>
      <c r="E12" s="32" t="n">
        <f aca="false">E10/E9*100</f>
        <v>2.92412786469241</v>
      </c>
      <c r="F12" s="32" t="n">
        <f aca="false">F10/F9*100</f>
        <v>2.59028307490883</v>
      </c>
      <c r="G12" s="32" t="n">
        <f aca="false">G10/G9*100</f>
        <v>2.30250430479358</v>
      </c>
      <c r="H12" s="32" t="n">
        <f aca="false">H10/H9*100</f>
        <v>2.12257494890128</v>
      </c>
      <c r="I12" s="32" t="n">
        <f aca="false">I10/I9*100</f>
        <v>1.98346569751671</v>
      </c>
      <c r="J12" s="33" t="n">
        <v>1.7</v>
      </c>
      <c r="K12" s="33" t="n">
        <v>1.5</v>
      </c>
      <c r="L12" s="33" t="n">
        <v>1.35</v>
      </c>
      <c r="M12" s="33" t="n">
        <v>1.2</v>
      </c>
      <c r="N12" s="33" t="n">
        <v>1.1</v>
      </c>
      <c r="O12" s="33" t="n">
        <v>1</v>
      </c>
      <c r="P12" s="33" t="n">
        <v>0.9</v>
      </c>
      <c r="Q12" s="33" t="n">
        <v>0.83</v>
      </c>
      <c r="R12" s="33" t="n">
        <v>0.75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1.35760754319835</v>
      </c>
      <c r="C13" s="32" t="n">
        <f aca="false">C11/C9*100</f>
        <v>1.20798345567599</v>
      </c>
      <c r="D13" s="32" t="n">
        <f aca="false">D11/D9*100</f>
        <v>1.11550636130833</v>
      </c>
      <c r="E13" s="32" t="n">
        <f aca="false">E11/E9*100</f>
        <v>1.003068374838</v>
      </c>
      <c r="F13" s="32" t="n">
        <f aca="false">F11/F9*100</f>
        <v>0.944283986491734</v>
      </c>
      <c r="G13" s="32" t="n">
        <f aca="false">G11/G9*100</f>
        <v>0.895637682204064</v>
      </c>
      <c r="H13" s="32" t="n">
        <f aca="false">H11/H9*100</f>
        <v>0.866118880621067</v>
      </c>
      <c r="I13" s="32" t="n">
        <f aca="false">I11/I9*100</f>
        <v>0.828994308900395</v>
      </c>
      <c r="J13" s="33" t="n">
        <v>0.787688820841762</v>
      </c>
      <c r="K13" s="33" t="n">
        <v>0.807037088481207</v>
      </c>
      <c r="L13" s="33" t="n">
        <v>0.819877624333776</v>
      </c>
      <c r="M13" s="33" t="n">
        <v>0.85428535733971</v>
      </c>
      <c r="N13" s="33" t="n">
        <v>0.904294301399711</v>
      </c>
      <c r="O13" s="33" t="n">
        <v>0.968721931425826</v>
      </c>
      <c r="P13" s="33" t="n">
        <v>1.04397180128472</v>
      </c>
      <c r="Q13" s="33" t="n">
        <v>1.12768000777443</v>
      </c>
      <c r="R13" s="33" t="n">
        <v>1.21873811913667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5"/>
      <c r="I15" s="38" t="s">
        <v>7</v>
      </c>
      <c r="J15" s="39" t="n">
        <f aca="false">J12</f>
        <v>1.7</v>
      </c>
      <c r="K15" s="39" t="n">
        <f aca="false">K12*0.98</f>
        <v>1.47</v>
      </c>
      <c r="L15" s="39" t="n">
        <f aca="false">L12*0.98</f>
        <v>1.323</v>
      </c>
      <c r="M15" s="39" t="n">
        <f aca="false">M12*0.98</f>
        <v>1.176</v>
      </c>
      <c r="N15" s="39" t="n">
        <f aca="false">N12*0.98</f>
        <v>1.078</v>
      </c>
      <c r="O15" s="39" t="n">
        <f aca="false">O12*0.98</f>
        <v>0.98</v>
      </c>
      <c r="P15" s="39" t="n">
        <f aca="false">P12*0.98</f>
        <v>0.882</v>
      </c>
      <c r="Q15" s="39" t="n">
        <f aca="false">Q12*0.98</f>
        <v>0.8134</v>
      </c>
      <c r="R15" s="39" t="n">
        <f aca="false">R12*0.98</f>
        <v>0.735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5"/>
      <c r="I16" s="38" t="s">
        <v>7</v>
      </c>
      <c r="J16" s="39" t="n">
        <f aca="false">J13</f>
        <v>0.787688820841762</v>
      </c>
      <c r="K16" s="39" t="n">
        <f aca="false">K13*0.98</f>
        <v>0.790896346711583</v>
      </c>
      <c r="L16" s="39" t="n">
        <f aca="false">L13*0.98</f>
        <v>0.803480071847101</v>
      </c>
      <c r="M16" s="39" t="n">
        <f aca="false">M13*0.98</f>
        <v>0.837199650192915</v>
      </c>
      <c r="N16" s="39" t="n">
        <f aca="false">N13*0.98</f>
        <v>0.886208415371717</v>
      </c>
      <c r="O16" s="39" t="n">
        <f aca="false">O13*0.98</f>
        <v>0.94934749279731</v>
      </c>
      <c r="P16" s="39" t="n">
        <f aca="false">P13*0.98</f>
        <v>1.02309236525903</v>
      </c>
      <c r="Q16" s="39" t="n">
        <f aca="false">Q13*0.98</f>
        <v>1.10512640761894</v>
      </c>
      <c r="R16" s="39" t="n">
        <f aca="false">R13*0.98</f>
        <v>1.19436335675394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178</v>
      </c>
      <c r="J17" s="43"/>
      <c r="K17" s="44" t="n">
        <f aca="false">J9+(J18-J19)*5</f>
        <v>2521.95262674</v>
      </c>
      <c r="L17" s="44" t="n">
        <f aca="false">K17+(K18-K19)*5</f>
        <v>2607.58598885197</v>
      </c>
      <c r="M17" s="44" t="n">
        <f aca="false">L17+(L18-L19)*5</f>
        <v>2675.32063313102</v>
      </c>
      <c r="N17" s="44" t="n">
        <f aca="false">M17+(M18-M19)*5</f>
        <v>2720.64061144856</v>
      </c>
      <c r="O17" s="44" t="n">
        <f aca="false">N17+(N18-N19)*5</f>
        <v>2746.73041015225</v>
      </c>
      <c r="P17" s="44" t="n">
        <f aca="false">O17+(O18-O19)*5</f>
        <v>2750.9401188363</v>
      </c>
      <c r="Q17" s="44" t="n">
        <f aca="false">P17+(P18-P19)*5</f>
        <v>2731.53328643368</v>
      </c>
      <c r="R17" s="44" t="n">
        <f aca="false">Q17+(Q18-Q19)*5</f>
        <v>2691.69026678653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179</v>
      </c>
      <c r="J18" s="45" t="n">
        <f aca="false">J9*J15/100</f>
        <v>41.002827748</v>
      </c>
      <c r="K18" s="45" t="n">
        <f aca="false">K17*K15/100</f>
        <v>37.072703613078</v>
      </c>
      <c r="L18" s="45" t="n">
        <f aca="false">L17*L15/100</f>
        <v>34.4983626325116</v>
      </c>
      <c r="M18" s="45" t="n">
        <f aca="false">M17*M15/100</f>
        <v>31.4617706456208</v>
      </c>
      <c r="N18" s="45" t="n">
        <f aca="false">N17*N15/100</f>
        <v>29.3285057914155</v>
      </c>
      <c r="O18" s="45" t="n">
        <f aca="false">O17*O15/100</f>
        <v>26.9179580194921</v>
      </c>
      <c r="P18" s="45" t="n">
        <f aca="false">P17*P15/100</f>
        <v>24.2632918481362</v>
      </c>
      <c r="Q18" s="45" t="n">
        <f aca="false">Q17*Q15/100</f>
        <v>22.2182917518515</v>
      </c>
      <c r="R18" s="45" t="n">
        <f aca="false">R17*R15/100</f>
        <v>19.783923460881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180</v>
      </c>
      <c r="J19" s="45" t="n">
        <f aca="false">J9*J16/100</f>
        <v>18.9985112</v>
      </c>
      <c r="K19" s="45" t="n">
        <f aca="false">K17*K16/100</f>
        <v>19.9460311906835</v>
      </c>
      <c r="L19" s="45" t="n">
        <f aca="false">L17*L16/100</f>
        <v>20.9514337767028</v>
      </c>
      <c r="M19" s="45" t="n">
        <f aca="false">M17*M16/100</f>
        <v>22.3977749821118</v>
      </c>
      <c r="N19" s="45" t="n">
        <f aca="false">N17*N16/100</f>
        <v>24.1105460506777</v>
      </c>
      <c r="O19" s="45" t="n">
        <f aca="false">O17*O16/100</f>
        <v>26.0760162826817</v>
      </c>
      <c r="P19" s="45" t="n">
        <f aca="false">P17*P16/100</f>
        <v>28.1446583286618</v>
      </c>
      <c r="Q19" s="45" t="n">
        <f aca="false">Q17*Q16/100</f>
        <v>30.1868956812801</v>
      </c>
      <c r="R19" s="45" t="n">
        <f aca="false">R17*R16/100</f>
        <v>32.1485622238107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28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47" t="n">
        <v>2429.81680518598</v>
      </c>
      <c r="L21" s="47" t="n">
        <v>2507.23068783634</v>
      </c>
      <c r="M21" s="47" t="n">
        <v>2561.27215713228</v>
      </c>
      <c r="N21" s="47" t="n">
        <v>2599.85539703275</v>
      </c>
      <c r="O21" s="47" t="n">
        <v>2620.21851437184</v>
      </c>
      <c r="P21" s="47" t="n">
        <v>2619.07196787808</v>
      </c>
      <c r="Q21" s="47" t="n">
        <v>2595.29935781696</v>
      </c>
      <c r="R21" s="47" t="n">
        <v>2550.34382792735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49" t="n">
        <v>39.1993352</v>
      </c>
      <c r="K22" s="49" t="n">
        <v>34.5795188</v>
      </c>
      <c r="L22" s="49" t="n">
        <v>30.7924244</v>
      </c>
      <c r="M22" s="49" t="n">
        <v>29.0562146</v>
      </c>
      <c r="N22" s="49" t="n">
        <v>27.0887916</v>
      </c>
      <c r="O22" s="49" t="n">
        <v>24.7013672</v>
      </c>
      <c r="P22" s="49" t="n">
        <v>22.1540436</v>
      </c>
      <c r="Q22" s="49" t="n">
        <v>19.8603826</v>
      </c>
      <c r="R22" s="49" t="n">
        <v>18.0452618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49" t="n">
        <v>18.9985112</v>
      </c>
      <c r="K23" s="49" t="n">
        <v>19.6095228</v>
      </c>
      <c r="L23" s="49" t="n">
        <v>20.5562234</v>
      </c>
      <c r="M23" s="49" t="n">
        <v>21.880573</v>
      </c>
      <c r="N23" s="49" t="n">
        <v>23.5103442</v>
      </c>
      <c r="O23" s="49" t="n">
        <v>25.3826314</v>
      </c>
      <c r="P23" s="49" t="n">
        <v>27.3423728</v>
      </c>
      <c r="Q23" s="49" t="n">
        <v>29.266672</v>
      </c>
      <c r="R23" s="49" t="n">
        <v>31.0820124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1.6252261978017</v>
      </c>
      <c r="K24" s="32" t="n">
        <f aca="false">K22/K21*100</f>
        <v>1.42313275330867</v>
      </c>
      <c r="L24" s="32" t="n">
        <f aca="false">L22/L21*100</f>
        <v>1.22814484320838</v>
      </c>
      <c r="M24" s="32" t="n">
        <f aca="false">M22/M21*100</f>
        <v>1.134444636002</v>
      </c>
      <c r="N24" s="32" t="n">
        <f aca="false">N22/N21*100</f>
        <v>1.04193454877978</v>
      </c>
      <c r="O24" s="32" t="n">
        <f aca="false">O22/O21*100</f>
        <v>0.942721649530889</v>
      </c>
      <c r="P24" s="32" t="n">
        <f aca="false">P22/P21*100</f>
        <v>0.845873800785579</v>
      </c>
      <c r="Q24" s="32" t="n">
        <f aca="false">Q22/Q21*100</f>
        <v>0.765244384628738</v>
      </c>
      <c r="R24" s="32" t="n">
        <f aca="false">R22/R21*100</f>
        <v>0.70756192174548</v>
      </c>
      <c r="S24" s="28" t="s">
        <v>25</v>
      </c>
      <c r="T24" s="13"/>
      <c r="V24" s="50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0.787688820841762</v>
      </c>
      <c r="K25" s="32" t="n">
        <f aca="false">K23/K21*100</f>
        <v>0.807037088481207</v>
      </c>
      <c r="L25" s="32" t="n">
        <f aca="false">L23/L21*100</f>
        <v>0.819877624333776</v>
      </c>
      <c r="M25" s="32" t="n">
        <f aca="false">M23/M21*100</f>
        <v>0.85428535733971</v>
      </c>
      <c r="N25" s="32" t="n">
        <f aca="false">N23/N21*100</f>
        <v>0.904294301399711</v>
      </c>
      <c r="O25" s="32" t="n">
        <f aca="false">O23/O21*100</f>
        <v>0.968721931425826</v>
      </c>
      <c r="P25" s="32" t="n">
        <f aca="false">P23/P21*100</f>
        <v>1.04397180128472</v>
      </c>
      <c r="Q25" s="32" t="n">
        <f aca="false">Q23/Q21*100</f>
        <v>1.12768000777443</v>
      </c>
      <c r="R25" s="32" t="n">
        <f aca="false">R23/R21*100</f>
        <v>1.21873811913667</v>
      </c>
      <c r="S25" s="28" t="s">
        <v>25</v>
      </c>
      <c r="T25" s="13"/>
      <c r="V25" s="50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28.3" hidden="false" customHeight="false" outlineLevel="0" collapsed="false">
      <c r="T27" s="13"/>
      <c r="U27" s="53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População, BRISE (0 - 3 Gp)</v>
      </c>
      <c r="V28" s="25" t="n">
        <v>3000</v>
      </c>
      <c r="W28" s="56" t="n">
        <f aca="false">W38</f>
        <v>3000</v>
      </c>
      <c r="AA28" s="29" t="str">
        <f aca="false">CONCATENATE(A9," (0 - ",W28/1000," Gp)")</f>
        <v> População, BRISE (0 - 3 Gp)</v>
      </c>
      <c r="AB28" s="57" t="n">
        <f aca="false">B9/$W28</f>
        <v>0.402266111</v>
      </c>
      <c r="AC28" s="57" t="n">
        <f aca="false">C9/$W28</f>
        <v>0.448125491666667</v>
      </c>
      <c r="AD28" s="57" t="n">
        <f aca="false">D9/$W28</f>
        <v>0.498766449</v>
      </c>
      <c r="AE28" s="57" t="n">
        <f aca="false">E9/$W28</f>
        <v>0.553994570333333</v>
      </c>
      <c r="AF28" s="57" t="n">
        <f aca="false">F9/$W28</f>
        <v>0.610137227333333</v>
      </c>
      <c r="AG28" s="57" t="n">
        <f aca="false">G9/$W28</f>
        <v>0.662297338666667</v>
      </c>
      <c r="AH28" s="57" t="n">
        <f aca="false">H9/$W28</f>
        <v>0.711431899</v>
      </c>
      <c r="AI28" s="57" t="n">
        <f aca="false">I9/$W28</f>
        <v>0.758499288333334</v>
      </c>
      <c r="AJ28" s="57" t="n">
        <f aca="false">J9/$W28</f>
        <v>0.803977014666667</v>
      </c>
      <c r="AK28" s="57" t="n">
        <f aca="false">K9/$W28</f>
        <v>0.84065087558</v>
      </c>
      <c r="AL28" s="57" t="n">
        <f aca="false">L9/$W28</f>
        <v>0.869777869495637</v>
      </c>
      <c r="AM28" s="57" t="n">
        <f aca="false">M9/$W28</f>
        <v>0.892832305019584</v>
      </c>
      <c r="AN28" s="57" t="n">
        <f aca="false">N9/$W28</f>
        <v>0.908265565083854</v>
      </c>
      <c r="AO28" s="57" t="n">
        <f aca="false">O9/$W28</f>
        <v>0.91715320243032</v>
      </c>
      <c r="AP28" s="57" t="n">
        <f aca="false">P9/$W28</f>
        <v>0.918587541468252</v>
      </c>
      <c r="AQ28" s="57" t="n">
        <f aca="false">Q9/$W28</f>
        <v>0.911975006319108</v>
      </c>
      <c r="AR28" s="57" t="n">
        <f aca="false">R9/$W28</f>
        <v>0.89840116997055</v>
      </c>
    </row>
    <row r="29" customFormat="false" ht="11.25" hidden="false" customHeight="false" outlineLevel="0" collapsed="false">
      <c r="T29" s="13"/>
      <c r="U29" s="15" t="str">
        <f aca="false">AA29</f>
        <v> Nascimentos, BRISE (0 - 50 milhões/ano)</v>
      </c>
      <c r="V29" s="25" t="n">
        <v>50</v>
      </c>
      <c r="W29" s="56" t="n">
        <f aca="false">W39</f>
        <v>50</v>
      </c>
      <c r="AA29" s="29" t="str">
        <f aca="false">CONCATENATE(A10," (0 - ",W29," Mp / yr)")</f>
        <v> Nascimentos, BRISE (0 - 50 milhões/ano)</v>
      </c>
      <c r="AB29" s="57" t="n">
        <f aca="false">B10/$W29</f>
        <v>0.845820632</v>
      </c>
      <c r="AC29" s="57" t="n">
        <f aca="false">C10/$W29</f>
        <v>0.903877476</v>
      </c>
      <c r="AD29" s="57" t="n">
        <f aca="false">D10/$W29</f>
        <v>0.956315608</v>
      </c>
      <c r="AE29" s="57" t="n">
        <f aca="false">E10/$W29</f>
        <v>0.971970576</v>
      </c>
      <c r="AF29" s="57" t="n">
        <f aca="false">F10/$W29</f>
        <v>0.94825688</v>
      </c>
      <c r="AG29" s="57" t="n">
        <f aca="false">G10/$W29</f>
        <v>0.914965484</v>
      </c>
      <c r="AH29" s="57" t="n">
        <f aca="false">H10/$W29</f>
        <v>0.906040516</v>
      </c>
      <c r="AI29" s="57" t="n">
        <f aca="false">I10/$W29</f>
        <v>0.902674392</v>
      </c>
      <c r="AJ29" s="57" t="n">
        <f aca="false">J10/$W29</f>
        <v>0.82005655496</v>
      </c>
      <c r="AK29" s="57" t="n">
        <f aca="false">K10/$W29</f>
        <v>0.756585788022</v>
      </c>
      <c r="AL29" s="57" t="n">
        <f aca="false">L10/$W29</f>
        <v>0.704520074291466</v>
      </c>
      <c r="AM29" s="57" t="n">
        <f aca="false">M10/$W29</f>
        <v>0.6428392596141</v>
      </c>
      <c r="AN29" s="57" t="n">
        <f aca="false">N10/$W29</f>
        <v>0.599455272955344</v>
      </c>
      <c r="AO29" s="57" t="n">
        <f aca="false">O10/$W29</f>
        <v>0.550291921458192</v>
      </c>
      <c r="AP29" s="57" t="n">
        <f aca="false">P10/$W29</f>
        <v>0.496037272392856</v>
      </c>
      <c r="AQ29" s="57" t="n">
        <f aca="false">Q10/$W29</f>
        <v>0.454163553146916</v>
      </c>
      <c r="AR29" s="57" t="n">
        <f aca="false">R10/$W29</f>
        <v>0.404280526486748</v>
      </c>
    </row>
    <row r="30" customFormat="false" ht="11.25" hidden="false" customHeight="false" outlineLevel="0" collapsed="false">
      <c r="T30" s="13"/>
      <c r="U30" s="15" t="str">
        <f aca="false">AA30</f>
        <v> Mortes, BRISE (0 - 35 milhões/ano)</v>
      </c>
      <c r="V30" s="25" t="n">
        <v>35</v>
      </c>
      <c r="W30" s="56" t="n">
        <f aca="false">W40</f>
        <v>35</v>
      </c>
      <c r="AA30" s="29" t="str">
        <f aca="false">CONCATENATE(A11," (0 - ",W30," Mp / yr)")</f>
        <v> Mortes, BRISE (0 - 35 milhões/ano)</v>
      </c>
      <c r="AB30" s="57" t="n">
        <f aca="false">B11/$W30</f>
        <v>0.468102434285714</v>
      </c>
      <c r="AC30" s="57" t="n">
        <f aca="false">C11/$W30</f>
        <v>0.463995582857143</v>
      </c>
      <c r="AD30" s="57" t="n">
        <f aca="false">D11/$W30</f>
        <v>0.476894697142857</v>
      </c>
      <c r="AE30" s="57" t="n">
        <f aca="false">E11/$W30</f>
        <v>0.476309514285714</v>
      </c>
      <c r="AF30" s="57" t="n">
        <f aca="false">F11/$W30</f>
        <v>0.493836697142857</v>
      </c>
      <c r="AG30" s="57" t="n">
        <f aca="false">G11/$W30</f>
        <v>0.508438674285714</v>
      </c>
      <c r="AH30" s="57" t="n">
        <f aca="false">H11/$W30</f>
        <v>0.528158228571429</v>
      </c>
      <c r="AI30" s="57" t="n">
        <f aca="false">I11/$W30</f>
        <v>0.538964222857143</v>
      </c>
      <c r="AJ30" s="57" t="n">
        <f aca="false">J11/$W30</f>
        <v>0.542814605714286</v>
      </c>
      <c r="AK30" s="57" t="n">
        <f aca="false">K11/$W30</f>
        <v>0.581516944334795</v>
      </c>
      <c r="AL30" s="57" t="n">
        <f aca="false">L11/$W30</f>
        <v>0.61123835429158</v>
      </c>
      <c r="AM30" s="57" t="n">
        <f aca="false">M11/$W30</f>
        <v>0.653771626918364</v>
      </c>
      <c r="AN30" s="57" t="n">
        <f aca="false">N11/$W30</f>
        <v>0.704005178282501</v>
      </c>
      <c r="AO30" s="57" t="n">
        <f aca="false">O11/$W30</f>
        <v>0.761542647147156</v>
      </c>
      <c r="AP30" s="57" t="n">
        <f aca="false">P11/$W30</f>
        <v>0.821982420260841</v>
      </c>
      <c r="AQ30" s="57" t="n">
        <f aca="false">Q11/$W30</f>
        <v>0.881499413328014</v>
      </c>
      <c r="AR30" s="57" t="n">
        <f aca="false">R11/$W30</f>
        <v>0.938499216102938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(0 - 4 % / ano)</v>
      </c>
      <c r="V31" s="25" t="n">
        <v>4</v>
      </c>
      <c r="W31" s="56" t="n">
        <f aca="false">W41</f>
        <v>4</v>
      </c>
      <c r="AA31" s="29" t="str">
        <f aca="false">CONCATENATE(A12," (0 - ",W31," % / yr)")</f>
        <v> Taxa bruta de natalidade (0 - 4 % / ano)</v>
      </c>
      <c r="AB31" s="57" t="n">
        <f aca="false">B12/$W31</f>
        <v>0.876099809793158</v>
      </c>
      <c r="AC31" s="57" t="n">
        <f aca="false">C12/$W31</f>
        <v>0.840424439143805</v>
      </c>
      <c r="AD31" s="57" t="n">
        <f aca="false">D12/$W31</f>
        <v>0.798900642706756</v>
      </c>
      <c r="AE31" s="57" t="n">
        <f aca="false">E12/$W31</f>
        <v>0.731031966173103</v>
      </c>
      <c r="AF31" s="57" t="n">
        <f aca="false">F12/$W31</f>
        <v>0.647570768727207</v>
      </c>
      <c r="AG31" s="57" t="n">
        <f aca="false">G12/$W31</f>
        <v>0.575626076198396</v>
      </c>
      <c r="AH31" s="57" t="n">
        <f aca="false">H12/$W31</f>
        <v>0.53064373722532</v>
      </c>
      <c r="AI31" s="57" t="n">
        <f aca="false">I12/$W31</f>
        <v>0.495866424379176</v>
      </c>
      <c r="AJ31" s="57" t="n">
        <f aca="false">J12/$W31</f>
        <v>0.425</v>
      </c>
      <c r="AK31" s="57" t="n">
        <f aca="false">K12/$W31</f>
        <v>0.375</v>
      </c>
      <c r="AL31" s="57" t="n">
        <f aca="false">L12/$W31</f>
        <v>0.3375</v>
      </c>
      <c r="AM31" s="57" t="n">
        <f aca="false">M12/$W31</f>
        <v>0.3</v>
      </c>
      <c r="AN31" s="57" t="n">
        <f aca="false">N12/$W31</f>
        <v>0.275</v>
      </c>
      <c r="AO31" s="57" t="n">
        <f aca="false">O12/$W31</f>
        <v>0.25</v>
      </c>
      <c r="AP31" s="57" t="n">
        <f aca="false">P12/$W31</f>
        <v>0.225</v>
      </c>
      <c r="AQ31" s="57" t="n">
        <f aca="false">Q12/$W31</f>
        <v>0.2075</v>
      </c>
      <c r="AR31" s="57" t="n">
        <f aca="false">R12/$W31</f>
        <v>0.1875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0.678803771599177</v>
      </c>
      <c r="AC32" s="57" t="n">
        <f aca="false">C13/$W32</f>
        <v>0.603991727837993</v>
      </c>
      <c r="AD32" s="57" t="n">
        <f aca="false">D13/$W32</f>
        <v>0.557753180654165</v>
      </c>
      <c r="AE32" s="57" t="n">
        <f aca="false">E13/$W32</f>
        <v>0.501534187419001</v>
      </c>
      <c r="AF32" s="57" t="n">
        <f aca="false">F13/$W32</f>
        <v>0.472141993245867</v>
      </c>
      <c r="AG32" s="57" t="n">
        <f aca="false">G13/$W32</f>
        <v>0.447818841102032</v>
      </c>
      <c r="AH32" s="57" t="n">
        <f aca="false">H13/$W32</f>
        <v>0.433059440310534</v>
      </c>
      <c r="AI32" s="57" t="n">
        <f aca="false">I13/$W32</f>
        <v>0.414497154450198</v>
      </c>
      <c r="AJ32" s="57" t="n">
        <f aca="false">J13/$W32</f>
        <v>0.393844410420881</v>
      </c>
      <c r="AK32" s="57" t="n">
        <f aca="false">K13/$W32</f>
        <v>0.403518544240603</v>
      </c>
      <c r="AL32" s="57" t="n">
        <f aca="false">L13/$W32</f>
        <v>0.409938812166888</v>
      </c>
      <c r="AM32" s="57" t="n">
        <f aca="false">M13/$W32</f>
        <v>0.427142678669855</v>
      </c>
      <c r="AN32" s="57" t="n">
        <f aca="false">N13/$W32</f>
        <v>0.452147150699856</v>
      </c>
      <c r="AO32" s="57" t="n">
        <f aca="false">O13/$W32</f>
        <v>0.484360965712913</v>
      </c>
      <c r="AP32" s="57" t="n">
        <f aca="false">P13/$W32</f>
        <v>0.52198590064236</v>
      </c>
      <c r="AQ32" s="57" t="n">
        <f aca="false">Q13/$W32</f>
        <v>0.563840003887214</v>
      </c>
      <c r="AR32" s="57" t="n">
        <f aca="false">R13/$W32</f>
        <v>0.609369059568336</v>
      </c>
    </row>
    <row r="33" customFormat="false" ht="11.25" hidden="false" customHeight="false" outlineLevel="0" collapsed="false">
      <c r="T33" s="13"/>
      <c r="U33" s="58" t="str">
        <f aca="false">AA33</f>
        <v> Previsão de baixa populacional da ONU (0 - 3 Gp)</v>
      </c>
      <c r="V33" s="28"/>
      <c r="W33" s="59" t="n">
        <f aca="false">W28</f>
        <v>3000</v>
      </c>
      <c r="AA33" s="29" t="str">
        <f aca="false">CONCATENATE(A21," (0 - ",W33/1000," Gp)")</f>
        <v> Previsão de baixa populacional da ONU (0 - 3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0.809938935061993</v>
      </c>
      <c r="AL33" s="57" t="n">
        <f aca="false">L21/$W33</f>
        <v>0.835743562612114</v>
      </c>
      <c r="AM33" s="57" t="n">
        <f aca="false">M21/$W33</f>
        <v>0.853757385710761</v>
      </c>
      <c r="AN33" s="57" t="n">
        <f aca="false">N21/$W33</f>
        <v>0.866618465677584</v>
      </c>
      <c r="AO33" s="57" t="n">
        <f aca="false">O21/$W33</f>
        <v>0.873406171457281</v>
      </c>
      <c r="AP33" s="57" t="n">
        <f aca="false">P21/$W33</f>
        <v>0.873023989292694</v>
      </c>
      <c r="AQ33" s="57" t="n">
        <f aca="false">Q21/$W33</f>
        <v>0.865099785938987</v>
      </c>
      <c r="AR33" s="57" t="n">
        <f aca="false">R21/$W33</f>
        <v>0.850114609309117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(0 - 50 milhões/ano)</v>
      </c>
      <c r="V34" s="28"/>
      <c r="W34" s="59" t="n">
        <f aca="false">W29</f>
        <v>50</v>
      </c>
      <c r="AA34" s="29" t="str">
        <f aca="false">CONCATENATE(A22," (0 - ",W34," Mp / yr)")</f>
        <v>Nascimentos: Previsão baixa da ONU (0 - 50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0.783986704</v>
      </c>
      <c r="AK34" s="57" t="n">
        <f aca="false">K22/$W34</f>
        <v>0.691590376</v>
      </c>
      <c r="AL34" s="57" t="n">
        <f aca="false">L22/$W34</f>
        <v>0.615848488</v>
      </c>
      <c r="AM34" s="57" t="n">
        <f aca="false">M22/$W34</f>
        <v>0.581124292</v>
      </c>
      <c r="AN34" s="57" t="n">
        <f aca="false">N22/$W34</f>
        <v>0.541775832</v>
      </c>
      <c r="AO34" s="57" t="n">
        <f aca="false">O22/$W34</f>
        <v>0.494027344</v>
      </c>
      <c r="AP34" s="57" t="n">
        <f aca="false">P22/$W34</f>
        <v>0.443080872</v>
      </c>
      <c r="AQ34" s="57" t="n">
        <f aca="false">Q22/$W34</f>
        <v>0.397207652</v>
      </c>
      <c r="AR34" s="57" t="n">
        <f aca="false">R22/$W34</f>
        <v>0.360905236</v>
      </c>
    </row>
    <row r="35" s="3" customFormat="true" ht="11.25" hidden="false" customHeight="false" outlineLevel="0" collapsed="false">
      <c r="T35" s="13"/>
      <c r="U35" s="58" t="str">
        <f aca="false">AA35</f>
        <v> Mortes: Previsão baixa da ONU (0 - 35 milhões/ano)</v>
      </c>
      <c r="V35" s="28"/>
      <c r="W35" s="59" t="n">
        <f aca="false">W30</f>
        <v>35</v>
      </c>
      <c r="AA35" s="29" t="str">
        <f aca="false">CONCATENATE(A23," (0 - ",W35," Mp / yr)")</f>
        <v> Mortes: Previsão baixa da ONU (0 - 35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0.542814605714286</v>
      </c>
      <c r="AK35" s="57" t="n">
        <f aca="false">K23/$W35</f>
        <v>0.56027208</v>
      </c>
      <c r="AL35" s="57" t="n">
        <f aca="false">L23/$W35</f>
        <v>0.587320668571429</v>
      </c>
      <c r="AM35" s="57" t="n">
        <f aca="false">M23/$W35</f>
        <v>0.625159228571429</v>
      </c>
      <c r="AN35" s="57" t="n">
        <f aca="false">N23/$W35</f>
        <v>0.67172412</v>
      </c>
      <c r="AO35" s="57" t="n">
        <f aca="false">O23/$W35</f>
        <v>0.72521804</v>
      </c>
      <c r="AP35" s="57" t="n">
        <f aca="false">P23/$W35</f>
        <v>0.781210651428571</v>
      </c>
      <c r="AQ35" s="57" t="n">
        <f aca="false">Q23/$W35</f>
        <v>0.836190628571429</v>
      </c>
      <c r="AR35" s="57" t="n">
        <f aca="false">R23/$W35</f>
        <v>0.888057497142857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(0 - 4% / ano)</v>
      </c>
      <c r="V36" s="28"/>
      <c r="W36" s="59" t="n">
        <f aca="false">W31</f>
        <v>4</v>
      </c>
      <c r="AA36" s="29" t="str">
        <f aca="false">CONCATENATE(A24," (0 - ",W36," % / yr)")</f>
        <v> Baixa taxa de natalidade da ONU (0 - 4%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0.406306549450424</v>
      </c>
      <c r="AK36" s="57" t="n">
        <f aca="false">K24/$W36</f>
        <v>0.355783188327168</v>
      </c>
      <c r="AL36" s="57" t="n">
        <f aca="false">L24/$W36</f>
        <v>0.307036210802095</v>
      </c>
      <c r="AM36" s="57" t="n">
        <f aca="false">M24/$W36</f>
        <v>0.283611159000501</v>
      </c>
      <c r="AN36" s="57" t="n">
        <f aca="false">N24/$W36</f>
        <v>0.260483637194946</v>
      </c>
      <c r="AO36" s="57" t="n">
        <f aca="false">O24/$W36</f>
        <v>0.235680412382722</v>
      </c>
      <c r="AP36" s="57" t="n">
        <f aca="false">P24/$W36</f>
        <v>0.211468450196395</v>
      </c>
      <c r="AQ36" s="57" t="n">
        <f aca="false">Q24/$W36</f>
        <v>0.191311096157184</v>
      </c>
      <c r="AR36" s="57" t="n">
        <f aca="false">R24/$W36</f>
        <v>0.17689048043637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0.393844410420881</v>
      </c>
      <c r="AK37" s="57" t="n">
        <f aca="false">K25/$W37</f>
        <v>0.403518544240603</v>
      </c>
      <c r="AL37" s="57" t="n">
        <f aca="false">L25/$W37</f>
        <v>0.409938812166888</v>
      </c>
      <c r="AM37" s="57" t="n">
        <f aca="false">M25/$W37</f>
        <v>0.427142678669855</v>
      </c>
      <c r="AN37" s="57" t="n">
        <f aca="false">N25/$W37</f>
        <v>0.452147150699856</v>
      </c>
      <c r="AO37" s="57" t="n">
        <f aca="false">O25/$W37</f>
        <v>0.484360965712913</v>
      </c>
      <c r="AP37" s="57" t="n">
        <f aca="false">P25/$W37</f>
        <v>0.52198590064236</v>
      </c>
      <c r="AQ37" s="57" t="n">
        <f aca="false">Q25/$W37</f>
        <v>0.563840003887214</v>
      </c>
      <c r="AR37" s="57" t="n">
        <f aca="false">R25/$W37</f>
        <v>0.609369059568336</v>
      </c>
    </row>
    <row r="38" s="3" customFormat="true" ht="11.25" hidden="false" customHeight="false" outlineLevel="0" collapsed="false">
      <c r="T38" s="13"/>
      <c r="U38" s="37" t="str">
        <f aca="false">AA38</f>
        <v> População, BRISE Sua previsão (0 - 3 Gp)</v>
      </c>
      <c r="V38" s="28"/>
      <c r="W38" s="60" t="n">
        <v>3000</v>
      </c>
      <c r="AA38" s="29" t="str">
        <f aca="false">CONCATENATE(A9," Your forecast (0 - ",W38/1000," Gp)")</f>
        <v> População, BRISE Sua previsão (0 - 3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0.84065087558</v>
      </c>
      <c r="AL38" s="57" t="n">
        <f aca="false">L17/$W38</f>
        <v>0.869195329617325</v>
      </c>
      <c r="AM38" s="57" t="n">
        <f aca="false">M17/$W38</f>
        <v>0.891773544377006</v>
      </c>
      <c r="AN38" s="57" t="n">
        <f aca="false">N17/$W38</f>
        <v>0.906880203816188</v>
      </c>
      <c r="AO38" s="57" t="n">
        <f aca="false">O17/$W38</f>
        <v>0.915576803384084</v>
      </c>
      <c r="AP38" s="57" t="n">
        <f aca="false">P17/$W38</f>
        <v>0.916980039612101</v>
      </c>
      <c r="AQ38" s="57" t="n">
        <f aca="false">Q17/$W38</f>
        <v>0.910511095477892</v>
      </c>
      <c r="AR38" s="57" t="n">
        <f aca="false">R17/$W38</f>
        <v>0.897230088928845</v>
      </c>
    </row>
    <row r="39" s="3" customFormat="true" ht="11.25" hidden="false" customHeight="false" outlineLevel="0" collapsed="false">
      <c r="T39" s="13"/>
      <c r="U39" s="37" t="str">
        <f aca="false">AA39</f>
        <v> Nascimentos, BRISE Sua previsão (0 - 50 milhões/ano)</v>
      </c>
      <c r="V39" s="28"/>
      <c r="W39" s="60" t="n">
        <v>50</v>
      </c>
      <c r="AA39" s="29" t="str">
        <f aca="false">CONCATENATE(A10," Your forecast (0 - ",W39," Mp / yr)")</f>
        <v> Nascimentos, BRISE Sua previsão (0 - 50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0.82005655496</v>
      </c>
      <c r="AK39" s="57" t="n">
        <f aca="false">K18/$W39</f>
        <v>0.74145407226156</v>
      </c>
      <c r="AL39" s="57" t="n">
        <f aca="false">L18/$W39</f>
        <v>0.689967252650232</v>
      </c>
      <c r="AM39" s="57" t="n">
        <f aca="false">M18/$W39</f>
        <v>0.629235412912415</v>
      </c>
      <c r="AN39" s="57" t="n">
        <f aca="false">N18/$W39</f>
        <v>0.58657011582831</v>
      </c>
      <c r="AO39" s="57" t="n">
        <f aca="false">O18/$W39</f>
        <v>0.538359160389841</v>
      </c>
      <c r="AP39" s="57" t="n">
        <f aca="false">P18/$W39</f>
        <v>0.485265836962724</v>
      </c>
      <c r="AQ39" s="57" t="n">
        <f aca="false">Q18/$W39</f>
        <v>0.44436583503703</v>
      </c>
      <c r="AR39" s="57" t="n">
        <f aca="false">R18/$W39</f>
        <v>0.39567846921762</v>
      </c>
    </row>
    <row r="40" s="3" customFormat="true" ht="11.25" hidden="false" customHeight="false" outlineLevel="0" collapsed="false">
      <c r="T40" s="13"/>
      <c r="U40" s="37" t="str">
        <f aca="false">AA40</f>
        <v> Mortes, BRISE Sua previsão (0 - 35 milhões/ano)</v>
      </c>
      <c r="V40" s="28"/>
      <c r="W40" s="60" t="n">
        <v>35</v>
      </c>
      <c r="AA40" s="29" t="str">
        <f aca="false">CONCATENATE(A11," Your forecast (0 - ",W40," Mp / yr)")</f>
        <v> Mortes, BRISE Sua previsão (0 - 35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0.542814605714286</v>
      </c>
      <c r="AK40" s="57" t="n">
        <f aca="false">K19/$W40</f>
        <v>0.569886605448099</v>
      </c>
      <c r="AL40" s="57" t="n">
        <f aca="false">L19/$W40</f>
        <v>0.598612393620079</v>
      </c>
      <c r="AM40" s="57" t="n">
        <f aca="false">M19/$W40</f>
        <v>0.639936428060336</v>
      </c>
      <c r="AN40" s="57" t="n">
        <f aca="false">N19/$W40</f>
        <v>0.688872744305077</v>
      </c>
      <c r="AO40" s="57" t="n">
        <f aca="false">O19/$W40</f>
        <v>0.745029036648048</v>
      </c>
      <c r="AP40" s="57" t="n">
        <f aca="false">P19/$W40</f>
        <v>0.804133095104623</v>
      </c>
      <c r="AQ40" s="57" t="n">
        <f aca="false">Q19/$W40</f>
        <v>0.862482733750859</v>
      </c>
      <c r="AR40" s="57" t="n">
        <f aca="false">R19/$W40</f>
        <v>0.918530349251734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(0 - 4%/ano)</v>
      </c>
      <c r="V41" s="28"/>
      <c r="W41" s="60" t="n">
        <v>4</v>
      </c>
      <c r="AA41" s="29" t="str">
        <f aca="false">CONCATENATE(A12," Your forecast (0 - ",W41," % / yr)")</f>
        <v> Taxa bruta de natalidade: Sua previsão (0 - 4%/ano)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0.425</v>
      </c>
      <c r="AK41" s="57" t="n">
        <f aca="false">K15/$W41</f>
        <v>0.3675</v>
      </c>
      <c r="AL41" s="57" t="n">
        <f aca="false">L15/$W41</f>
        <v>0.33075</v>
      </c>
      <c r="AM41" s="57" t="n">
        <f aca="false">M15/$W41</f>
        <v>0.294</v>
      </c>
      <c r="AN41" s="57" t="n">
        <f aca="false">N15/$W41</f>
        <v>0.2695</v>
      </c>
      <c r="AO41" s="57" t="n">
        <f aca="false">O15/$W41</f>
        <v>0.245</v>
      </c>
      <c r="AP41" s="57" t="n">
        <f aca="false">P15/$W41</f>
        <v>0.2205</v>
      </c>
      <c r="AQ41" s="57" t="n">
        <f aca="false">Q15/$W41</f>
        <v>0.20335</v>
      </c>
      <c r="AR41" s="57" t="n">
        <f aca="false">R15/$W41</f>
        <v>0.18375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0.393844410420881</v>
      </c>
      <c r="AK42" s="57" t="n">
        <f aca="false">K16/$W42</f>
        <v>0.395448173355791</v>
      </c>
      <c r="AL42" s="57" t="n">
        <f aca="false">L16/$W42</f>
        <v>0.40174003592355</v>
      </c>
      <c r="AM42" s="57" t="n">
        <f aca="false">M16/$W42</f>
        <v>0.418599825096458</v>
      </c>
      <c r="AN42" s="57" t="n">
        <f aca="false">N16/$W42</f>
        <v>0.443104207685858</v>
      </c>
      <c r="AO42" s="57" t="n">
        <f aca="false">O16/$W42</f>
        <v>0.474673746398655</v>
      </c>
      <c r="AP42" s="57" t="n">
        <f aca="false">P16/$W42</f>
        <v>0.511546182629513</v>
      </c>
      <c r="AQ42" s="57" t="n">
        <f aca="false">Q16/$W42</f>
        <v>0.55256320380947</v>
      </c>
      <c r="AR42" s="57" t="n">
        <f aca="false">R16/$W42</f>
        <v>0.597181678376969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BRISE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178</v>
      </c>
      <c r="B55" s="26" t="n">
        <f aca="false">B9</f>
        <v>1206.798333</v>
      </c>
      <c r="C55" s="26" t="n">
        <f aca="false">C9</f>
        <v>1344.376475</v>
      </c>
      <c r="D55" s="26" t="n">
        <f aca="false">D9</f>
        <v>1496.299347</v>
      </c>
      <c r="E55" s="26" t="n">
        <f aca="false">E9</f>
        <v>1661.983711</v>
      </c>
      <c r="F55" s="26" t="n">
        <f aca="false">F9</f>
        <v>1830.411682</v>
      </c>
      <c r="G55" s="26" t="n">
        <f aca="false">G9</f>
        <v>1986.892016</v>
      </c>
      <c r="H55" s="26" t="n">
        <f aca="false">H9</f>
        <v>2134.295697</v>
      </c>
      <c r="I55" s="26" t="n">
        <f aca="false">I9</f>
        <v>2275.497865</v>
      </c>
      <c r="J55" s="26" t="n">
        <f aca="false">J9</f>
        <v>2411.931044</v>
      </c>
      <c r="K55" s="27" t="n">
        <f aca="false">K9</f>
        <v>2521.95262674</v>
      </c>
      <c r="L55" s="27" t="n">
        <f aca="false">L9</f>
        <v>2609.33360848691</v>
      </c>
      <c r="M55" s="27" t="n">
        <f aca="false">M9</f>
        <v>2678.49691505875</v>
      </c>
      <c r="N55" s="27" t="n">
        <f aca="false">N9</f>
        <v>2724.79669525156</v>
      </c>
      <c r="O55" s="27" t="n">
        <f aca="false">O9</f>
        <v>2751.45960729096</v>
      </c>
      <c r="P55" s="27" t="n">
        <f aca="false">P9</f>
        <v>2755.76262440476</v>
      </c>
      <c r="Q55" s="27" t="n">
        <f aca="false">Q9</f>
        <v>2735.92501895732</v>
      </c>
      <c r="R55" s="27" t="n">
        <f aca="false">R9</f>
        <v>2695.20350991165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181</v>
      </c>
      <c r="B56" s="62" t="n">
        <v>678.960362</v>
      </c>
      <c r="C56" s="62" t="n">
        <v>766.957596</v>
      </c>
      <c r="D56" s="62" t="n">
        <v>864.334891</v>
      </c>
      <c r="E56" s="62" t="n">
        <v>972.757053</v>
      </c>
      <c r="F56" s="62" t="n">
        <v>1088.310487</v>
      </c>
      <c r="G56" s="62" t="n">
        <v>1208.598893</v>
      </c>
      <c r="H56" s="62" t="n">
        <v>1342.365146</v>
      </c>
      <c r="I56" s="62" t="n">
        <v>1474.269319</v>
      </c>
      <c r="J56" s="62" t="n">
        <v>1600.373465</v>
      </c>
      <c r="K56" s="27" t="n">
        <f aca="false">K57</f>
        <v>1646.518791</v>
      </c>
      <c r="L56" s="27" t="n">
        <f aca="false">L57</f>
        <v>1735.199988</v>
      </c>
      <c r="M56" s="27" t="n">
        <f aca="false">M57</f>
        <v>1813.216052</v>
      </c>
      <c r="N56" s="27" t="n">
        <f aca="false">N57</f>
        <v>1853.894736</v>
      </c>
      <c r="O56" s="27" t="n">
        <f aca="false">O57</f>
        <v>1864.590814</v>
      </c>
      <c r="P56" s="27" t="n">
        <f aca="false">P57</f>
        <v>1845.008179</v>
      </c>
      <c r="Q56" s="27" t="n">
        <f aca="false">Q57</f>
        <v>1801.923541</v>
      </c>
      <c r="R56" s="27" t="n">
        <f aca="false">R57</f>
        <v>1735.296925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64" t="n">
        <v>1646.518791</v>
      </c>
      <c r="L57" s="64" t="n">
        <v>1735.199988</v>
      </c>
      <c r="M57" s="64" t="n">
        <v>1813.216052</v>
      </c>
      <c r="N57" s="64" t="n">
        <v>1853.894736</v>
      </c>
      <c r="O57" s="64" t="n">
        <v>1864.590814</v>
      </c>
      <c r="P57" s="64" t="n">
        <v>1845.008179</v>
      </c>
      <c r="Q57" s="64" t="n">
        <v>1801.923541</v>
      </c>
      <c r="R57" s="64" t="n">
        <v>1735.296925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56.2612943218244</v>
      </c>
      <c r="C58" s="65" t="n">
        <f aca="false">C56/C55*100</f>
        <v>57.0493169333389</v>
      </c>
      <c r="D58" s="65" t="n">
        <f aca="false">D56/D55*100</f>
        <v>57.7648378135662</v>
      </c>
      <c r="E58" s="65" t="n">
        <f aca="false">E56/E55*100</f>
        <v>58.5298788767732</v>
      </c>
      <c r="F58" s="65" t="n">
        <f aca="false">F56/F55*100</f>
        <v>59.4571427675143</v>
      </c>
      <c r="G58" s="65" t="n">
        <f aca="false">G56/G55*100</f>
        <v>60.8286149054615</v>
      </c>
      <c r="H58" s="65" t="n">
        <f aca="false">H56/H55*100</f>
        <v>62.8949937858587</v>
      </c>
      <c r="I58" s="65" t="n">
        <f aca="false">I56/I55*100</f>
        <v>64.7888684791185</v>
      </c>
      <c r="J58" s="65" t="n">
        <f aca="false">J56/J55*100</f>
        <v>66.3523722612693</v>
      </c>
      <c r="K58" s="65" t="n">
        <f aca="false">K56/K55*100</f>
        <v>65.2874591513787</v>
      </c>
      <c r="L58" s="65" t="n">
        <f aca="false">L56/L55*100</f>
        <v>66.4997370346293</v>
      </c>
      <c r="M58" s="65" t="n">
        <f aca="false">M56/M55*100</f>
        <v>67.6952824476271</v>
      </c>
      <c r="N58" s="65" t="n">
        <f aca="false">N56/N55*100</f>
        <v>68.0379104698247</v>
      </c>
      <c r="O58" s="65" t="n">
        <f aca="false">O56/O55*100</f>
        <v>67.7673337111368</v>
      </c>
      <c r="P58" s="65" t="n">
        <f aca="false">P56/P55*100</f>
        <v>66.950910889813</v>
      </c>
      <c r="Q58" s="65" t="n">
        <f aca="false">Q56/Q55*100</f>
        <v>65.8615835051913</v>
      </c>
      <c r="R58" s="65" t="n">
        <f aca="false">R56/R55*100</f>
        <v>64.3846343557516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1.77742089309184</v>
      </c>
      <c r="C59" s="32" t="n">
        <f aca="false">C55/C56</f>
        <v>1.75286936593558</v>
      </c>
      <c r="D59" s="32" t="n">
        <f aca="false">D55/D56</f>
        <v>1.73115694226904</v>
      </c>
      <c r="E59" s="32" t="n">
        <f aca="false">E55/E56</f>
        <v>1.70852907812327</v>
      </c>
      <c r="F59" s="32" t="n">
        <f aca="false">F55/F56</f>
        <v>1.68188371229028</v>
      </c>
      <c r="G59" s="32" t="n">
        <f aca="false">G55/G56</f>
        <v>1.64396312747574</v>
      </c>
      <c r="H59" s="32" t="n">
        <f aca="false">H55/H56</f>
        <v>1.58995166356919</v>
      </c>
      <c r="I59" s="32" t="n">
        <f aca="false">I55/I56</f>
        <v>1.54347501889511</v>
      </c>
      <c r="J59" s="32" t="n">
        <f aca="false">J55/J56</f>
        <v>1.50710512061633</v>
      </c>
      <c r="K59" s="32" t="n">
        <f aca="false">K55/K56</f>
        <v>1.53168772839107</v>
      </c>
      <c r="L59" s="32" t="n">
        <f aca="false">L55/L56</f>
        <v>1.50376534493551</v>
      </c>
      <c r="M59" s="32" t="n">
        <f aca="false">M55/M56</f>
        <v>1.47720781100759</v>
      </c>
      <c r="N59" s="32" t="n">
        <f aca="false">N55/N56</f>
        <v>1.46976882901703</v>
      </c>
      <c r="O59" s="32" t="n">
        <f aca="false">O55/O56</f>
        <v>1.47563722111685</v>
      </c>
      <c r="P59" s="32" t="n">
        <f aca="false">P55/P56</f>
        <v>1.49363165744793</v>
      </c>
      <c r="Q59" s="32" t="n">
        <f aca="false">Q55/Q56</f>
        <v>1.5183357987759</v>
      </c>
      <c r="R59" s="32" t="n">
        <f aca="false">R55/R56</f>
        <v>1.5531656116498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6"/>
      <c r="G61" s="66"/>
      <c r="H61" s="67" t="s">
        <v>42</v>
      </c>
      <c r="I61" s="39"/>
      <c r="J61" s="38" t="s">
        <v>7</v>
      </c>
      <c r="K61" s="68" t="n">
        <f aca="false">K57</f>
        <v>1646.518791</v>
      </c>
      <c r="L61" s="68" t="n">
        <f aca="false">L57*0.98</f>
        <v>1700.49598824</v>
      </c>
      <c r="M61" s="68" t="n">
        <f aca="false">M57*0.98</f>
        <v>1776.95173096</v>
      </c>
      <c r="N61" s="68" t="n">
        <f aca="false">N57*0.98</f>
        <v>1816.81684128</v>
      </c>
      <c r="O61" s="68" t="n">
        <f aca="false">O57*0.98</f>
        <v>1827.29899772</v>
      </c>
      <c r="P61" s="68" t="n">
        <f aca="false">P57*0.98</f>
        <v>1808.10801542</v>
      </c>
      <c r="Q61" s="68" t="n">
        <f aca="false">Q57*0.98</f>
        <v>1765.88507018</v>
      </c>
      <c r="R61" s="68" t="n">
        <f aca="false">R57*0.98</f>
        <v>1700.5909865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65.2874591513787</v>
      </c>
      <c r="L62" s="45" t="n">
        <f aca="false">L61/L17*100</f>
        <v>65.213419442734</v>
      </c>
      <c r="M62" s="45" t="n">
        <f aca="false">M61/M17*100</f>
        <v>66.4201407844103</v>
      </c>
      <c r="N62" s="45" t="n">
        <f aca="false">N61/N17*100</f>
        <v>66.7790090920044</v>
      </c>
      <c r="O62" s="45" t="n">
        <f aca="false">O61/O17*100</f>
        <v>66.5263322154253</v>
      </c>
      <c r="P62" s="45" t="n">
        <f aca="false">P61/P17*100</f>
        <v>65.72691288478</v>
      </c>
      <c r="Q62" s="45" t="n">
        <f aca="false">Q61/Q17*100</f>
        <v>64.6481256131995</v>
      </c>
      <c r="R62" s="45" t="n">
        <f aca="false">R61/R17*100</f>
        <v>63.1792969452702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1.53168772839107</v>
      </c>
      <c r="L63" s="43" t="n">
        <f aca="false">L17/L61</f>
        <v>1.53342672190059</v>
      </c>
      <c r="M63" s="43" t="n">
        <f aca="false">M17/M61</f>
        <v>1.50556742004786</v>
      </c>
      <c r="N63" s="43" t="n">
        <f aca="false">N17/N61</f>
        <v>1.49747654779102</v>
      </c>
      <c r="O63" s="43" t="n">
        <f aca="false">O17/O61</f>
        <v>1.50316418581714</v>
      </c>
      <c r="P63" s="43" t="n">
        <f aca="false">P17/P61</f>
        <v>1.52144678048855</v>
      </c>
      <c r="Q63" s="43" t="n">
        <f aca="false">Q17/Q61</f>
        <v>1.54683525703926</v>
      </c>
      <c r="R63" s="43" t="n">
        <f aca="false">R17/R61</f>
        <v>1.58279697361346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47" t="n">
        <f aca="false">K21</f>
        <v>2429.81680518598</v>
      </c>
      <c r="L65" s="47" t="n">
        <f aca="false">L21</f>
        <v>2507.23068783634</v>
      </c>
      <c r="M65" s="47" t="n">
        <f aca="false">M21</f>
        <v>2561.27215713228</v>
      </c>
      <c r="N65" s="47" t="n">
        <f aca="false">N21</f>
        <v>2599.85539703275</v>
      </c>
      <c r="O65" s="47" t="n">
        <f aca="false">O21</f>
        <v>2620.21851437184</v>
      </c>
      <c r="P65" s="47" t="n">
        <f aca="false">P21</f>
        <v>2619.07196787808</v>
      </c>
      <c r="Q65" s="47" t="n">
        <f aca="false">Q21</f>
        <v>2595.29935781696</v>
      </c>
      <c r="R65" s="47" t="n">
        <f aca="false">R21</f>
        <v>2550.34382792735</v>
      </c>
      <c r="S65" s="28" t="s">
        <v>17</v>
      </c>
      <c r="T65" s="13"/>
    </row>
    <row r="66" customFormat="false" ht="11.25" hidden="false" customHeight="false" outlineLevel="0" collapsed="false">
      <c r="A66" s="11" t="s">
        <v>182</v>
      </c>
      <c r="B66" s="41"/>
      <c r="C66" s="41"/>
      <c r="D66" s="41"/>
      <c r="E66" s="41"/>
      <c r="F66" s="41"/>
      <c r="G66" s="41"/>
      <c r="H66" s="41"/>
      <c r="I66" s="41"/>
      <c r="J66" s="48"/>
      <c r="K66" s="47" t="n">
        <v>1646.518791</v>
      </c>
      <c r="L66" s="47" t="n">
        <v>1735.199988</v>
      </c>
      <c r="M66" s="47" t="n">
        <v>1813.216052</v>
      </c>
      <c r="N66" s="47" t="n">
        <v>1853.894736</v>
      </c>
      <c r="O66" s="47" t="n">
        <v>1864.590814</v>
      </c>
      <c r="P66" s="47" t="n">
        <v>1845.008179</v>
      </c>
      <c r="Q66" s="47" t="n">
        <v>1801.923541</v>
      </c>
      <c r="R66" s="47" t="n">
        <v>1735.296925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48" t="n">
        <f aca="false">K65/K66</f>
        <v>1.47572977512771</v>
      </c>
      <c r="L67" s="48" t="n">
        <f aca="false">L65/L66</f>
        <v>1.44492318186689</v>
      </c>
      <c r="M67" s="48" t="n">
        <f aca="false">M65/M66</f>
        <v>1.41255762340465</v>
      </c>
      <c r="N67" s="48" t="n">
        <f aca="false">N65/N66</f>
        <v>1.40237487412163</v>
      </c>
      <c r="O67" s="48" t="n">
        <f aca="false">O65/O66</f>
        <v>1.40525121903333</v>
      </c>
      <c r="P67" s="48" t="n">
        <f aca="false">P65/P66</f>
        <v>1.41954490917088</v>
      </c>
      <c r="Q67" s="48" t="n">
        <f aca="false">Q65/Q66</f>
        <v>1.44029382976853</v>
      </c>
      <c r="R67" s="48" t="n">
        <f aca="false">R65/R66</f>
        <v>1.46968728589625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3" t="s">
        <v>37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 Pessoas BRISE Idade 15-64 (0 - 2 Gp)</v>
      </c>
      <c r="V70" s="25" t="n">
        <v>2000</v>
      </c>
      <c r="W70" s="70" t="n">
        <f aca="false">W74</f>
        <v>2000</v>
      </c>
      <c r="AA70" s="29" t="str">
        <f aca="false">CONCATENATE(A55," (0 - ",V28/1000," Gp)")</f>
        <v> População, BRISE (0 - 3 Gp)</v>
      </c>
      <c r="AB70" s="57" t="n">
        <f aca="false">B55/$V28</f>
        <v>0.402266111</v>
      </c>
      <c r="AC70" s="57" t="n">
        <f aca="false">C55/$V28</f>
        <v>0.448125491666667</v>
      </c>
      <c r="AD70" s="57" t="n">
        <f aca="false">D55/$V28</f>
        <v>0.498766449</v>
      </c>
      <c r="AE70" s="57" t="n">
        <f aca="false">E55/$V28</f>
        <v>0.553994570333333</v>
      </c>
      <c r="AF70" s="57" t="n">
        <f aca="false">F55/$V28</f>
        <v>0.610137227333333</v>
      </c>
      <c r="AG70" s="57" t="n">
        <f aca="false">G55/$V28</f>
        <v>0.662297338666667</v>
      </c>
      <c r="AH70" s="57" t="n">
        <f aca="false">H55/$V28</f>
        <v>0.711431899</v>
      </c>
      <c r="AI70" s="57" t="n">
        <f aca="false">I55/$V28</f>
        <v>0.758499288333334</v>
      </c>
      <c r="AJ70" s="57" t="n">
        <f aca="false">J55/$V28</f>
        <v>0.803977014666667</v>
      </c>
      <c r="AK70" s="57" t="n">
        <f aca="false">K55/$V28</f>
        <v>0.84065087558</v>
      </c>
      <c r="AL70" s="57" t="n">
        <f aca="false">L55/$V28</f>
        <v>0.869777869495637</v>
      </c>
      <c r="AM70" s="57" t="n">
        <f aca="false">M55/$V28</f>
        <v>0.892832305019584</v>
      </c>
      <c r="AN70" s="57" t="n">
        <f aca="false">N55/$V28</f>
        <v>0.908265565083854</v>
      </c>
      <c r="AO70" s="57" t="n">
        <f aca="false">O55/$V28</f>
        <v>0.91715320243032</v>
      </c>
      <c r="AP70" s="57" t="n">
        <f aca="false">P55/$V28</f>
        <v>0.918587541468252</v>
      </c>
      <c r="AQ70" s="57" t="n">
        <f aca="false">Q55/$V28</f>
        <v>0.911975006319108</v>
      </c>
      <c r="AR70" s="57" t="n">
        <f aca="false">R55/$V28</f>
        <v>0.89840116997055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Sobrecarga de apoio (população/idade 15-64) (0 - 1,8)</v>
      </c>
      <c r="V71" s="25" t="n">
        <v>1.8</v>
      </c>
      <c r="W71" s="70" t="n">
        <f aca="false">W75</f>
        <v>1.8</v>
      </c>
      <c r="AA71" s="29" t="str">
        <f aca="false">CONCATENATE(A56," (0 - ",W70/1000," Gp)")</f>
        <v> Pessoas BRISE Idade 15-64 (0 - 2 Gp)</v>
      </c>
      <c r="AB71" s="57" t="n">
        <f aca="false">B56/$W70</f>
        <v>0.339480181</v>
      </c>
      <c r="AC71" s="57" t="n">
        <f aca="false">C56/$W70</f>
        <v>0.383478798</v>
      </c>
      <c r="AD71" s="57" t="n">
        <f aca="false">D56/$W70</f>
        <v>0.4321674455</v>
      </c>
      <c r="AE71" s="57" t="n">
        <f aca="false">E56/$W70</f>
        <v>0.4863785265</v>
      </c>
      <c r="AF71" s="57" t="n">
        <f aca="false">F56/$W70</f>
        <v>0.5441552435</v>
      </c>
      <c r="AG71" s="57" t="n">
        <f aca="false">G56/$W70</f>
        <v>0.6042994465</v>
      </c>
      <c r="AH71" s="57" t="n">
        <f aca="false">H56/$W70</f>
        <v>0.671182573</v>
      </c>
      <c r="AI71" s="57" t="n">
        <f aca="false">I56/$W70</f>
        <v>0.7371346595</v>
      </c>
      <c r="AJ71" s="57" t="n">
        <f aca="false">J56/$W70</f>
        <v>0.8001867325</v>
      </c>
      <c r="AK71" s="57" t="n">
        <f aca="false">K56/$W70</f>
        <v>0.8232593955</v>
      </c>
      <c r="AL71" s="57" t="n">
        <f aca="false">L56/$W70</f>
        <v>0.867599994</v>
      </c>
      <c r="AM71" s="57" t="n">
        <f aca="false">M56/$W70</f>
        <v>0.906608026</v>
      </c>
      <c r="AN71" s="57" t="n">
        <f aca="false">N56/$W70</f>
        <v>0.926947368</v>
      </c>
      <c r="AO71" s="57" t="n">
        <f aca="false">O56/$W70</f>
        <v>0.932295407</v>
      </c>
      <c r="AP71" s="57" t="n">
        <f aca="false">P56/$W70</f>
        <v>0.9225040895</v>
      </c>
      <c r="AQ71" s="57" t="n">
        <f aca="false">Q56/$W70</f>
        <v>0.9009617705</v>
      </c>
      <c r="AR71" s="57" t="n">
        <f aca="false">R56/$W70</f>
        <v>0.8676484625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Pessoas BRISE Idade 15-64 Previsão Baixa da ONU (Mp) (0 - 2 Gp)</v>
      </c>
      <c r="W72" s="71" t="n">
        <f aca="false">W70</f>
        <v>2000</v>
      </c>
      <c r="AA72" s="29" t="str">
        <f aca="false">CONCATENATE(A59," (0 - ",W71,")")</f>
        <v> Sobrecarga de apoio (população/idade 15-64) (0 - 1,8)</v>
      </c>
      <c r="AB72" s="57" t="n">
        <f aca="false">B59/$W71</f>
        <v>0.98745605171769</v>
      </c>
      <c r="AC72" s="57" t="n">
        <f aca="false">C59/$W71</f>
        <v>0.973816314408658</v>
      </c>
      <c r="AD72" s="57" t="n">
        <f aca="false">D59/$W71</f>
        <v>0.961753856816131</v>
      </c>
      <c r="AE72" s="57" t="n">
        <f aca="false">E59/$W71</f>
        <v>0.949182821179595</v>
      </c>
      <c r="AF72" s="57" t="n">
        <f aca="false">F59/$W71</f>
        <v>0.934379840161265</v>
      </c>
      <c r="AG72" s="57" t="n">
        <f aca="false">G59/$W71</f>
        <v>0.913312848597635</v>
      </c>
      <c r="AH72" s="57" t="n">
        <f aca="false">H59/$W71</f>
        <v>0.883306479760662</v>
      </c>
      <c r="AI72" s="57" t="n">
        <f aca="false">I59/$W71</f>
        <v>0.857486121608392</v>
      </c>
      <c r="AJ72" s="57" t="n">
        <f aca="false">J59/$W71</f>
        <v>0.837280622564628</v>
      </c>
      <c r="AK72" s="57" t="n">
        <f aca="false">K59/$W71</f>
        <v>0.850937626883928</v>
      </c>
      <c r="AL72" s="57" t="n">
        <f aca="false">L59/$W71</f>
        <v>0.835425191630839</v>
      </c>
      <c r="AM72" s="57" t="n">
        <f aca="false">M59/$W71</f>
        <v>0.82067100611533</v>
      </c>
      <c r="AN72" s="57" t="n">
        <f aca="false">N59/$W71</f>
        <v>0.816538238342797</v>
      </c>
      <c r="AO72" s="57" t="n">
        <f aca="false">O59/$W71</f>
        <v>0.819798456176026</v>
      </c>
      <c r="AP72" s="57" t="n">
        <f aca="false">P59/$W71</f>
        <v>0.82979536524885</v>
      </c>
      <c r="AQ72" s="57" t="n">
        <f aca="false">Q59/$W71</f>
        <v>0.843519888208831</v>
      </c>
      <c r="AR72" s="57" t="n">
        <f aca="false">R59/$W71</f>
        <v>0.862869784249891</v>
      </c>
    </row>
    <row r="73" s="3" customFormat="true" ht="11.25" hidden="false" customHeight="false" outlineLevel="0" collapsed="false">
      <c r="S73" s="28"/>
      <c r="T73" s="13"/>
      <c r="U73" s="58" t="str">
        <f aca="false">AA74</f>
        <v> Sobrecarga de apoio ONU Baixa (população/idade 15-64) (0 - 1,8)</v>
      </c>
      <c r="W73" s="71" t="n">
        <f aca="false">W71</f>
        <v>1.8</v>
      </c>
      <c r="Y73" s="72"/>
      <c r="AA73" s="29" t="str">
        <f aca="false">CONCATENATE(A66," (0 - ",W72/1000," Gp)")</f>
        <v> Pessoas BRISE Idade 15-64 Previsão Baixa da ONU (Mp) (0 - 2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0.8232593955</v>
      </c>
      <c r="AL73" s="57" t="n">
        <f aca="false">L66/$W72</f>
        <v>0.867599994</v>
      </c>
      <c r="AM73" s="57" t="n">
        <f aca="false">M66/$W72</f>
        <v>0.906608026</v>
      </c>
      <c r="AN73" s="57" t="n">
        <f aca="false">N66/$W72</f>
        <v>0.926947368</v>
      </c>
      <c r="AO73" s="57" t="n">
        <f aca="false">O66/$W72</f>
        <v>0.932295407</v>
      </c>
      <c r="AP73" s="57" t="n">
        <f aca="false">P66/$W72</f>
        <v>0.9225040895</v>
      </c>
      <c r="AQ73" s="57" t="n">
        <f aca="false">Q66/$W72</f>
        <v>0.9009617705</v>
      </c>
      <c r="AR73" s="57" t="n">
        <f aca="false">R66/$W72</f>
        <v>0.8676484625</v>
      </c>
    </row>
    <row r="74" s="3" customFormat="true" ht="11.25" hidden="false" customHeight="false" outlineLevel="0" collapsed="false">
      <c r="S74" s="28"/>
      <c r="T74" s="13"/>
      <c r="U74" s="37" t="str">
        <f aca="false">AA75</f>
        <v> Pessoas BRISE Idade 15-64 (0 - 2 Gp) Sua previsão</v>
      </c>
      <c r="W74" s="4" t="n">
        <v>2000</v>
      </c>
      <c r="Y74" s="72"/>
      <c r="AA74" s="29" t="str">
        <f aca="false">CONCATENATE(A67," (0 - ",W73,")")</f>
        <v> Sobrecarga de apoio ONU Baixa (população/idade 15-64) (0 - 1,8)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0.81984987507095</v>
      </c>
      <c r="AL74" s="57" t="n">
        <f aca="false">L67/$W73</f>
        <v>0.802735101037159</v>
      </c>
      <c r="AM74" s="57" t="n">
        <f aca="false">M67/$W73</f>
        <v>0.784754235224806</v>
      </c>
      <c r="AN74" s="57" t="n">
        <f aca="false">N67/$W73</f>
        <v>0.779097152289794</v>
      </c>
      <c r="AO74" s="57" t="n">
        <f aca="false">O67/$W73</f>
        <v>0.780695121685182</v>
      </c>
      <c r="AP74" s="57" t="n">
        <f aca="false">P67/$W73</f>
        <v>0.788636060650488</v>
      </c>
      <c r="AQ74" s="57" t="n">
        <f aca="false">Q67/$W73</f>
        <v>0.800163238760295</v>
      </c>
      <c r="AR74" s="57" t="n">
        <f aca="false">R67/$W73</f>
        <v>0.816492936609025</v>
      </c>
    </row>
    <row r="75" s="3" customFormat="true" ht="11.25" hidden="false" customHeight="false" outlineLevel="0" collapsed="false">
      <c r="S75" s="28"/>
      <c r="T75" s="13"/>
      <c r="U75" s="37" t="str">
        <f aca="false">AA76</f>
        <v> Sobrecarga de apoio (população/idade 15-64) (0 - 1,8) Sua previsão</v>
      </c>
      <c r="W75" s="4" t="n">
        <v>1.8</v>
      </c>
      <c r="AA75" s="29" t="str">
        <f aca="false">CONCATENATE(AA71," Your forecast")</f>
        <v> Pessoas BRISE Idade 15-64 (0 - 2 Gp) Sua previsão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0.8232593955</v>
      </c>
      <c r="AL75" s="57" t="n">
        <f aca="false">L61/$W74</f>
        <v>0.85024799412</v>
      </c>
      <c r="AM75" s="57" t="n">
        <f aca="false">M61/$W74</f>
        <v>0.88847586548</v>
      </c>
      <c r="AN75" s="57" t="n">
        <f aca="false">N61/$W74</f>
        <v>0.90840842064</v>
      </c>
      <c r="AO75" s="57" t="n">
        <f aca="false">O61/$W74</f>
        <v>0.91364949886</v>
      </c>
      <c r="AP75" s="57" t="n">
        <f aca="false">P61/$W74</f>
        <v>0.90405400771</v>
      </c>
      <c r="AQ75" s="57" t="n">
        <f aca="false">Q61/$W74</f>
        <v>0.88294253509</v>
      </c>
      <c r="AR75" s="57" t="n">
        <f aca="false">R61/$W74</f>
        <v>0.85029549325</v>
      </c>
    </row>
    <row r="76" s="3" customFormat="true" ht="11.25" hidden="false" customHeight="false" outlineLevel="0" collapsed="false">
      <c r="S76" s="28"/>
      <c r="T76" s="13"/>
      <c r="AA76" s="29" t="str">
        <f aca="false">CONCATENATE(AA72," Your forecast ")</f>
        <v> Sobrecarga de apoio (população/idade 15-64) (0 - 1,8)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0.850937626883928</v>
      </c>
      <c r="AL76" s="57" t="n">
        <f aca="false">L63/$W75</f>
        <v>0.851903734389219</v>
      </c>
      <c r="AM76" s="57" t="n">
        <f aca="false">M63/$W75</f>
        <v>0.836426344471031</v>
      </c>
      <c r="AN76" s="57" t="n">
        <f aca="false">N63/$W75</f>
        <v>0.831931415439457</v>
      </c>
      <c r="AO76" s="57" t="n">
        <f aca="false">O63/$W75</f>
        <v>0.835091214342853</v>
      </c>
      <c r="AP76" s="57" t="n">
        <f aca="false">P63/$W75</f>
        <v>0.845248211382529</v>
      </c>
      <c r="AQ76" s="57" t="n">
        <f aca="false">Q63/$W75</f>
        <v>0.859352920577368</v>
      </c>
      <c r="AR76" s="57" t="n">
        <f aca="false">R63/$W75</f>
        <v>0.879331652007479</v>
      </c>
    </row>
    <row r="77" customFormat="false" ht="11.25" hidden="false" customHeight="false" outlineLevel="0" collapsed="false">
      <c r="T77" s="13"/>
    </row>
    <row r="78" customFormat="false" ht="11.25" hidden="false" customHeight="false" outlineLevel="0" collapsed="false"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BRISE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183</v>
      </c>
      <c r="B96" s="74" t="n">
        <v>2.26288153734802</v>
      </c>
      <c r="C96" s="74" t="n">
        <v>3.06826085885806</v>
      </c>
      <c r="D96" s="74" t="n">
        <v>3.75602211487522</v>
      </c>
      <c r="E96" s="74" t="n">
        <v>4.23539372476216</v>
      </c>
      <c r="F96" s="74" t="n">
        <v>7.25798347246539</v>
      </c>
      <c r="G96" s="74" t="n">
        <v>7.9310519704096</v>
      </c>
      <c r="H96" s="74" t="n">
        <v>9.15809822694889</v>
      </c>
      <c r="I96" s="74" t="n">
        <v>11.8988884038997</v>
      </c>
      <c r="J96" s="74" t="n">
        <v>14.214501432721</v>
      </c>
      <c r="K96" s="75" t="n">
        <f aca="false">K97*K98/1000000</f>
        <v>16.0868001426396</v>
      </c>
      <c r="L96" s="75" t="n">
        <f aca="false">L97*L98/1000000</f>
        <v>19.2419185669771</v>
      </c>
      <c r="M96" s="75" t="n">
        <f aca="false">M97*M98/1000000</f>
        <v>23.223644546004</v>
      </c>
      <c r="N96" s="75" t="n">
        <f aca="false">N97*N98/1000000</f>
        <v>27.7812481434226</v>
      </c>
      <c r="O96" s="75" t="n">
        <f aca="false">O97*O98/1000000</f>
        <v>32.1327624197604</v>
      </c>
      <c r="P96" s="75" t="n">
        <f aca="false">P97*P98/1000000</f>
        <v>36.246632932992</v>
      </c>
      <c r="Q96" s="75" t="n">
        <f aca="false">Q97*Q98/1000000</f>
        <v>39.5</v>
      </c>
      <c r="R96" s="75" t="n">
        <f aca="false">R97*R98/1000000</f>
        <v>42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181</v>
      </c>
      <c r="B97" s="26" t="n">
        <f aca="false">B56</f>
        <v>678.960362</v>
      </c>
      <c r="C97" s="26" t="n">
        <f aca="false">C56</f>
        <v>766.957596</v>
      </c>
      <c r="D97" s="26" t="n">
        <f aca="false">D56</f>
        <v>864.334891</v>
      </c>
      <c r="E97" s="26" t="n">
        <f aca="false">E56</f>
        <v>972.757053</v>
      </c>
      <c r="F97" s="26" t="n">
        <f aca="false">F56</f>
        <v>1088.310487</v>
      </c>
      <c r="G97" s="26" t="n">
        <f aca="false">G56</f>
        <v>1208.598893</v>
      </c>
      <c r="H97" s="26" t="n">
        <f aca="false">H56</f>
        <v>1342.365146</v>
      </c>
      <c r="I97" s="26" t="n">
        <f aca="false">I56</f>
        <v>1474.269319</v>
      </c>
      <c r="J97" s="26" t="n">
        <f aca="false">J56</f>
        <v>1600.373465</v>
      </c>
      <c r="K97" s="27" t="n">
        <f aca="false">K56</f>
        <v>1646.518791</v>
      </c>
      <c r="L97" s="27" t="n">
        <f aca="false">L56</f>
        <v>1735.199988</v>
      </c>
      <c r="M97" s="27" t="n">
        <f aca="false">M56</f>
        <v>1813.216052</v>
      </c>
      <c r="N97" s="27" t="n">
        <f aca="false">N56</f>
        <v>1853.894736</v>
      </c>
      <c r="O97" s="27" t="n">
        <f aca="false">O56</f>
        <v>1864.590814</v>
      </c>
      <c r="P97" s="27" t="n">
        <f aca="false">P56</f>
        <v>1845.008179</v>
      </c>
      <c r="Q97" s="27" t="n">
        <f aca="false">Q56</f>
        <v>1801.923541</v>
      </c>
      <c r="R97" s="27" t="n">
        <f aca="false">R56</f>
        <v>1735.296925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3332.86251156444</v>
      </c>
      <c r="C98" s="27" t="n">
        <f aca="false">C96/C97*1000000</f>
        <v>4000.5612759562</v>
      </c>
      <c r="D98" s="27" t="n">
        <f aca="false">D96/D97*1000000</f>
        <v>4345.56345461151</v>
      </c>
      <c r="E98" s="27" t="n">
        <f aca="false">E96/E97*1000000</f>
        <v>4354.00978250441</v>
      </c>
      <c r="F98" s="27" t="n">
        <f aca="false">F96/F97*1000000</f>
        <v>6669.03752115125</v>
      </c>
      <c r="G98" s="27" t="n">
        <f aca="false">G96/G97*1000000</f>
        <v>6562.18702196809</v>
      </c>
      <c r="H98" s="27" t="n">
        <f aca="false">H96/H97*1000000</f>
        <v>6822.35996236816</v>
      </c>
      <c r="I98" s="27" t="n">
        <f aca="false">I96/I97*1000000</f>
        <v>8071.04119345758</v>
      </c>
      <c r="J98" s="27" t="n">
        <f aca="false">J96/J97*1000000</f>
        <v>8881.99020015679</v>
      </c>
      <c r="K98" s="27" t="n">
        <f aca="false">J98*(1+K99 /100*5)</f>
        <v>9770.18922017247</v>
      </c>
      <c r="L98" s="27" t="n">
        <f aca="false">K98*(1+L99 /100*5)</f>
        <v>11089.1647648958</v>
      </c>
      <c r="M98" s="27" t="n">
        <f aca="false">L98*(1+M99 /100*5)</f>
        <v>12807.9853034546</v>
      </c>
      <c r="N98" s="27" t="n">
        <f aca="false">M98*(1+N99 /100*5)</f>
        <v>14985.3428050419</v>
      </c>
      <c r="O98" s="27" t="n">
        <f aca="false">N98*(1+O99 /100*5)</f>
        <v>17233.1442257982</v>
      </c>
      <c r="P98" s="27" t="n">
        <f aca="false">O98*(1+P99 /100*5)</f>
        <v>19645.7844174099</v>
      </c>
      <c r="Q98" s="27" t="n">
        <f aca="false">P98*(1+Q99 /100*5)</f>
        <v>21921.0189007681</v>
      </c>
      <c r="R98" s="27" t="n">
        <f aca="false">Q98*(1+R99 /100*5)</f>
        <v>24203.3506744098</v>
      </c>
      <c r="S98" s="76" t="s">
        <v>57</v>
      </c>
      <c r="T98" s="13"/>
      <c r="U98" s="41"/>
    </row>
    <row r="99" customFormat="false" ht="11.25" hidden="false" customHeight="false" outlineLevel="0" collapsed="false">
      <c r="A99" s="11" t="s">
        <v>59</v>
      </c>
      <c r="B99" s="75"/>
      <c r="C99" s="75" t="n">
        <f aca="false">(((C98/B98)-1)/5)*100</f>
        <v>4.00675852709174</v>
      </c>
      <c r="D99" s="75" t="n">
        <f aca="false">(((D98/C98)-1)/5)*100</f>
        <v>1.7247688754516</v>
      </c>
      <c r="E99" s="75" t="n">
        <f aca="false">(((E98/D98)-1)/5)*100</f>
        <v>0.0388733382039996</v>
      </c>
      <c r="F99" s="75" t="n">
        <f aca="false">(((F98/E98)-1)/5)*100</f>
        <v>10.6340033867138</v>
      </c>
      <c r="G99" s="75" t="n">
        <f aca="false">(((G98/F98)-1)/5)*100</f>
        <v>-0.320437540932341</v>
      </c>
      <c r="H99" s="75" t="n">
        <f aca="false">(((H98/G98)-1)/5)*100</f>
        <v>0.79294582592389</v>
      </c>
      <c r="I99" s="75" t="n">
        <f aca="false">(((I98/H98)-1)/5)*100</f>
        <v>3.66055510989477</v>
      </c>
      <c r="J99" s="75" t="n">
        <f aca="false">(((J98/I98)-1)/5)*100</f>
        <v>2.00952761176977</v>
      </c>
      <c r="K99" s="78" t="n">
        <v>2</v>
      </c>
      <c r="L99" s="78" t="n">
        <v>2.7</v>
      </c>
      <c r="M99" s="78" t="n">
        <v>3.1</v>
      </c>
      <c r="N99" s="78" t="n">
        <v>3.4</v>
      </c>
      <c r="O99" s="78" t="n">
        <v>3</v>
      </c>
      <c r="P99" s="78" t="n">
        <v>2.8</v>
      </c>
      <c r="Q99" s="78" t="n">
        <v>2.31625720308926</v>
      </c>
      <c r="R99" s="78" t="n">
        <v>2.08232270951758</v>
      </c>
      <c r="S99" s="76" t="s">
        <v>60</v>
      </c>
      <c r="T99" s="13"/>
      <c r="U99" s="41"/>
    </row>
    <row r="100" customFormat="false" ht="11.25" hidden="false" customHeight="false" outlineLevel="0" collapsed="false">
      <c r="A100" s="11" t="str">
        <f aca="false">A9</f>
        <v> População, BRISE</v>
      </c>
      <c r="B100" s="26" t="n">
        <f aca="false">B9</f>
        <v>1206.798333</v>
      </c>
      <c r="C100" s="26" t="n">
        <f aca="false">C9</f>
        <v>1344.376475</v>
      </c>
      <c r="D100" s="26" t="n">
        <f aca="false">D9</f>
        <v>1496.299347</v>
      </c>
      <c r="E100" s="26" t="n">
        <f aca="false">E9</f>
        <v>1661.983711</v>
      </c>
      <c r="F100" s="26" t="n">
        <f aca="false">F9</f>
        <v>1830.411682</v>
      </c>
      <c r="G100" s="26" t="n">
        <f aca="false">G9</f>
        <v>1986.892016</v>
      </c>
      <c r="H100" s="26" t="n">
        <f aca="false">H9</f>
        <v>2134.295697</v>
      </c>
      <c r="I100" s="26" t="n">
        <f aca="false">I9</f>
        <v>2275.497865</v>
      </c>
      <c r="J100" s="26" t="n">
        <f aca="false">J9</f>
        <v>2411.931044</v>
      </c>
      <c r="K100" s="27" t="n">
        <f aca="false">K9</f>
        <v>2521.95262674</v>
      </c>
      <c r="L100" s="27" t="n">
        <f aca="false">L9</f>
        <v>2609.33360848691</v>
      </c>
      <c r="M100" s="27" t="n">
        <f aca="false">M9</f>
        <v>2678.49691505875</v>
      </c>
      <c r="N100" s="27" t="n">
        <f aca="false">N9</f>
        <v>2724.79669525156</v>
      </c>
      <c r="O100" s="27" t="n">
        <f aca="false">O9</f>
        <v>2751.45960729096</v>
      </c>
      <c r="P100" s="27" t="n">
        <f aca="false">P9</f>
        <v>2755.76262440476</v>
      </c>
      <c r="Q100" s="27" t="n">
        <f aca="false">Q9</f>
        <v>2735.92501895732</v>
      </c>
      <c r="R100" s="27" t="n">
        <f aca="false">R9</f>
        <v>2695.20350991165</v>
      </c>
      <c r="S100" s="76" t="s">
        <v>17</v>
      </c>
      <c r="T100" s="13"/>
      <c r="U100" s="41"/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1875.11158697301</v>
      </c>
      <c r="C101" s="27" t="n">
        <f aca="false">C96/C100*1000000</f>
        <v>2282.29288143268</v>
      </c>
      <c r="D101" s="27" t="n">
        <f aca="false">D96/D100*1000000</f>
        <v>2510.20768164194</v>
      </c>
      <c r="E101" s="27" t="n">
        <f aca="false">E96/E100*1000000</f>
        <v>2548.39665198268</v>
      </c>
      <c r="F101" s="27" t="n">
        <f aca="false">F96/F100*1000000</f>
        <v>3965.21916016999</v>
      </c>
      <c r="G101" s="27" t="n">
        <f aca="false">G96/G100*1000000</f>
        <v>3991.68747296914</v>
      </c>
      <c r="H101" s="27" t="n">
        <f aca="false">H96/H100*1000000</f>
        <v>4290.92287438037</v>
      </c>
      <c r="I101" s="27" t="n">
        <f aca="false">I96/I100*1000000</f>
        <v>5229.13626372471</v>
      </c>
      <c r="J101" s="27" t="n">
        <f aca="false">J96/J100*1000000</f>
        <v>5893.41120181749</v>
      </c>
      <c r="K101" s="27" t="n">
        <f aca="false">K96/K100*1000000</f>
        <v>6378.70829613251</v>
      </c>
      <c r="L101" s="27" t="n">
        <f aca="false">L96/L100*1000000</f>
        <v>7374.26540799245</v>
      </c>
      <c r="M101" s="27" t="n">
        <f aca="false">M96/M100*1000000</f>
        <v>8670.40182702415</v>
      </c>
      <c r="N101" s="27" t="n">
        <f aca="false">N96/N100*1000000</f>
        <v>10195.7141212907</v>
      </c>
      <c r="O101" s="27" t="n">
        <f aca="false">O96/O100*1000000</f>
        <v>11678.4423564181</v>
      </c>
      <c r="P101" s="27" t="n">
        <f aca="false">P96/P100*1000000</f>
        <v>13153.0316189049</v>
      </c>
      <c r="Q101" s="27" t="n">
        <f aca="false">Q96/Q100*1000000</f>
        <v>14437.5301685182</v>
      </c>
      <c r="R101" s="27" t="n">
        <f aca="false">R96/R100*1000000</f>
        <v>15583.2388335591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6"/>
      <c r="T102" s="13"/>
      <c r="U102" s="36"/>
    </row>
    <row r="103" customFormat="false" ht="11.25" hidden="false" customHeight="false" outlineLevel="0" collapsed="false">
      <c r="A103" s="63"/>
      <c r="B103" s="41"/>
      <c r="C103" s="41"/>
      <c r="D103" s="41"/>
      <c r="E103" s="47"/>
      <c r="F103" s="47"/>
      <c r="G103" s="80"/>
      <c r="H103" s="80"/>
      <c r="I103" s="81"/>
      <c r="J103" s="82" t="s">
        <v>65</v>
      </c>
      <c r="K103" s="83" t="n">
        <f aca="false">K99</f>
        <v>2</v>
      </c>
      <c r="L103" s="83" t="n">
        <f aca="false">L99*0.95</f>
        <v>2.565</v>
      </c>
      <c r="M103" s="83" t="n">
        <f aca="false">M99*0.95</f>
        <v>2.945</v>
      </c>
      <c r="N103" s="83" t="n">
        <f aca="false">N99*0.95</f>
        <v>3.23</v>
      </c>
      <c r="O103" s="83" t="n">
        <f aca="false">O99*0.95</f>
        <v>2.85</v>
      </c>
      <c r="P103" s="83" t="n">
        <f aca="false">P99*0.95</f>
        <v>2.66</v>
      </c>
      <c r="Q103" s="83" t="n">
        <f aca="false">Q99*0.95</f>
        <v>2.20044434293479</v>
      </c>
      <c r="R103" s="83" t="n">
        <f aca="false">R99*0.95</f>
        <v>1.9782065740417</v>
      </c>
      <c r="S103" s="76" t="s">
        <v>60</v>
      </c>
      <c r="T103" s="13"/>
    </row>
    <row r="104" customFormat="false" ht="11.25" hidden="false" customHeight="fals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BRISE, sua previsão</v>
      </c>
      <c r="K104" s="43" t="n">
        <f aca="false">K105*K61/1000000</f>
        <v>16.0868001426396</v>
      </c>
      <c r="L104" s="43" t="n">
        <f aca="false">L105*L61/1000000</f>
        <v>18.7449345645182</v>
      </c>
      <c r="M104" s="43" t="n">
        <f aca="false">M105*M61/1000000</f>
        <v>22.4720149020128</v>
      </c>
      <c r="N104" s="43" t="n">
        <f aca="false">N105*N61/1000000</f>
        <v>26.6868149702554</v>
      </c>
      <c r="O104" s="43" t="n">
        <f aca="false">O105*O61/1000000</f>
        <v>30.6655968790457</v>
      </c>
      <c r="P104" s="43" t="n">
        <f aca="false">P105*P61/1000000</f>
        <v>34.37922541657</v>
      </c>
      <c r="Q104" s="43" t="n">
        <f aca="false">Q105*Q61/1000000</f>
        <v>37.2705517635286</v>
      </c>
      <c r="R104" s="43" t="n">
        <f aca="false">R105*R61/1000000</f>
        <v>39.4425982182013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J98*(1+K103/100*5)</f>
        <v>9770.18922017247</v>
      </c>
      <c r="L105" s="84" t="n">
        <f aca="false">K105*(1+L103/100*5)</f>
        <v>11023.2159876596</v>
      </c>
      <c r="M105" s="84" t="n">
        <f aca="false">L105*(1+M103/100*5)</f>
        <v>12646.3845418425</v>
      </c>
      <c r="N105" s="84" t="n">
        <f aca="false">M105*(1+N103/100*5)</f>
        <v>14688.77564535</v>
      </c>
      <c r="O105" s="84" t="n">
        <f aca="false">N105*(1+O103/100*5)</f>
        <v>16781.9261748124</v>
      </c>
      <c r="P105" s="84" t="n">
        <f aca="false">O105*(1+P103/100*5)</f>
        <v>19013.9223560625</v>
      </c>
      <c r="Q105" s="84" t="n">
        <f aca="false">P105*(1+Q103/100*5)</f>
        <v>21105.8762503324</v>
      </c>
      <c r="R105" s="84" t="n">
        <f aca="false">Q105*(1+R103/100*5)</f>
        <v>23193.4654077983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3" t="s">
        <v>37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AUMENTO DO PIB (0 - 50 T$ / ano)</v>
      </c>
      <c r="V108" s="25" t="n">
        <v>50</v>
      </c>
      <c r="W108" s="70" t="n">
        <v>50</v>
      </c>
      <c r="AA108" s="29" t="str">
        <f aca="false">CONCATENATE(A96," (0 - ",W108," T$ / yr)")</f>
        <v> AUMENTO DO PIB (0 - 50 T$ / ano)</v>
      </c>
      <c r="AB108" s="57" t="n">
        <f aca="false">B96/$W108</f>
        <v>0.0452576307469604</v>
      </c>
      <c r="AC108" s="57" t="n">
        <f aca="false">C96/$W108</f>
        <v>0.0613652171771611</v>
      </c>
      <c r="AD108" s="57" t="n">
        <f aca="false">D96/$W108</f>
        <v>0.0751204422975044</v>
      </c>
      <c r="AE108" s="57" t="n">
        <f aca="false">E96/$W108</f>
        <v>0.0847078744952432</v>
      </c>
      <c r="AF108" s="57" t="n">
        <f aca="false">F96/$W108</f>
        <v>0.145159669449308</v>
      </c>
      <c r="AG108" s="57" t="n">
        <f aca="false">G96/$W108</f>
        <v>0.158621039408192</v>
      </c>
      <c r="AH108" s="57" t="n">
        <f aca="false">H96/$W108</f>
        <v>0.183161964538978</v>
      </c>
      <c r="AI108" s="57" t="n">
        <f aca="false">I96/$W108</f>
        <v>0.237977768077993</v>
      </c>
      <c r="AJ108" s="57" t="n">
        <f aca="false">J96/$W108</f>
        <v>0.284290028654419</v>
      </c>
      <c r="AK108" s="57" t="n">
        <f aca="false">K96/$W108</f>
        <v>0.321736002852792</v>
      </c>
      <c r="AL108" s="57" t="n">
        <f aca="false">L96/$W108</f>
        <v>0.384838371339543</v>
      </c>
      <c r="AM108" s="57" t="n">
        <f aca="false">M96/$W108</f>
        <v>0.464472890920079</v>
      </c>
      <c r="AN108" s="57" t="n">
        <f aca="false">N96/$W108</f>
        <v>0.555624962868452</v>
      </c>
      <c r="AO108" s="57" t="n">
        <f aca="false">O96/$W108</f>
        <v>0.642655248395208</v>
      </c>
      <c r="AP108" s="57" t="n">
        <f aca="false">P96/$W108</f>
        <v>0.72493265865984</v>
      </c>
      <c r="AQ108" s="57" t="n">
        <f aca="false">Q96/$W108</f>
        <v>0.79</v>
      </c>
      <c r="AR108" s="57" t="n">
        <f aca="false">R96/$W108</f>
        <v>0.84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(0 - 30000 $ / pessoa-ano)</v>
      </c>
      <c r="V109" s="25" t="n">
        <v>30000</v>
      </c>
      <c r="W109" s="70" t="n">
        <f aca="false">W112</f>
        <v>30000</v>
      </c>
      <c r="AA109" s="29" t="str">
        <f aca="false">CONCATENATE(A98," (0 - ",W109," $ / person-yr)")</f>
        <v> Produtividade do trabalho (0 - 30000 $ / pessoa-ano)</v>
      </c>
      <c r="AB109" s="57" t="n">
        <f aca="false">B98/$W109</f>
        <v>0.111095417052148</v>
      </c>
      <c r="AC109" s="57" t="n">
        <f aca="false">C98/$W109</f>
        <v>0.133352042531873</v>
      </c>
      <c r="AD109" s="57" t="n">
        <f aca="false">D98/$W109</f>
        <v>0.144852115153717</v>
      </c>
      <c r="AE109" s="57" t="n">
        <f aca="false">E98/$W109</f>
        <v>0.145133659416814</v>
      </c>
      <c r="AF109" s="57" t="n">
        <f aca="false">F98/$W109</f>
        <v>0.222301250705042</v>
      </c>
      <c r="AG109" s="57" t="n">
        <f aca="false">G98/$W109</f>
        <v>0.218739567398936</v>
      </c>
      <c r="AH109" s="57" t="n">
        <f aca="false">H98/$W109</f>
        <v>0.227411998745605</v>
      </c>
      <c r="AI109" s="57" t="n">
        <f aca="false">I98/$W109</f>
        <v>0.269034706448586</v>
      </c>
      <c r="AJ109" s="57" t="n">
        <f aca="false">J98/$W109</f>
        <v>0.296066340005226</v>
      </c>
      <c r="AK109" s="57" t="n">
        <f aca="false">K98/$W109</f>
        <v>0.325672974005749</v>
      </c>
      <c r="AL109" s="57" t="n">
        <f aca="false">L98/$W109</f>
        <v>0.369638825496525</v>
      </c>
      <c r="AM109" s="57" t="n">
        <f aca="false">M98/$W109</f>
        <v>0.426932843448487</v>
      </c>
      <c r="AN109" s="57" t="n">
        <f aca="false">N98/$W109</f>
        <v>0.499511426834729</v>
      </c>
      <c r="AO109" s="57" t="n">
        <f aca="false">O98/$W109</f>
        <v>0.574438140859939</v>
      </c>
      <c r="AP109" s="57" t="n">
        <f aca="false">P98/$W109</f>
        <v>0.65485948058033</v>
      </c>
      <c r="AQ109" s="57" t="n">
        <f aca="false">Q98/$W109</f>
        <v>0.730700630025604</v>
      </c>
      <c r="AR109" s="57" t="n">
        <f aca="false">R98/$W109</f>
        <v>0.80677835581366</v>
      </c>
    </row>
    <row r="110" customFormat="false" ht="11.25" hidden="false" customHeight="false" outlineLevel="0" collapsed="false">
      <c r="T110" s="13"/>
      <c r="U110" s="15" t="str">
        <f aca="false">AA110</f>
        <v> PIB per capita (0 - 50.000 $ / pessoa-ano)</v>
      </c>
      <c r="V110" s="25" t="n">
        <v>50000</v>
      </c>
      <c r="W110" s="70" t="n">
        <v>50000</v>
      </c>
      <c r="AA110" s="29" t="str">
        <f aca="false">CONCATENATE(A101," (0 - ",W110," $ / person-yr)")</f>
        <v> PIB per capita (0 - 50.000 $ / pessoa-ano)</v>
      </c>
      <c r="AB110" s="57" t="n">
        <f aca="false">B101/$W110</f>
        <v>0.0375022317394603</v>
      </c>
      <c r="AC110" s="57" t="n">
        <f aca="false">C101/$W110</f>
        <v>0.0456458576286536</v>
      </c>
      <c r="AD110" s="57" t="n">
        <f aca="false">D101/$W110</f>
        <v>0.0502041536328388</v>
      </c>
      <c r="AE110" s="57" t="n">
        <f aca="false">E101/$W110</f>
        <v>0.0509679330396537</v>
      </c>
      <c r="AF110" s="57" t="n">
        <f aca="false">F101/$W110</f>
        <v>0.0793043832033999</v>
      </c>
      <c r="AG110" s="57" t="n">
        <f aca="false">G101/$W110</f>
        <v>0.0798337494593828</v>
      </c>
      <c r="AH110" s="57" t="n">
        <f aca="false">H101/$W110</f>
        <v>0.0858184574876074</v>
      </c>
      <c r="AI110" s="57" t="n">
        <f aca="false">I101/$W110</f>
        <v>0.104582725274494</v>
      </c>
      <c r="AJ110" s="57" t="n">
        <f aca="false">J101/$W110</f>
        <v>0.11786822403635</v>
      </c>
      <c r="AK110" s="57" t="n">
        <f aca="false">K101/$W110</f>
        <v>0.12757416592265</v>
      </c>
      <c r="AL110" s="57" t="n">
        <f aca="false">L101/$W110</f>
        <v>0.147485308159849</v>
      </c>
      <c r="AM110" s="57" t="n">
        <f aca="false">M101/$W110</f>
        <v>0.173408036540483</v>
      </c>
      <c r="AN110" s="57" t="n">
        <f aca="false">N101/$W110</f>
        <v>0.203914282425814</v>
      </c>
      <c r="AO110" s="57" t="n">
        <f aca="false">O101/$W110</f>
        <v>0.233568847128363</v>
      </c>
      <c r="AP110" s="57" t="n">
        <f aca="false">P101/$W110</f>
        <v>0.263060632378097</v>
      </c>
      <c r="AQ110" s="57" t="n">
        <f aca="false">Q101/$W110</f>
        <v>0.288750603370363</v>
      </c>
      <c r="AR110" s="57" t="n">
        <f aca="false">R101/$W110</f>
        <v>0.311664776671182</v>
      </c>
    </row>
    <row r="111" customFormat="false" ht="11.25" hidden="false" customHeight="false" outlineLevel="0" collapsed="false">
      <c r="T111" s="13"/>
      <c r="U111" s="15" t="str">
        <f aca="false">AA111</f>
        <v>Crescimento da produtividade (0 - 12 % / ano)</v>
      </c>
      <c r="V111" s="86" t="n">
        <v>12</v>
      </c>
      <c r="W111" s="70" t="n">
        <f aca="false">W113</f>
        <v>12</v>
      </c>
      <c r="AA111" s="29" t="str">
        <f aca="false">CONCATENATE(A99," (0 - ",W111," % / yr)")</f>
        <v> Crescimento da produtividade (0 - 12 % / ano)</v>
      </c>
      <c r="AB111" s="57"/>
      <c r="AC111" s="57" t="n">
        <f aca="false">C99/$W111</f>
        <v>0.333896543924312</v>
      </c>
      <c r="AD111" s="57" t="n">
        <f aca="false">D99/$W111</f>
        <v>0.143730739620967</v>
      </c>
      <c r="AE111" s="57" t="n">
        <f aca="false">E99/$W111</f>
        <v>0.0032394448503333</v>
      </c>
      <c r="AF111" s="57" t="n">
        <f aca="false">F99/$W111</f>
        <v>0.886166948892815</v>
      </c>
      <c r="AG111" s="57" t="n">
        <f aca="false">G99/$W111</f>
        <v>-0.0267031284110284</v>
      </c>
      <c r="AH111" s="57" t="n">
        <f aca="false">H99/$W111</f>
        <v>0.0660788188269908</v>
      </c>
      <c r="AI111" s="57" t="n">
        <f aca="false">I99/$W111</f>
        <v>0.305046259157898</v>
      </c>
      <c r="AJ111" s="57" t="n">
        <f aca="false">J99/$W111</f>
        <v>0.167460634314148</v>
      </c>
      <c r="AK111" s="57" t="n">
        <f aca="false">K99/$W111</f>
        <v>0.166666666666667</v>
      </c>
      <c r="AL111" s="57" t="n">
        <f aca="false">L99/$W111</f>
        <v>0.225</v>
      </c>
      <c r="AM111" s="57" t="n">
        <f aca="false">M99/$W111</f>
        <v>0.258333333333333</v>
      </c>
      <c r="AN111" s="57" t="n">
        <f aca="false">N99/$W111</f>
        <v>0.283333333333333</v>
      </c>
      <c r="AO111" s="57" t="n">
        <f aca="false">O99/$W111</f>
        <v>0.25</v>
      </c>
      <c r="AP111" s="57" t="n">
        <f aca="false">P99/$W111</f>
        <v>0.233333333333333</v>
      </c>
      <c r="AQ111" s="57" t="n">
        <f aca="false">Q99/$W111</f>
        <v>0.193021433590771</v>
      </c>
      <c r="AR111" s="57" t="n">
        <f aca="false">R99/$W111</f>
        <v>0.173526892459798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(0 - 30.000 $/pessoa-ano) Sua previsão</v>
      </c>
      <c r="W112" s="4" t="n">
        <v>30000</v>
      </c>
      <c r="AA112" s="29" t="str">
        <f aca="false">CONCATENATE(A98," (0 - ",W112," $ / person-yr) Your forecast")</f>
        <v> Produtividade do trabalho (0 - 30.000 $/pessoa-ano)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0.325672974005749</v>
      </c>
      <c r="AL112" s="57" t="n">
        <f aca="false">L105/$W112</f>
        <v>0.367440532921986</v>
      </c>
      <c r="AM112" s="57" t="n">
        <f aca="false">M105/$W112</f>
        <v>0.421546151394749</v>
      </c>
      <c r="AN112" s="57" t="n">
        <f aca="false">N105/$W112</f>
        <v>0.489625854845001</v>
      </c>
      <c r="AO112" s="57" t="n">
        <f aca="false">O105/$W112</f>
        <v>0.559397539160413</v>
      </c>
      <c r="AP112" s="57" t="n">
        <f aca="false">P105/$W112</f>
        <v>0.633797411868748</v>
      </c>
      <c r="AQ112" s="57" t="n">
        <f aca="false">Q105/$W112</f>
        <v>0.703529208344413</v>
      </c>
      <c r="AR112" s="57" t="n">
        <f aca="false">R105/$W112</f>
        <v>0.773115513593277</v>
      </c>
    </row>
    <row r="113" customFormat="false" ht="11.25" hidden="false" customHeight="false" outlineLevel="0" collapsed="false">
      <c r="T113" s="13"/>
      <c r="U113" s="37" t="str">
        <f aca="false">AA113</f>
        <v> Crescimento da produtividade (0 - 12% ao ano) Sua previsão</v>
      </c>
      <c r="W113" s="87" t="n">
        <v>12</v>
      </c>
      <c r="AA113" s="29" t="str">
        <f aca="false">CONCATENATE(A99," (0 - ",W113," % / yr) Your forecast")</f>
        <v> Crescimento da produtividade (0 - 12%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0.166666666666667</v>
      </c>
      <c r="AL113" s="57" t="n">
        <f aca="false">L103/$W113</f>
        <v>0.21375</v>
      </c>
      <c r="AM113" s="57" t="n">
        <f aca="false">M103/$W113</f>
        <v>0.245416666666667</v>
      </c>
      <c r="AN113" s="57" t="n">
        <f aca="false">N103/$W113</f>
        <v>0.269166666666667</v>
      </c>
      <c r="AO113" s="57" t="n">
        <f aca="false">O103/$W113</f>
        <v>0.2375</v>
      </c>
      <c r="AP113" s="57" t="n">
        <f aca="false">P103/$W113</f>
        <v>0.221666666666667</v>
      </c>
      <c r="AQ113" s="57" t="n">
        <f aca="false">Q103/$W113</f>
        <v>0.183370361911233</v>
      </c>
      <c r="AR113" s="57" t="n">
        <f aca="false">R103/$W113</f>
        <v>0.164850547836808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BRISE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 PIB BRISE</v>
      </c>
      <c r="B134" s="88" t="n">
        <f aca="false">B96</f>
        <v>2.26288153734802</v>
      </c>
      <c r="C134" s="88" t="n">
        <f aca="false">C96</f>
        <v>3.06826085885806</v>
      </c>
      <c r="D134" s="88" t="n">
        <f aca="false">D96</f>
        <v>3.75602211487522</v>
      </c>
      <c r="E134" s="88" t="n">
        <f aca="false">E96</f>
        <v>4.23539372476216</v>
      </c>
      <c r="F134" s="88" t="n">
        <f aca="false">F96</f>
        <v>7.25798347246539</v>
      </c>
      <c r="G134" s="88" t="n">
        <f aca="false">G96</f>
        <v>7.9310519704096</v>
      </c>
      <c r="H134" s="88" t="n">
        <f aca="false">H96</f>
        <v>9.15809822694889</v>
      </c>
      <c r="I134" s="88" t="n">
        <f aca="false">I96</f>
        <v>11.8988884038997</v>
      </c>
      <c r="J134" s="88" t="n">
        <f aca="false">J96</f>
        <v>14.214501432721</v>
      </c>
      <c r="K134" s="31" t="n">
        <f aca="false">K96</f>
        <v>16.0868001426396</v>
      </c>
      <c r="L134" s="31" t="n">
        <f aca="false">L96</f>
        <v>19.2419185669771</v>
      </c>
      <c r="M134" s="31" t="n">
        <f aca="false">M96</f>
        <v>23.223644546004</v>
      </c>
      <c r="N134" s="31" t="n">
        <f aca="false">N96</f>
        <v>27.7812481434226</v>
      </c>
      <c r="O134" s="31" t="n">
        <f aca="false">O96</f>
        <v>32.1327624197604</v>
      </c>
      <c r="P134" s="31" t="n">
        <f aca="false">P96</f>
        <v>36.246632932992</v>
      </c>
      <c r="Q134" s="31" t="n">
        <f aca="false">Q96</f>
        <v>39.5</v>
      </c>
      <c r="R134" s="31" t="n">
        <f aca="false">R96</f>
        <v>42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0" t="n">
        <v>0.47929500545845</v>
      </c>
      <c r="C135" s="30" t="n">
        <v>0.779834005499813</v>
      </c>
      <c r="D135" s="30" t="n">
        <v>0.939247706353151</v>
      </c>
      <c r="E135" s="30" t="n">
        <v>0.870605848138335</v>
      </c>
      <c r="F135" s="30" t="n">
        <v>2.0170109362074</v>
      </c>
      <c r="G135" s="30" t="n">
        <v>1.8382326459126</v>
      </c>
      <c r="H135" s="30" t="n">
        <v>1.88792175463952</v>
      </c>
      <c r="I135" s="30" t="n">
        <v>2.74361094376396</v>
      </c>
      <c r="J135" s="30" t="n">
        <v>3.43093922914531</v>
      </c>
      <c r="K135" s="31" t="n">
        <f aca="false">K134*K137/100</f>
        <v>3.91756550547252</v>
      </c>
      <c r="L135" s="31" t="n">
        <f aca="false">L134*L137/100</f>
        <v>5.03695764173945</v>
      </c>
      <c r="M135" s="31" t="n">
        <f aca="false">M134*M137/100</f>
        <v>6.39991446470642</v>
      </c>
      <c r="N135" s="31" t="n">
        <f aca="false">N134*N137/100</f>
        <v>8.04081396882308</v>
      </c>
      <c r="O135" s="31" t="n">
        <f aca="false">O134*O137/100</f>
        <v>9.74666557593855</v>
      </c>
      <c r="P135" s="31" t="n">
        <f aca="false">P134*P137/100</f>
        <v>11.4990138775022</v>
      </c>
      <c r="Q135" s="31" t="n">
        <f aca="false">Q134*Q137/100</f>
        <v>13.3187179233487</v>
      </c>
      <c r="R135" s="31" t="n">
        <f aca="false">R134*R137/100</f>
        <v>15.1257560654553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AUMENTO DO PIB (0 - 45 trilhões de dólares/ano)</v>
      </c>
      <c r="AB135" s="57" t="n">
        <f aca="false">B134/$W155</f>
        <v>0.0502862563855115</v>
      </c>
      <c r="AC135" s="57" t="n">
        <f aca="false">C134/$W155</f>
        <v>0.0681835746412901</v>
      </c>
      <c r="AD135" s="57" t="n">
        <f aca="false">D134/$W155</f>
        <v>0.0834671581083382</v>
      </c>
      <c r="AE135" s="57" t="n">
        <f aca="false">E134/$W155</f>
        <v>0.0941198605502702</v>
      </c>
      <c r="AF135" s="57" t="n">
        <f aca="false">F134/$W155</f>
        <v>0.161288521610342</v>
      </c>
      <c r="AG135" s="57" t="n">
        <f aca="false">G134/$W155</f>
        <v>0.176245599342435</v>
      </c>
      <c r="AH135" s="57" t="n">
        <f aca="false">H134/$W155</f>
        <v>0.203513293932198</v>
      </c>
      <c r="AI135" s="57" t="n">
        <f aca="false">I134/$W155</f>
        <v>0.264419742308881</v>
      </c>
      <c r="AJ135" s="57" t="n">
        <f aca="false">J134/$W155</f>
        <v>0.315877809616021</v>
      </c>
      <c r="AK135" s="57" t="n">
        <f aca="false">K134/$W155</f>
        <v>0.357484447614214</v>
      </c>
      <c r="AL135" s="57" t="n">
        <f aca="false">L134/$W155</f>
        <v>0.42759819037727</v>
      </c>
      <c r="AM135" s="57" t="n">
        <f aca="false">M134/$W155</f>
        <v>0.516080989911199</v>
      </c>
      <c r="AN135" s="57" t="n">
        <f aca="false">N134/$W155</f>
        <v>0.617361069853836</v>
      </c>
      <c r="AO135" s="57" t="n">
        <f aca="false">O134/$W155</f>
        <v>0.714061387105787</v>
      </c>
      <c r="AP135" s="57" t="n">
        <f aca="false">P134/$W155</f>
        <v>0.805480731844267</v>
      </c>
      <c r="AQ135" s="57" t="n">
        <f aca="false">Q134/$W155</f>
        <v>0.877777777777778</v>
      </c>
      <c r="AR135" s="57" t="n">
        <f aca="false">R134/$W155</f>
        <v>0.933333333333333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1.78358653188957</v>
      </c>
      <c r="C136" s="65" t="n">
        <f aca="false">C134-C135</f>
        <v>2.28842685335824</v>
      </c>
      <c r="D136" s="65" t="n">
        <f aca="false">D134-D135</f>
        <v>2.81677440852207</v>
      </c>
      <c r="E136" s="65" t="n">
        <f aca="false">E134-E135</f>
        <v>3.36478787662382</v>
      </c>
      <c r="F136" s="65" t="n">
        <f aca="false">F134-F135</f>
        <v>5.24097253625799</v>
      </c>
      <c r="G136" s="65" t="n">
        <f aca="false">G134-G135</f>
        <v>6.092819324497</v>
      </c>
      <c r="H136" s="65" t="n">
        <f aca="false">H134-H135</f>
        <v>7.27017647230937</v>
      </c>
      <c r="I136" s="65" t="n">
        <f aca="false">I134-I135</f>
        <v>9.15527746013569</v>
      </c>
      <c r="J136" s="65" t="n">
        <f aca="false">J134-J135</f>
        <v>10.7835622035757</v>
      </c>
      <c r="K136" s="65" t="n">
        <f aca="false">K134-K135</f>
        <v>12.1692346371671</v>
      </c>
      <c r="L136" s="65" t="n">
        <f aca="false">L134-L135</f>
        <v>14.2049609252377</v>
      </c>
      <c r="M136" s="65" t="n">
        <f aca="false">M134-M135</f>
        <v>16.8237300812975</v>
      </c>
      <c r="N136" s="65" t="n">
        <f aca="false">N134-N135</f>
        <v>19.7404341745995</v>
      </c>
      <c r="O136" s="65" t="n">
        <f aca="false">O134-O135</f>
        <v>22.3860968438218</v>
      </c>
      <c r="P136" s="65" t="n">
        <f aca="false">P134-P135</f>
        <v>24.7476190554898</v>
      </c>
      <c r="Q136" s="65" t="n">
        <f aca="false">Q134-Q135</f>
        <v>26.1812820766513</v>
      </c>
      <c r="R136" s="65" t="n">
        <f aca="false">R134-R135</f>
        <v>26.8742439345447</v>
      </c>
      <c r="S136" s="28" t="s">
        <v>53</v>
      </c>
      <c r="T136" s="13"/>
      <c r="AA136" s="29" t="str">
        <f aca="false">CONCATENATE(A137," (0 - ",W156,"% /yr)")</f>
        <v> Percentagem de investimento (0 - 40%/ano)</v>
      </c>
      <c r="AB136" s="57" t="n">
        <f aca="false">B137/$W$156</f>
        <v>0.529518445340448</v>
      </c>
      <c r="AC136" s="57" t="n">
        <f aca="false">C137/$W$156</f>
        <v>0.635403931879224</v>
      </c>
      <c r="AD136" s="57" t="n">
        <f aca="false">D137/$W$156</f>
        <v>0.625161192896993</v>
      </c>
      <c r="AE136" s="57" t="n">
        <f aca="false">E137/$W$156</f>
        <v>0.513887199582151</v>
      </c>
      <c r="AF136" s="57" t="n">
        <f aca="false">F137/$W$156</f>
        <v>0.694755969016509</v>
      </c>
      <c r="AG136" s="57" t="n">
        <f aca="false">G137/$W$156</f>
        <v>0.579441621606743</v>
      </c>
      <c r="AH136" s="57" t="n">
        <f aca="false">H137/$W$156</f>
        <v>0.515369487161665</v>
      </c>
      <c r="AI136" s="57" t="n">
        <f aca="false">I137/$W$156</f>
        <v>0.57644270007289</v>
      </c>
      <c r="AJ136" s="57" t="n">
        <f aca="false">J137/$W$156</f>
        <v>0.603422365072806</v>
      </c>
      <c r="AK136" s="57" t="n">
        <f aca="false">K137/$W$156</f>
        <v>0.608816773804605</v>
      </c>
      <c r="AL136" s="57" t="n">
        <f aca="false">L137/$W$156</f>
        <v>0.654425080353454</v>
      </c>
      <c r="AM136" s="57" t="n">
        <f aca="false">M137/$W$156</f>
        <v>0.68894381026509</v>
      </c>
      <c r="AN136" s="57" t="n">
        <f aca="false">N137/$W$156</f>
        <v>0.723582857698818</v>
      </c>
      <c r="AO136" s="57" t="n">
        <f aca="false">O137/$W$156</f>
        <v>0.758312143274113</v>
      </c>
      <c r="AP136" s="57" t="n">
        <f aca="false">P137/$W$156</f>
        <v>0.793109107455585</v>
      </c>
      <c r="AQ136" s="57" t="n">
        <f aca="false">Q137/$W$156</f>
        <v>0.842956830591689</v>
      </c>
      <c r="AR136" s="57" t="n">
        <f aca="false">R137/$W$156</f>
        <v>0.900342622943766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21.1807378136179</v>
      </c>
      <c r="C137" s="31" t="n">
        <f aca="false">C135/C134*100</f>
        <v>25.4161572751689</v>
      </c>
      <c r="D137" s="31" t="n">
        <f aca="false">D135/D134*100</f>
        <v>25.0064477158797</v>
      </c>
      <c r="E137" s="31" t="n">
        <f aca="false">E135/E134*100</f>
        <v>20.555487983286</v>
      </c>
      <c r="F137" s="31" t="n">
        <f aca="false">F135/F134*100</f>
        <v>27.7902387606604</v>
      </c>
      <c r="G137" s="31" t="n">
        <f aca="false">G135/G134*100</f>
        <v>23.1776648642697</v>
      </c>
      <c r="H137" s="31" t="n">
        <f aca="false">H135/H134*100</f>
        <v>20.6147794864666</v>
      </c>
      <c r="I137" s="31" t="n">
        <f aca="false">I135/I134*100</f>
        <v>23.0577080029156</v>
      </c>
      <c r="J137" s="31" t="n">
        <f aca="false">J135/J134*100</f>
        <v>24.1368946029123</v>
      </c>
      <c r="K137" s="65" t="n">
        <f aca="false">SUM(K138:K141)</f>
        <v>24.3526709521842</v>
      </c>
      <c r="L137" s="65" t="n">
        <f aca="false">SUM(L138:L141)</f>
        <v>26.1770032141381</v>
      </c>
      <c r="M137" s="65" t="n">
        <f aca="false">SUM(M138:M141)</f>
        <v>27.5577524106036</v>
      </c>
      <c r="N137" s="65" t="n">
        <f aca="false">SUM(N138:N141)</f>
        <v>28.9433143079527</v>
      </c>
      <c r="O137" s="65" t="n">
        <f aca="false">SUM(O138:O141)</f>
        <v>30.3324857309645</v>
      </c>
      <c r="P137" s="65" t="n">
        <f aca="false">SUM(P138:P141)</f>
        <v>31.7243642982234</v>
      </c>
      <c r="Q137" s="65" t="n">
        <f aca="false">SUM(Q138:Q141)</f>
        <v>33.7182732236675</v>
      </c>
      <c r="R137" s="65" t="n">
        <f aca="false">SUM(R138:R141)</f>
        <v>36.0137049177507</v>
      </c>
      <c r="S137" s="28" t="s">
        <v>25</v>
      </c>
      <c r="T137" s="13"/>
      <c r="AA137" s="29" t="str">
        <f aca="false">CONCATENATE(A136," (0 - ",W157, " T$ / yr)")</f>
        <v> Consumo (0 - 45 T$ / ano)</v>
      </c>
      <c r="AB137" s="57" t="n">
        <f aca="false">B136/$W$157</f>
        <v>0.0396352562642126</v>
      </c>
      <c r="AC137" s="57" t="n">
        <f aca="false">C136/$W$157</f>
        <v>0.0508539300746276</v>
      </c>
      <c r="AD137" s="57" t="n">
        <f aca="false">D136/$W$157</f>
        <v>0.062594986856046</v>
      </c>
      <c r="AE137" s="57" t="n">
        <f aca="false">E136/$W$157</f>
        <v>0.0747730639249738</v>
      </c>
      <c r="AF137" s="57" t="n">
        <f aca="false">F136/$W$157</f>
        <v>0.116466056361289</v>
      </c>
      <c r="AG137" s="57" t="n">
        <f aca="false">G136/$W$157</f>
        <v>0.135395984988822</v>
      </c>
      <c r="AH137" s="57" t="n">
        <f aca="false">H136/$W$157</f>
        <v>0.161559477162431</v>
      </c>
      <c r="AI137" s="57" t="n">
        <f aca="false">I136/$W$157</f>
        <v>0.203450610225237</v>
      </c>
      <c r="AJ137" s="57" t="n">
        <f aca="false">J136/$W$157</f>
        <v>0.239634715635015</v>
      </c>
      <c r="AK137" s="57" t="n">
        <f aca="false">K136/$W$157</f>
        <v>0.270427436381491</v>
      </c>
      <c r="AL137" s="57" t="n">
        <f aca="false">L136/$W$157</f>
        <v>0.315665798338615</v>
      </c>
      <c r="AM137" s="57" t="n">
        <f aca="false">M136/$W$157</f>
        <v>0.373860668473279</v>
      </c>
      <c r="AN137" s="57" t="n">
        <f aca="false">N136/$W$157</f>
        <v>0.438676314991101</v>
      </c>
      <c r="AO137" s="57" t="n">
        <f aca="false">O136/$W$157</f>
        <v>0.497468818751596</v>
      </c>
      <c r="AP137" s="57" t="n">
        <f aca="false">P136/$W$157</f>
        <v>0.549947090121996</v>
      </c>
      <c r="AQ137" s="57" t="n">
        <f aca="false">Q136/$W$157</f>
        <v>0.581806268370029</v>
      </c>
      <c r="AR137" s="57" t="n">
        <f aca="false">R136/$W$157</f>
        <v>0.59720542076766</v>
      </c>
    </row>
    <row r="138" customFormat="false" ht="11.25" hidden="false" customHeight="false" outlineLevel="0" collapsed="false">
      <c r="A138" s="46" t="s">
        <v>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65" t="n">
        <f aca="false">J137</f>
        <v>24.1368946029123</v>
      </c>
      <c r="L138" s="65" t="n">
        <f aca="false">K138+K141</f>
        <v>24.1026709521842</v>
      </c>
      <c r="M138" s="65" t="n">
        <f aca="false">L138+L141</f>
        <v>24.0770032141381</v>
      </c>
      <c r="N138" s="65" t="n">
        <f aca="false">M138+M141</f>
        <v>24.0577524106036</v>
      </c>
      <c r="O138" s="65" t="n">
        <f aca="false">N138+N141</f>
        <v>24.0433143079527</v>
      </c>
      <c r="P138" s="65" t="n">
        <f aca="false">O138+O141</f>
        <v>24.0324857309645</v>
      </c>
      <c r="Q138" s="65" t="n">
        <f aca="false">P138+P141</f>
        <v>24.0243642982234</v>
      </c>
      <c r="R138" s="65" t="n">
        <f aca="false">Q138+Q141</f>
        <v>24.0182732236676</v>
      </c>
      <c r="S138" s="28" t="s">
        <v>25</v>
      </c>
      <c r="T138" s="13"/>
      <c r="AA138" s="29" t="str">
        <f aca="false">CONCATENATE("normal + norm change inv."," (0 - ",W156,"% /yr)")</f>
        <v> normal + mudança normal inv. (0 - 40%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(K138+K141)/$W$156</f>
        <v>0.602566773804605</v>
      </c>
      <c r="AL138" s="48" t="n">
        <f aca="false">(L138+L141)/$W$156</f>
        <v>0.601925080353454</v>
      </c>
      <c r="AM138" s="48" t="n">
        <f aca="false">(M138+M141)/$W$156</f>
        <v>0.60144381026509</v>
      </c>
      <c r="AN138" s="48" t="n">
        <f aca="false">(N138+N141)/$W$156</f>
        <v>0.601082857698818</v>
      </c>
      <c r="AO138" s="48" t="n">
        <f aca="false">(O138+O141)/$W$156</f>
        <v>0.600812143274113</v>
      </c>
      <c r="AP138" s="48" t="n">
        <f aca="false">(P138+P141)/$W$156</f>
        <v>0.600609107455585</v>
      </c>
      <c r="AQ138" s="48" t="n">
        <f aca="false">(Q138+Q141)/$W$156</f>
        <v>0.600456830591689</v>
      </c>
      <c r="AR138" s="48" t="n">
        <f aca="false">(R138+R141)/$W$156</f>
        <v>0.600342622943767</v>
      </c>
    </row>
    <row r="139" customFormat="false" ht="11.25" hidden="false" customHeight="false" outlineLevel="0" collapsed="false">
      <c r="A139" s="46" t="s">
        <v>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33" t="n">
        <v>0.1</v>
      </c>
      <c r="L139" s="33" t="n">
        <v>1.3</v>
      </c>
      <c r="M139" s="33" t="n">
        <v>2</v>
      </c>
      <c r="N139" s="33" t="n">
        <v>2.7</v>
      </c>
      <c r="O139" s="33" t="n">
        <v>3.4</v>
      </c>
      <c r="P139" s="33" t="n">
        <v>4.1</v>
      </c>
      <c r="Q139" s="33" t="n">
        <v>5</v>
      </c>
      <c r="R139" s="33" t="n">
        <v>6</v>
      </c>
      <c r="S139" s="28" t="s">
        <v>25</v>
      </c>
      <c r="T139" s="13"/>
      <c r="AA139" s="29" t="str">
        <f aca="false">CONCATENATE("normal + voluntary inv."," (0 - ",W156,"% /yr)")</f>
        <v> Inventário normal + voluntário (0 - 40%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(K138+K141+K139)/$W$156</f>
        <v>0.605066773804605</v>
      </c>
      <c r="AL139" s="48" t="n">
        <f aca="false">(L138+L141+L139)/$W$156</f>
        <v>0.634425080353454</v>
      </c>
      <c r="AM139" s="48" t="n">
        <f aca="false">(M138+M141+M139)/$W$156</f>
        <v>0.65144381026509</v>
      </c>
      <c r="AN139" s="48" t="n">
        <f aca="false">(N138+N141+N139)/$W$156</f>
        <v>0.668582857698818</v>
      </c>
      <c r="AO139" s="48" t="n">
        <f aca="false">(O138+O141+O139)/$W$156</f>
        <v>0.685812143274113</v>
      </c>
      <c r="AP139" s="48" t="n">
        <f aca="false">(P138+P141+P139)/$W$156</f>
        <v>0.703109107455585</v>
      </c>
      <c r="AQ139" s="48" t="n">
        <f aca="false">(Q138+Q141+Q139)/$W$156</f>
        <v>0.725456830591689</v>
      </c>
      <c r="AR139" s="48" t="n">
        <f aca="false">(R138+R141+R139)/$W$156</f>
        <v>0.750342622943767</v>
      </c>
    </row>
    <row r="140" customFormat="false" ht="11.25" hidden="false" customHeight="false" outlineLevel="0" collapsed="false">
      <c r="A140" s="46" t="s">
        <v>72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33" t="n">
        <v>0.15</v>
      </c>
      <c r="L140" s="33" t="n">
        <v>0.8</v>
      </c>
      <c r="M140" s="33" t="n">
        <v>1.5</v>
      </c>
      <c r="N140" s="33" t="n">
        <v>2.2</v>
      </c>
      <c r="O140" s="33" t="n">
        <v>2.9</v>
      </c>
      <c r="P140" s="33" t="n">
        <v>3.6</v>
      </c>
      <c r="Q140" s="33" t="n">
        <v>4.7</v>
      </c>
      <c r="R140" s="33" t="n">
        <v>6</v>
      </c>
      <c r="S140" s="28" t="s">
        <v>25</v>
      </c>
      <c r="T140" s="13"/>
      <c r="AA140" s="29" t="str">
        <f aca="false">CONCATENATE("normal + voluntary + forced inv."," (0 - ",W156,"% /yr)")</f>
        <v> Inventário normal + voluntário + forçado (0 - 40%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(K138+K139+K140+K141)/$W$156</f>
        <v>0.608816773804605</v>
      </c>
      <c r="AL140" s="48" t="n">
        <f aca="false">(L138+L139+L140+L141)/$W$156</f>
        <v>0.654425080353454</v>
      </c>
      <c r="AM140" s="48" t="n">
        <f aca="false">(M138+M139+M140+M141)/$W$156</f>
        <v>0.68894381026509</v>
      </c>
      <c r="AN140" s="48" t="n">
        <f aca="false">(N138+N139+N140+N141)/$W$156</f>
        <v>0.723582857698818</v>
      </c>
      <c r="AO140" s="48" t="n">
        <f aca="false">(O138+O139+O140+O141)/$W$156</f>
        <v>0.758312143274113</v>
      </c>
      <c r="AP140" s="48" t="n">
        <f aca="false">(P138+P139+P140+P141)/$W$156</f>
        <v>0.793109107455585</v>
      </c>
      <c r="AQ140" s="48" t="n">
        <f aca="false">(Q138+Q139+Q140+Q141)/$W$156</f>
        <v>0.842956830591689</v>
      </c>
      <c r="AR140" s="48" t="n">
        <f aca="false">(R138+R139+R140+R141)/$W$156</f>
        <v>0.900342622943766</v>
      </c>
    </row>
    <row r="141" customFormat="false" ht="11.25" hidden="false" customHeight="false" outlineLevel="0" collapsed="false">
      <c r="A141" s="46" t="s">
        <v>73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32" t="n">
        <f aca="false">5*(24 - K$138)/20</f>
        <v>-0.0342236507280624</v>
      </c>
      <c r="L141" s="32" t="n">
        <f aca="false">5*(24 - L$138)/20</f>
        <v>-0.0256677380460468</v>
      </c>
      <c r="M141" s="32" t="n">
        <f aca="false">5*(24 - M$138)/20</f>
        <v>-0.0192508035345353</v>
      </c>
      <c r="N141" s="32" t="n">
        <f aca="false">5*(24 - N$138)/20</f>
        <v>-0.0144381026509013</v>
      </c>
      <c r="O141" s="32" t="n">
        <f aca="false">5*(24 - O$138)/20</f>
        <v>-0.0108285769881764</v>
      </c>
      <c r="P141" s="32" t="n">
        <f aca="false">5*(24 - P$138)/20</f>
        <v>-0.00812143274113275</v>
      </c>
      <c r="Q141" s="32" t="n">
        <f aca="false">5*(24 - Q$138)/20</f>
        <v>-0.00609107455584912</v>
      </c>
      <c r="R141" s="32" t="n">
        <f aca="false">5*(24 - R$138)/20</f>
        <v>-0.00456830591688728</v>
      </c>
      <c r="S141" s="28" t="s">
        <v>25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48" t="n">
        <f aca="false">K138*K$134/100</f>
        <v>3.88285399541006</v>
      </c>
      <c r="AL141" s="48" t="n">
        <f aca="false">L138*L$134/100</f>
        <v>4.63781631708573</v>
      </c>
      <c r="AM141" s="48" t="n">
        <f aca="false">M138*M$134/100</f>
        <v>5.59155764378139</v>
      </c>
      <c r="AN141" s="48" t="n">
        <f aca="false">N138*N$134/100</f>
        <v>6.68354389492002</v>
      </c>
      <c r="AO141" s="48" t="n">
        <f aca="false">O138*O$134/100</f>
        <v>7.7257810644107</v>
      </c>
      <c r="AP141" s="48" t="n">
        <f aca="false">P138*P$134/100</f>
        <v>8.7109668875764</v>
      </c>
      <c r="AQ141" s="48" t="n">
        <f aca="false">Q138*Q$134/100</f>
        <v>9.48962389779824</v>
      </c>
      <c r="AR141" s="48" t="n">
        <f aca="false">R138*R$134/100</f>
        <v>10.0876747539404</v>
      </c>
    </row>
    <row r="142" customFormat="false" ht="12.65" hidden="false" customHeight="false" outlineLevel="0" collapsed="false">
      <c r="A142" s="23" t="s">
        <v>7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28"/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48"/>
      <c r="AL142" s="48"/>
      <c r="AM142" s="48"/>
      <c r="AN142" s="48"/>
      <c r="AO142" s="48"/>
      <c r="AP142" s="48"/>
      <c r="AQ142" s="48"/>
      <c r="AR142" s="48"/>
    </row>
    <row r="143" customFormat="false" ht="11.25" hidden="false" customHeight="false" outlineLevel="0" collapsed="false">
      <c r="F143" s="5"/>
      <c r="G143" s="5"/>
      <c r="H143" s="5"/>
      <c r="I143" s="5"/>
      <c r="J143" s="90" t="str">
        <f aca="false">CONCATENATE(A139," Your forecast")</f>
        <v> % de investimento voluntário Sua previsão</v>
      </c>
      <c r="K143" s="39" t="n">
        <v>0.1</v>
      </c>
      <c r="L143" s="39" t="n">
        <f aca="false">L139*0.98</f>
        <v>1.274</v>
      </c>
      <c r="M143" s="39" t="n">
        <f aca="false">M139*0.98</f>
        <v>1.96</v>
      </c>
      <c r="N143" s="39" t="n">
        <f aca="false">N139*0.98</f>
        <v>2.646</v>
      </c>
      <c r="O143" s="39" t="n">
        <f aca="false">O139*0.98</f>
        <v>3.332</v>
      </c>
      <c r="P143" s="39" t="n">
        <f aca="false">P139*0.98</f>
        <v>4.018</v>
      </c>
      <c r="Q143" s="39" t="n">
        <f aca="false">Q139*0.98</f>
        <v>4.9</v>
      </c>
      <c r="R143" s="39" t="n">
        <f aca="false">R139*0.98</f>
        <v>5.88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48" t="n">
        <f aca="false">K139*K$134/100</f>
        <v>0.0160868001426396</v>
      </c>
      <c r="AL143" s="48" t="n">
        <f aca="false">L139*L$134/100</f>
        <v>0.250144941370703</v>
      </c>
      <c r="AM143" s="48" t="n">
        <f aca="false">M139*M$134/100</f>
        <v>0.464472890920079</v>
      </c>
      <c r="AN143" s="48" t="n">
        <f aca="false">N139*N$134/100</f>
        <v>0.750093699872411</v>
      </c>
      <c r="AO143" s="48" t="n">
        <f aca="false">O139*O$134/100</f>
        <v>1.09251392227185</v>
      </c>
      <c r="AP143" s="48" t="n">
        <f aca="false">P139*P$134/100</f>
        <v>1.48611195025267</v>
      </c>
      <c r="AQ143" s="48" t="n">
        <f aca="false">Q139*Q$134/100</f>
        <v>1.975</v>
      </c>
      <c r="AR143" s="48" t="n">
        <f aca="false">R139*R$134/100</f>
        <v>2.52</v>
      </c>
    </row>
    <row r="144" customFormat="false" ht="11.25" hidden="false" customHeight="false" outlineLevel="0" collapsed="false">
      <c r="F144" s="5"/>
      <c r="G144" s="5"/>
      <c r="H144" s="5"/>
      <c r="I144" s="5"/>
      <c r="J144" s="90" t="str">
        <f aca="false">CONCATENATE(A140," Your forecast")</f>
        <v> % de investimento forçado Sua previsão</v>
      </c>
      <c r="K144" s="39" t="n">
        <v>0.15</v>
      </c>
      <c r="L144" s="39" t="n">
        <f aca="false">L140*0.98</f>
        <v>0.784</v>
      </c>
      <c r="M144" s="39" t="n">
        <f aca="false">M140*0.98</f>
        <v>1.47</v>
      </c>
      <c r="N144" s="39" t="n">
        <f aca="false">N140*0.98</f>
        <v>2.156</v>
      </c>
      <c r="O144" s="39" t="n">
        <f aca="false">O140*0.98</f>
        <v>2.842</v>
      </c>
      <c r="P144" s="39" t="n">
        <f aca="false">P140*0.98</f>
        <v>3.528</v>
      </c>
      <c r="Q144" s="39" t="n">
        <f aca="false">Q140*0.98</f>
        <v>4.606</v>
      </c>
      <c r="R144" s="39" t="n">
        <f aca="false">R140*0.98</f>
        <v>5.88</v>
      </c>
      <c r="S144" s="28" t="s">
        <v>25</v>
      </c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48" t="n">
        <f aca="false">K140*K$134/100</f>
        <v>0.0241302002139594</v>
      </c>
      <c r="AL144" s="48" t="n">
        <f aca="false">L140*L$134/100</f>
        <v>0.153935348535817</v>
      </c>
      <c r="AM144" s="48" t="n">
        <f aca="false">M140*M$134/100</f>
        <v>0.348354668190059</v>
      </c>
      <c r="AN144" s="48" t="n">
        <f aca="false">N140*N$134/100</f>
        <v>0.611187459155298</v>
      </c>
      <c r="AO144" s="48" t="n">
        <f aca="false">O140*O$134/100</f>
        <v>0.931850110173051</v>
      </c>
      <c r="AP144" s="48" t="n">
        <f aca="false">P140*P$134/100</f>
        <v>1.30487878558771</v>
      </c>
      <c r="AQ144" s="48" t="n">
        <f aca="false">Q140*Q$134/100</f>
        <v>1.8565</v>
      </c>
      <c r="AR144" s="48" t="n">
        <f aca="false">R140*R$134/100</f>
        <v>2.52</v>
      </c>
    </row>
    <row r="145" customFormat="false" ht="11.25" hidden="false" customHeight="false" outlineLevel="0" collapsed="false">
      <c r="F145" s="8"/>
      <c r="G145" s="8"/>
      <c r="H145" s="8"/>
      <c r="I145" s="8"/>
      <c r="J145" s="37" t="str">
        <f aca="false">CONCATENATE(A134," calculated from Your forecast")</f>
        <v> PIB BRISE calculado a partir da sua previsão</v>
      </c>
      <c r="K145" s="91" t="n">
        <f aca="false">K104</f>
        <v>16.0868001426396</v>
      </c>
      <c r="L145" s="91" t="n">
        <f aca="false">L104</f>
        <v>18.7449345645182</v>
      </c>
      <c r="M145" s="91" t="n">
        <f aca="false">M104</f>
        <v>22.4720149020128</v>
      </c>
      <c r="N145" s="91" t="n">
        <f aca="false">N104</f>
        <v>26.6868149702554</v>
      </c>
      <c r="O145" s="91" t="n">
        <f aca="false">O104</f>
        <v>30.6655968790457</v>
      </c>
      <c r="P145" s="91" t="n">
        <f aca="false">P104</f>
        <v>34.37922541657</v>
      </c>
      <c r="Q145" s="91" t="n">
        <f aca="false">Q104</f>
        <v>37.2705517635286</v>
      </c>
      <c r="R145" s="91" t="n">
        <f aca="false">R104</f>
        <v>39.4425982182013</v>
      </c>
      <c r="S145" s="28" t="s">
        <v>53</v>
      </c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48" t="n">
        <f aca="false">K141*K$134/100</f>
        <v>-0.00550549029413843</v>
      </c>
      <c r="AL145" s="48" t="n">
        <f aca="false">L141*L$134/100</f>
        <v>-0.00493896525280534</v>
      </c>
      <c r="AM145" s="48" t="n">
        <f aca="false">M141*M$134/100</f>
        <v>-0.00447073818511006</v>
      </c>
      <c r="AN145" s="48" t="n">
        <f aca="false">N141*N$134/100</f>
        <v>-0.00401108512464896</v>
      </c>
      <c r="AO145" s="48" t="n">
        <f aca="false">O141*O$134/100</f>
        <v>-0.00347952091705157</v>
      </c>
      <c r="AP145" s="48" t="n">
        <f aca="false">P141*P$134/100</f>
        <v>-0.00294374591457822</v>
      </c>
      <c r="AQ145" s="48" t="n">
        <f aca="false">Q141*Q$134/100</f>
        <v>-0.0024059744495604</v>
      </c>
      <c r="AR145" s="48" t="n">
        <f aca="false">R141*R$134/100</f>
        <v>-0.00191868848509266</v>
      </c>
    </row>
    <row r="146" customFormat="false" ht="11.25" hidden="false" customHeight="false" outlineLevel="0" collapsed="false">
      <c r="F146" s="8"/>
      <c r="G146" s="8"/>
      <c r="H146" s="8"/>
      <c r="I146" s="8"/>
      <c r="J146" s="37" t="str">
        <f aca="false">CONCATENATE(A135," calculated from Your forecast")</f>
        <v> Investimento calculado a partir da sua previsão.</v>
      </c>
      <c r="K146" s="91" t="n">
        <f aca="false">K145*K148/100</f>
        <v>3.91756550547252</v>
      </c>
      <c r="L146" s="91" t="n">
        <f aca="false">L145*L148/100</f>
        <v>4.89898925092491</v>
      </c>
      <c r="M146" s="91" t="n">
        <f aca="false">M145*M148/100</f>
        <v>6.17705181793921</v>
      </c>
      <c r="N146" s="91" t="n">
        <f aca="false">N145*N148/100</f>
        <v>7.69789565695195</v>
      </c>
      <c r="O146" s="91" t="n">
        <f aca="false">O145*O148/100</f>
        <v>9.26299914558405</v>
      </c>
      <c r="P146" s="91" t="n">
        <f aca="false">P145*P148/100</f>
        <v>10.8536467069186</v>
      </c>
      <c r="Q146" s="91" t="n">
        <f aca="false">Q145*Q148/100</f>
        <v>12.4946816051738</v>
      </c>
      <c r="R146" s="91" t="n">
        <f aca="false">R145*R148/100</f>
        <v>14.1100786984733</v>
      </c>
      <c r="S146" s="28" t="s">
        <v>53</v>
      </c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48" t="n">
        <f aca="false">K135-AK145-AK141-AK143-AK144</f>
        <v>3.46944695195361E-016</v>
      </c>
      <c r="AL146" s="48" t="n">
        <f aca="false">L135-AL145-AL141-AL143-AL144</f>
        <v>0</v>
      </c>
      <c r="AM146" s="48" t="n">
        <f aca="false">M135-AM145-AM141-AM143-AM144</f>
        <v>0</v>
      </c>
      <c r="AN146" s="48" t="n">
        <f aca="false">N135-AN145-AN141-AN143-AN144</f>
        <v>0</v>
      </c>
      <c r="AO146" s="48" t="n">
        <f aca="false">O135-AO145-AO141-AO143-AO144</f>
        <v>0</v>
      </c>
      <c r="AP146" s="48" t="n">
        <f aca="false">P135-AP145-AP141-AP143-AP144</f>
        <v>0</v>
      </c>
      <c r="AQ146" s="48" t="n">
        <f aca="false">Q135-AQ145-AQ141-AQ143-AQ144</f>
        <v>0</v>
      </c>
      <c r="AR146" s="48" t="n">
        <f aca="false">R135-AR145-AR141-AR143-AR144</f>
        <v>0</v>
      </c>
    </row>
    <row r="147" customFormat="false" ht="11.25" hidden="false" customHeight="false" outlineLevel="0" collapsed="false">
      <c r="F147" s="8"/>
      <c r="G147" s="8"/>
      <c r="H147" s="8"/>
      <c r="I147" s="8"/>
      <c r="J147" s="37" t="str">
        <f aca="false">CONCATENATE(A136," calculated from Your forecast")</f>
        <v> Consumo calculado a partir da sua previsão.</v>
      </c>
      <c r="K147" s="45" t="n">
        <f aca="false">K145-K146</f>
        <v>12.1692346371671</v>
      </c>
      <c r="L147" s="45" t="n">
        <f aca="false">L145-L146</f>
        <v>13.8459453135932</v>
      </c>
      <c r="M147" s="45" t="n">
        <f aca="false">M145-M146</f>
        <v>16.2949630840735</v>
      </c>
      <c r="N147" s="45" t="n">
        <f aca="false">N145-N146</f>
        <v>18.9889193133035</v>
      </c>
      <c r="O147" s="45" t="n">
        <f aca="false">O145-O146</f>
        <v>21.4025977334617</v>
      </c>
      <c r="P147" s="45" t="n">
        <f aca="false">P145-P146</f>
        <v>23.5255787096515</v>
      </c>
      <c r="Q147" s="45" t="n">
        <f aca="false">Q145-Q146</f>
        <v>24.7758701583548</v>
      </c>
      <c r="R147" s="45" t="n">
        <f aca="false">R145-R146</f>
        <v>25.332519519728</v>
      </c>
      <c r="S147" s="28" t="s">
        <v>53</v>
      </c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48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E148" s="8"/>
      <c r="F148" s="8"/>
      <c r="G148" s="8"/>
      <c r="H148" s="8"/>
      <c r="I148" s="8"/>
      <c r="J148" s="37" t="str">
        <f aca="false">CONCATENATE(A137," calculated from Your forecast")</f>
        <v> A porcentagem de participação no investimento é calculada a partir da sua previsão.</v>
      </c>
      <c r="K148" s="45" t="n">
        <f aca="false">SUM(K149:K152)</f>
        <v>24.3526709521842</v>
      </c>
      <c r="L148" s="45" t="n">
        <f aca="false">SUM(L149:L152)</f>
        <v>26.1350032141381</v>
      </c>
      <c r="M148" s="45" t="n">
        <f aca="false">SUM(M149:M152)</f>
        <v>27.4877524106036</v>
      </c>
      <c r="N148" s="45" t="n">
        <f aca="false">SUM(N149:N152)</f>
        <v>28.8453143079527</v>
      </c>
      <c r="O148" s="45" t="n">
        <f aca="false">SUM(O149:O152)</f>
        <v>30.2064857309645</v>
      </c>
      <c r="P148" s="45" t="n">
        <f aca="false">SUM(P149:P152)</f>
        <v>31.5703642982234</v>
      </c>
      <c r="Q148" s="45" t="n">
        <f aca="false">SUM(Q149:Q152)</f>
        <v>33.5242732236676</v>
      </c>
      <c r="R148" s="45" t="n">
        <f aca="false">SUM(R149:R152)</f>
        <v>35.7737049177507</v>
      </c>
      <c r="S148" s="28" t="s">
        <v>25</v>
      </c>
      <c r="T148" s="13"/>
      <c r="AA148" s="29" t="str">
        <f aca="false">CONCATENATE(A96," (0 - ",W158," T$ / yr)")</f>
        <v> AUMENTO DO PIB (0 - 45 trilhões de dólares/ano)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K145/$W158</f>
        <v>0.357484447614214</v>
      </c>
      <c r="AL148" s="57" t="n">
        <f aca="false">L145/$W158</f>
        <v>0.416554101433737</v>
      </c>
      <c r="AM148" s="57" t="n">
        <f aca="false">M145/$W158</f>
        <v>0.499378108933617</v>
      </c>
      <c r="AN148" s="57" t="n">
        <f aca="false">N145/$W158</f>
        <v>0.593040332672343</v>
      </c>
      <c r="AO148" s="57" t="n">
        <f aca="false">O145/$W158</f>
        <v>0.681457708423239</v>
      </c>
      <c r="AP148" s="57" t="n">
        <f aca="false">P145/$W158</f>
        <v>0.76398278703489</v>
      </c>
      <c r="AQ148" s="57" t="n">
        <f aca="false">Q145/$W158</f>
        <v>0.828234483633969</v>
      </c>
      <c r="AR148" s="57" t="n">
        <f aca="false">R145/$W158</f>
        <v>0.876502182626696</v>
      </c>
    </row>
    <row r="149" customFormat="false" ht="11.25" hidden="false" customHeight="false" outlineLevel="0" collapsed="false">
      <c r="A149" s="92"/>
      <c r="B149" s="8"/>
      <c r="C149" s="8"/>
      <c r="D149" s="8"/>
      <c r="E149" s="8"/>
      <c r="F149" s="8"/>
      <c r="G149" s="8"/>
      <c r="H149" s="8"/>
      <c r="I149" s="8"/>
      <c r="J149" s="37" t="str">
        <f aca="false">CONCATENATE(A138," calculated from Your forecast")</f>
        <v>Participação no investimento do ano passado mais a variação percentual na taxa de investimento normal calculada a partir da sua previsão.</v>
      </c>
      <c r="K149" s="91" t="n">
        <f aca="false">J137</f>
        <v>24.1368946029123</v>
      </c>
      <c r="L149" s="45" t="n">
        <f aca="false">K149+K152</f>
        <v>24.1026709521842</v>
      </c>
      <c r="M149" s="45" t="n">
        <f aca="false">L149+L152</f>
        <v>24.0770032141381</v>
      </c>
      <c r="N149" s="45" t="n">
        <f aca="false">M149+M152</f>
        <v>24.0577524106036</v>
      </c>
      <c r="O149" s="45" t="n">
        <f aca="false">N149+N152</f>
        <v>24.0433143079527</v>
      </c>
      <c r="P149" s="45" t="n">
        <f aca="false">O149+O152</f>
        <v>24.0324857309645</v>
      </c>
      <c r="Q149" s="45" t="n">
        <f aca="false">P149+P152</f>
        <v>24.0243642982234</v>
      </c>
      <c r="R149" s="45" t="n">
        <f aca="false">Q149+Q152</f>
        <v>24.0182732236676</v>
      </c>
      <c r="S149" s="28" t="s">
        <v>25</v>
      </c>
      <c r="T149" s="13"/>
      <c r="AA149" s="29" t="str">
        <f aca="false">CONCATENATE(A137," (0 - ",W159,"% /yr)")</f>
        <v> Percentagem de investimento (0 - 40%/ano)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K148/$W$159</f>
        <v>0.608816773804605</v>
      </c>
      <c r="AL149" s="57" t="n">
        <f aca="false">L148/$W$159</f>
        <v>0.653375080353454</v>
      </c>
      <c r="AM149" s="57" t="n">
        <f aca="false">M148/$W$159</f>
        <v>0.68719381026509</v>
      </c>
      <c r="AN149" s="57" t="n">
        <f aca="false">N148/$W$159</f>
        <v>0.721132857698818</v>
      </c>
      <c r="AO149" s="57" t="n">
        <f aca="false">O148/$W$159</f>
        <v>0.755162143274113</v>
      </c>
      <c r="AP149" s="57" t="n">
        <f aca="false">P148/$W$159</f>
        <v>0.789259107455585</v>
      </c>
      <c r="AQ149" s="57" t="n">
        <f aca="false">Q148/$W$159</f>
        <v>0.838106830591689</v>
      </c>
      <c r="AR149" s="57" t="n">
        <f aca="false">R148/$W$159</f>
        <v>0.894342622943767</v>
      </c>
    </row>
    <row r="150" customFormat="false" ht="11.25" hidden="false" customHeight="false" outlineLevel="0" collapsed="false">
      <c r="E150" s="8"/>
      <c r="F150" s="8"/>
      <c r="G150" s="8"/>
      <c r="H150" s="8"/>
      <c r="I150" s="8"/>
      <c r="J150" s="37" t="str">
        <f aca="false">CONCATENATE(A139," calculated from Your forecast")</f>
        <v> % de investimento voluntário calculado a partir da sua previsão</v>
      </c>
      <c r="K150" s="43" t="n">
        <f aca="false">K143</f>
        <v>0.1</v>
      </c>
      <c r="L150" s="43" t="n">
        <f aca="false">L143</f>
        <v>1.274</v>
      </c>
      <c r="M150" s="43" t="n">
        <f aca="false">M143</f>
        <v>1.96</v>
      </c>
      <c r="N150" s="43" t="n">
        <f aca="false">N143</f>
        <v>2.646</v>
      </c>
      <c r="O150" s="43" t="n">
        <f aca="false">O143</f>
        <v>3.332</v>
      </c>
      <c r="P150" s="43" t="n">
        <f aca="false">P143</f>
        <v>4.018</v>
      </c>
      <c r="Q150" s="43" t="n">
        <f aca="false">Q143</f>
        <v>4.9</v>
      </c>
      <c r="R150" s="43" t="n">
        <f aca="false">R143</f>
        <v>5.88</v>
      </c>
      <c r="S150" s="28" t="s">
        <v>25</v>
      </c>
      <c r="T150" s="13"/>
      <c r="AA150" s="29" t="str">
        <f aca="false">CONCATENATE(A136," (0 - ",W160, " T$ / yr)")</f>
        <v> Consumo (0 - 45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K147/$W$160</f>
        <v>0.270427436381491</v>
      </c>
      <c r="AL150" s="57" t="n">
        <f aca="false">L147/$W$160</f>
        <v>0.307687673635405</v>
      </c>
      <c r="AM150" s="57" t="n">
        <f aca="false">M147/$W$160</f>
        <v>0.36211029075719</v>
      </c>
      <c r="AN150" s="57" t="n">
        <f aca="false">N147/$W$160</f>
        <v>0.421975984740077</v>
      </c>
      <c r="AO150" s="57" t="n">
        <f aca="false">O147/$W$160</f>
        <v>0.475613282965815</v>
      </c>
      <c r="AP150" s="57" t="n">
        <f aca="false">P147/$W$160</f>
        <v>0.522790637992255</v>
      </c>
      <c r="AQ150" s="57" t="n">
        <f aca="false">Q147/$W$160</f>
        <v>0.550574892407885</v>
      </c>
      <c r="AR150" s="57" t="n">
        <f aca="false">R147/$W$160</f>
        <v>0.562944878216178</v>
      </c>
    </row>
    <row r="151" customFormat="false" ht="11.25" hidden="false" customHeight="false" outlineLevel="0" collapsed="false">
      <c r="E151" s="8"/>
      <c r="F151" s="8"/>
      <c r="G151" s="8"/>
      <c r="H151" s="8"/>
      <c r="I151" s="8"/>
      <c r="J151" s="37" t="str">
        <f aca="false">CONCATENATE(A140," calculated from Your forecast")</f>
        <v> % de investimento forçado calculado a partir da sua previsão</v>
      </c>
      <c r="K151" s="43" t="n">
        <f aca="false">K144</f>
        <v>0.15</v>
      </c>
      <c r="L151" s="43" t="n">
        <f aca="false">L144</f>
        <v>0.784</v>
      </c>
      <c r="M151" s="43" t="n">
        <f aca="false">M144</f>
        <v>1.47</v>
      </c>
      <c r="N151" s="43" t="n">
        <f aca="false">N144</f>
        <v>2.156</v>
      </c>
      <c r="O151" s="43" t="n">
        <f aca="false">O144</f>
        <v>2.842</v>
      </c>
      <c r="P151" s="43" t="n">
        <f aca="false">P144</f>
        <v>3.528</v>
      </c>
      <c r="Q151" s="43" t="n">
        <f aca="false">Q144</f>
        <v>4.606</v>
      </c>
      <c r="R151" s="43" t="n">
        <f aca="false">R144</f>
        <v>5.88</v>
      </c>
      <c r="S151" s="28" t="s">
        <v>25</v>
      </c>
      <c r="T151" s="13"/>
      <c r="AA151" s="29" t="str">
        <f aca="false">CONCATENATE("normal + norm change inv."," (0 - ",W159,"% /yr)")</f>
        <v> normal + mudança normal inv. (0 - 40%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(K149+K152)/$W$159</f>
        <v>0.602566773804605</v>
      </c>
      <c r="AL151" s="48" t="n">
        <f aca="false">(L149+L152)/$W$159</f>
        <v>0.601925080353454</v>
      </c>
      <c r="AM151" s="48" t="n">
        <f aca="false">(M149+M152)/$W$159</f>
        <v>0.60144381026509</v>
      </c>
      <c r="AN151" s="48" t="n">
        <f aca="false">(N149+N152)/$W$159</f>
        <v>0.601082857698818</v>
      </c>
      <c r="AO151" s="48" t="n">
        <f aca="false">(O149+O152)/$W$159</f>
        <v>0.600812143274113</v>
      </c>
      <c r="AP151" s="48" t="n">
        <f aca="false">(P149+P152)/$W$159</f>
        <v>0.600609107455585</v>
      </c>
      <c r="AQ151" s="48" t="n">
        <f aca="false">(Q149+Q152)/$W$159</f>
        <v>0.600456830591689</v>
      </c>
      <c r="AR151" s="48" t="n">
        <f aca="false">(R149+R152)/$W$159</f>
        <v>0.600342622943767</v>
      </c>
    </row>
    <row r="152" s="3" customFormat="true" ht="11.25" hidden="false" customHeight="false" outlineLevel="0" collapsed="false">
      <c r="D152" s="8"/>
      <c r="E152" s="8"/>
      <c r="F152" s="8"/>
      <c r="G152" s="8"/>
      <c r="H152" s="8"/>
      <c r="I152" s="8"/>
      <c r="J152" s="37" t="str">
        <f aca="false">CONCATENATE(A141," calculated from Your forecast")</f>
        <v> Variação percentual na taxa de investimento normal calculada a partir da sua previsão.</v>
      </c>
      <c r="K152" s="43" t="n">
        <f aca="false">5*(24 - K$149)/20</f>
        <v>-0.0342236507280624</v>
      </c>
      <c r="L152" s="43" t="n">
        <f aca="false">5*(24 - L$149)/20</f>
        <v>-0.0256677380460468</v>
      </c>
      <c r="M152" s="43" t="n">
        <f aca="false">5*(24 - M$149)/20</f>
        <v>-0.0192508035345353</v>
      </c>
      <c r="N152" s="43" t="n">
        <f aca="false">5*(24 - N$149)/20</f>
        <v>-0.0144381026509013</v>
      </c>
      <c r="O152" s="43" t="n">
        <f aca="false">5*(24 - O$149)/20</f>
        <v>-0.0108285769881764</v>
      </c>
      <c r="P152" s="43" t="n">
        <f aca="false">5*(24 - P$149)/20</f>
        <v>-0.00812143274113275</v>
      </c>
      <c r="Q152" s="43" t="n">
        <f aca="false">5*(24 - Q$149)/20</f>
        <v>-0.00609107455584912</v>
      </c>
      <c r="R152" s="43" t="n">
        <f aca="false">5*(24 - R$149)/20</f>
        <v>-0.00456830591688728</v>
      </c>
      <c r="S152" s="28" t="s">
        <v>25</v>
      </c>
      <c r="T152" s="13"/>
      <c r="X152" s="15" t="s">
        <v>33</v>
      </c>
      <c r="AA152" s="29" t="str">
        <f aca="false">CONCATENATE("normal + voluntary inv."," (0 - ",W159,"% /yr)")</f>
        <v> Inventário normal + voluntário (0 - 40%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(K149+K152+K150)/$W$159</f>
        <v>0.605066773804605</v>
      </c>
      <c r="AL152" s="48" t="n">
        <f aca="false">(L149+L152+L150)/$W$159</f>
        <v>0.633775080353454</v>
      </c>
      <c r="AM152" s="48" t="n">
        <f aca="false">(M149+M152+M150)/$W$159</f>
        <v>0.65044381026509</v>
      </c>
      <c r="AN152" s="48" t="n">
        <f aca="false">(N149+N152+N150)/$W$159</f>
        <v>0.667232857698818</v>
      </c>
      <c r="AO152" s="48" t="n">
        <f aca="false">(O149+O152+O150)/$W$159</f>
        <v>0.684112143274113</v>
      </c>
      <c r="AP152" s="48" t="n">
        <f aca="false">(P149+P152+P150)/$W$159</f>
        <v>0.701059107455585</v>
      </c>
      <c r="AQ152" s="48" t="n">
        <f aca="false">(Q149+Q152+Q150)/$W$159</f>
        <v>0.722956830591689</v>
      </c>
      <c r="AR152" s="48" t="n">
        <f aca="false">(R149+R152+R150)/$W$159</f>
        <v>0.747342622943767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(0 - 40%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(K149+K150+K151+K152)/$W$159</f>
        <v>0.608816773804605</v>
      </c>
      <c r="AL153" s="48" t="n">
        <f aca="false">(L149+L150+L151+L152)/$W$159</f>
        <v>0.653375080353454</v>
      </c>
      <c r="AM153" s="48" t="n">
        <f aca="false">(M149+M150+M151+M152)/$W$159</f>
        <v>0.68719381026509</v>
      </c>
      <c r="AN153" s="48" t="n">
        <f aca="false">(N149+N150+N151+N152)/$W$159</f>
        <v>0.721132857698818</v>
      </c>
      <c r="AO153" s="48" t="n">
        <f aca="false">(O149+O150+O151+O152)/$W$159</f>
        <v>0.755162143274113</v>
      </c>
      <c r="AP153" s="48" t="n">
        <f aca="false">(P149+P150+P151+P152)/$W$159</f>
        <v>0.789259107455585</v>
      </c>
      <c r="AQ153" s="48" t="n">
        <f aca="false">(Q149+Q150+Q151+Q152)/$W$159</f>
        <v>0.838106830591689</v>
      </c>
      <c r="AR153" s="48" t="n">
        <f aca="false">(R149+R150+R151+R152)/$W$159</f>
        <v>0.894342622943767</v>
      </c>
    </row>
    <row r="154" s="3" customFormat="true" ht="28.3" hidden="false" customHeight="false" outlineLevel="0" collapsed="false">
      <c r="T154" s="13"/>
      <c r="U154" s="53" t="s">
        <v>37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48" t="n">
        <f aca="false">K149*K$104/100</f>
        <v>3.88285399541006</v>
      </c>
      <c r="AL154" s="48" t="n">
        <f aca="false">L149*L$104/100</f>
        <v>4.51802989828805</v>
      </c>
      <c r="AM154" s="48" t="n">
        <f aca="false">M149*M$104/100</f>
        <v>5.41058775023921</v>
      </c>
      <c r="AN154" s="48" t="n">
        <f aca="false">N149*N$104/100</f>
        <v>6.42024787181995</v>
      </c>
      <c r="AO154" s="48" t="n">
        <f aca="false">O149*O$104/100</f>
        <v>7.3730258420387</v>
      </c>
      <c r="AP154" s="48" t="n">
        <f aca="false">P149*P$104/100</f>
        <v>8.26218244265333</v>
      </c>
      <c r="AQ154" s="48" t="n">
        <f aca="false">Q149*Q$104/100</f>
        <v>8.95401313162804</v>
      </c>
      <c r="AR154" s="48" t="n">
        <f aca="false">R149*R$104/100</f>
        <v>9.47343100656103</v>
      </c>
    </row>
    <row r="155" s="3" customFormat="true" ht="11.25" hidden="false" customHeight="false" outlineLevel="0" collapsed="false">
      <c r="T155" s="13"/>
      <c r="U155" s="15" t="str">
        <f aca="false">AA135</f>
        <v> AUMENTO DO PIB (0 - 45 trilhões de dólares/ano)</v>
      </c>
      <c r="V155" s="25" t="n">
        <v>45</v>
      </c>
      <c r="W155" s="70" t="n">
        <f aca="false">W158</f>
        <v>45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48" t="n">
        <f aca="false">K150*K$104/100</f>
        <v>0.0160868001426396</v>
      </c>
      <c r="AL155" s="48" t="n">
        <f aca="false">L150*L$104/100</f>
        <v>0.238810466351961</v>
      </c>
      <c r="AM155" s="48" t="n">
        <f aca="false">M150*M$104/100</f>
        <v>0.44045149207945</v>
      </c>
      <c r="AN155" s="48" t="n">
        <f aca="false">N150*N$104/100</f>
        <v>0.706133124112958</v>
      </c>
      <c r="AO155" s="48" t="n">
        <f aca="false">O150*O$104/100</f>
        <v>1.0217776880098</v>
      </c>
      <c r="AP155" s="48" t="n">
        <f aca="false">P150*P$104/100</f>
        <v>1.38135727723778</v>
      </c>
      <c r="AQ155" s="48" t="n">
        <f aca="false">Q150*Q$104/100</f>
        <v>1.8262570364129</v>
      </c>
      <c r="AR155" s="48" t="n">
        <f aca="false">R150*R$104/100</f>
        <v>2.31922477523024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(0 - 40%/ano)</v>
      </c>
      <c r="V156" s="25" t="n">
        <v>40</v>
      </c>
      <c r="W156" s="70" t="n">
        <f aca="false">W159</f>
        <v>40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48" t="n">
        <f aca="false">K151*K$104/100</f>
        <v>0.0241302002139594</v>
      </c>
      <c r="AL156" s="48" t="n">
        <f aca="false">L151*L$104/100</f>
        <v>0.146960286985822</v>
      </c>
      <c r="AM156" s="48" t="n">
        <f aca="false">M151*M$104/100</f>
        <v>0.330338619059587</v>
      </c>
      <c r="AN156" s="48" t="n">
        <f aca="false">N151*N$104/100</f>
        <v>0.575367730758707</v>
      </c>
      <c r="AO156" s="48" t="n">
        <f aca="false">O151*O$104/100</f>
        <v>0.87151626330248</v>
      </c>
      <c r="AP156" s="48" t="n">
        <f aca="false">P151*P$104/100</f>
        <v>1.21289907269659</v>
      </c>
      <c r="AQ156" s="48" t="n">
        <f aca="false">Q151*Q$104/100</f>
        <v>1.71668161422813</v>
      </c>
      <c r="AR156" s="48" t="n">
        <f aca="false">R151*R$104/100</f>
        <v>2.31922477523024</v>
      </c>
    </row>
    <row r="157" s="3" customFormat="true" ht="11.25" hidden="false" customHeight="false" outlineLevel="0" collapsed="false">
      <c r="T157" s="13"/>
      <c r="U157" s="15" t="str">
        <f aca="false">AA137</f>
        <v> Consumo (0 - 45 T$ / ano)</v>
      </c>
      <c r="V157" s="25" t="n">
        <v>45</v>
      </c>
      <c r="W157" s="70" t="n">
        <f aca="false">W160</f>
        <v>45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48" t="n">
        <f aca="false">K152*K$104/100</f>
        <v>-0.00550549029413843</v>
      </c>
      <c r="AL157" s="48" t="n">
        <f aca="false">L152*L$104/100</f>
        <v>-0.00481140070092341</v>
      </c>
      <c r="AM157" s="48" t="n">
        <f aca="false">M152*M$104/100</f>
        <v>-0.00432604343903798</v>
      </c>
      <c r="AN157" s="48" t="n">
        <f aca="false">N152*N$104/100</f>
        <v>-0.00385306973966157</v>
      </c>
      <c r="AO157" s="48" t="n">
        <f aca="false">O152*O$104/100</f>
        <v>-0.00332064776693129</v>
      </c>
      <c r="AP157" s="48" t="n">
        <f aca="false">P152*P$104/100</f>
        <v>-0.00279208566912915</v>
      </c>
      <c r="AQ157" s="48" t="n">
        <f aca="false">Q152*Q$104/100</f>
        <v>-0.00227017709529287</v>
      </c>
      <c r="AR157" s="48" t="n">
        <f aca="false">R152*R$104/100</f>
        <v>-0.00180185854817617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Crescimento do PIB (0 - 45 trilhões de dólares/ano) sua previsão</v>
      </c>
      <c r="W158" s="4" t="n">
        <v>45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K146-AK157-AK154-AK155-AK156</f>
        <v>3.46944695195361E-016</v>
      </c>
      <c r="AL158" s="48" t="n">
        <f aca="false">L146-AL157-AL154-AL155-AL156</f>
        <v>0</v>
      </c>
      <c r="AM158" s="48" t="n">
        <f aca="false">M146-AM157-AM154-AM155-AM156</f>
        <v>0</v>
      </c>
      <c r="AN158" s="48" t="n">
        <f aca="false">N146-AN157-AN154-AN155-AN156</f>
        <v>0</v>
      </c>
      <c r="AO158" s="48" t="n">
        <f aca="false">O146-AO157-AO154-AO155-AO156</f>
        <v>0</v>
      </c>
      <c r="AP158" s="48" t="n">
        <f aca="false">P146-AP157-AP154-AP155-AP156</f>
        <v>0</v>
      </c>
      <c r="AQ158" s="48" t="n">
        <f aca="false">Q146-AQ157-AQ154-AQ155-AQ156</f>
        <v>0</v>
      </c>
      <c r="AR158" s="48" t="n">
        <f aca="false">R146-AR157-AR154-AR155-AR156</f>
        <v>0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(0 - 40%/ano) sua previsão</v>
      </c>
      <c r="W159" s="4" t="n">
        <v>40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(0 - 45 T$/ano) sua previsão</v>
      </c>
      <c r="W160" s="93" t="n">
        <f aca="false">W158</f>
        <v>45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 Gráfico 4a. Participação no investimento - BRISE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1.25" hidden="false" customHeight="false" outlineLevel="0" collapsed="false">
      <c r="T194" s="13"/>
    </row>
    <row r="195" customFormat="false" ht="11.25" hidden="false" customHeight="false" outlineLevel="0" collapsed="false">
      <c r="T195" s="13"/>
    </row>
    <row r="196" customFormat="false" ht="11.25" hidden="false" customHeight="false" outlineLevel="0" collapsed="false">
      <c r="T196" s="13"/>
    </row>
    <row r="197" customFormat="false" ht="11.25" hidden="false" customHeight="false" outlineLevel="0" collapsed="false">
      <c r="T197" s="13"/>
    </row>
    <row r="198" customFormat="false" ht="11.25" hidden="false" customHeight="false" outlineLevel="0" collapsed="false">
      <c r="T198" s="13"/>
    </row>
    <row r="199" customFormat="false" ht="11.25" hidden="false" customHeight="false" outlineLevel="0" collapsed="false">
      <c r="T199" s="13"/>
    </row>
    <row r="200" customFormat="false" ht="11.25" hidden="false" customHeight="false" outlineLevel="0" collapsed="false">
      <c r="T200" s="13"/>
    </row>
    <row r="201" customFormat="false" ht="11.25" hidden="false" customHeight="false" outlineLevel="0" collapsed="false">
      <c r="T201" s="13"/>
    </row>
    <row r="202" customFormat="false" ht="11.25" hidden="false" customHeight="false" outlineLevel="0" collapsed="false">
      <c r="T202" s="13"/>
    </row>
    <row r="203" customFormat="false" ht="11.25" hidden="false" customHeight="false" outlineLevel="0" collapsed="false">
      <c r="T203" s="13"/>
    </row>
    <row r="204" customFormat="false" ht="12.65" hidden="false" customHeight="false" outlineLevel="0" collapsed="false">
      <c r="B204" s="95"/>
      <c r="T204" s="13"/>
    </row>
    <row r="205" customFormat="false" ht="12.65" hidden="false" customHeight="false" outlineLevel="0" collapsed="false">
      <c r="A205" s="61" t="s">
        <v>78</v>
      </c>
      <c r="T205" s="13"/>
    </row>
    <row r="206" customFormat="false" ht="12.65" hidden="false" customHeight="false" outlineLevel="0" collapsed="false">
      <c r="A206" s="23" t="str">
        <f aca="false">CONCATENATE(A205,". Consumption per person - ",A5," 1970 to 2050")</f>
        <v> Gráfico 5. Consumo per capita - BRISE 1970 a 2050</v>
      </c>
      <c r="T206" s="13"/>
    </row>
    <row r="207" customFormat="false" ht="11.25" hidden="false" customHeight="false" outlineLevel="0" collapsed="false">
      <c r="B207" s="24" t="n">
        <v>1970</v>
      </c>
      <c r="C207" s="24" t="n">
        <v>1975</v>
      </c>
      <c r="D207" s="24" t="n">
        <v>1980</v>
      </c>
      <c r="E207" s="24" t="n">
        <v>1985</v>
      </c>
      <c r="F207" s="24" t="n">
        <v>1990</v>
      </c>
      <c r="G207" s="24" t="n">
        <v>1995</v>
      </c>
      <c r="H207" s="24" t="n">
        <v>2000</v>
      </c>
      <c r="I207" s="24" t="n">
        <v>2005</v>
      </c>
      <c r="J207" s="24" t="n">
        <v>2010</v>
      </c>
      <c r="K207" s="24" t="n">
        <v>2015</v>
      </c>
      <c r="L207" s="24" t="n">
        <v>2020</v>
      </c>
      <c r="M207" s="24" t="n">
        <v>2025</v>
      </c>
      <c r="N207" s="24" t="n">
        <v>2030</v>
      </c>
      <c r="O207" s="24" t="n">
        <v>2035</v>
      </c>
      <c r="P207" s="24" t="n">
        <v>2040</v>
      </c>
      <c r="Q207" s="24" t="n">
        <v>2045</v>
      </c>
      <c r="R207" s="24" t="n">
        <v>2050</v>
      </c>
      <c r="S207" s="25" t="s">
        <v>15</v>
      </c>
      <c r="T207" s="13"/>
      <c r="V207" s="96"/>
      <c r="AA207" s="52" t="s">
        <v>36</v>
      </c>
    </row>
    <row r="208" customFormat="false" ht="11.25" hidden="false" customHeight="false" outlineLevel="0" collapsed="false">
      <c r="A208" s="11" t="str">
        <f aca="false">A9</f>
        <v> População, BRISE</v>
      </c>
      <c r="B208" s="27" t="n">
        <f aca="false">B9</f>
        <v>1206.798333</v>
      </c>
      <c r="C208" s="27" t="n">
        <f aca="false">C9</f>
        <v>1344.376475</v>
      </c>
      <c r="D208" s="27" t="n">
        <f aca="false">D9</f>
        <v>1496.299347</v>
      </c>
      <c r="E208" s="27" t="n">
        <f aca="false">E9</f>
        <v>1661.983711</v>
      </c>
      <c r="F208" s="27" t="n">
        <f aca="false">F9</f>
        <v>1830.411682</v>
      </c>
      <c r="G208" s="27" t="n">
        <f aca="false">G9</f>
        <v>1986.892016</v>
      </c>
      <c r="H208" s="27" t="n">
        <f aca="false">H9</f>
        <v>2134.295697</v>
      </c>
      <c r="I208" s="27" t="n">
        <f aca="false">I9</f>
        <v>2275.497865</v>
      </c>
      <c r="J208" s="27" t="n">
        <f aca="false">J9</f>
        <v>2411.931044</v>
      </c>
      <c r="K208" s="27" t="n">
        <f aca="false">K9</f>
        <v>2521.95262674</v>
      </c>
      <c r="L208" s="27" t="n">
        <f aca="false">L9</f>
        <v>2609.33360848691</v>
      </c>
      <c r="M208" s="27" t="n">
        <f aca="false">M9</f>
        <v>2678.49691505875</v>
      </c>
      <c r="N208" s="27" t="n">
        <f aca="false">N9</f>
        <v>2724.79669525156</v>
      </c>
      <c r="O208" s="27" t="n">
        <f aca="false">O9</f>
        <v>2751.45960729096</v>
      </c>
      <c r="P208" s="27" t="n">
        <f aca="false">P9</f>
        <v>2755.76262440476</v>
      </c>
      <c r="Q208" s="27" t="n">
        <f aca="false">Q9</f>
        <v>2735.92501895732</v>
      </c>
      <c r="R208" s="27" t="n">
        <f aca="false">R9</f>
        <v>2695.20350991165</v>
      </c>
      <c r="S208" s="28" t="s">
        <v>17</v>
      </c>
      <c r="T208" s="13"/>
      <c r="V208" s="96"/>
      <c r="AA208" s="52"/>
      <c r="AB208" s="24" t="n">
        <v>1970</v>
      </c>
      <c r="AC208" s="24" t="n">
        <v>1975</v>
      </c>
      <c r="AD208" s="24" t="n">
        <v>1980</v>
      </c>
      <c r="AE208" s="24" t="n">
        <v>1985</v>
      </c>
      <c r="AF208" s="24" t="n">
        <v>1990</v>
      </c>
      <c r="AG208" s="24" t="n">
        <v>1995</v>
      </c>
      <c r="AH208" s="24" t="n">
        <v>2000</v>
      </c>
      <c r="AI208" s="24" t="n">
        <v>2005</v>
      </c>
      <c r="AJ208" s="24" t="n">
        <v>2010</v>
      </c>
      <c r="AK208" s="24" t="n">
        <v>2015</v>
      </c>
      <c r="AL208" s="24" t="n">
        <v>2020</v>
      </c>
      <c r="AM208" s="24" t="n">
        <v>2025</v>
      </c>
      <c r="AN208" s="24" t="n">
        <v>2030</v>
      </c>
      <c r="AO208" s="24" t="n">
        <v>2035</v>
      </c>
      <c r="AP208" s="24" t="n">
        <v>2040</v>
      </c>
      <c r="AQ208" s="24" t="n">
        <v>2045</v>
      </c>
      <c r="AR208" s="24" t="n">
        <v>2050</v>
      </c>
    </row>
    <row r="209" customFormat="false" ht="11.25" hidden="false" customHeight="false" outlineLevel="0" collapsed="false">
      <c r="A209" s="11" t="str">
        <f aca="false">A136</f>
        <v> Consumo</v>
      </c>
      <c r="B209" s="75" t="n">
        <f aca="false">B136</f>
        <v>1.78358653188957</v>
      </c>
      <c r="C209" s="75" t="n">
        <f aca="false">C136</f>
        <v>2.28842685335824</v>
      </c>
      <c r="D209" s="75" t="n">
        <f aca="false">D136</f>
        <v>2.81677440852207</v>
      </c>
      <c r="E209" s="75" t="n">
        <f aca="false">E136</f>
        <v>3.36478787662382</v>
      </c>
      <c r="F209" s="75" t="n">
        <f aca="false">F136</f>
        <v>5.24097253625799</v>
      </c>
      <c r="G209" s="75" t="n">
        <f aca="false">G136</f>
        <v>6.092819324497</v>
      </c>
      <c r="H209" s="75" t="n">
        <f aca="false">H136</f>
        <v>7.27017647230937</v>
      </c>
      <c r="I209" s="75" t="n">
        <f aca="false">I136</f>
        <v>9.15527746013569</v>
      </c>
      <c r="J209" s="75" t="n">
        <f aca="false">J136</f>
        <v>10.7835622035757</v>
      </c>
      <c r="K209" s="75" t="n">
        <f aca="false">K136</f>
        <v>12.1692346371671</v>
      </c>
      <c r="L209" s="75" t="n">
        <f aca="false">L136</f>
        <v>14.2049609252377</v>
      </c>
      <c r="M209" s="75" t="n">
        <f aca="false">M136</f>
        <v>16.8237300812975</v>
      </c>
      <c r="N209" s="75" t="n">
        <f aca="false">N136</f>
        <v>19.7404341745995</v>
      </c>
      <c r="O209" s="75" t="n">
        <f aca="false">O136</f>
        <v>22.3860968438218</v>
      </c>
      <c r="P209" s="75" t="n">
        <f aca="false">P136</f>
        <v>24.7476190554898</v>
      </c>
      <c r="Q209" s="75" t="n">
        <f aca="false">Q136</f>
        <v>26.1812820766513</v>
      </c>
      <c r="R209" s="75" t="n">
        <f aca="false">R136</f>
        <v>26.8742439345447</v>
      </c>
      <c r="S209" s="28" t="s">
        <v>53</v>
      </c>
      <c r="T209" s="13"/>
      <c r="V209" s="96"/>
      <c r="AA209" s="29" t="str">
        <f aca="false">CONCATENATE(A209," (0 - ",W213, " T$ / yr)")</f>
        <v> Consumo (0 - 30 T$ / ano)</v>
      </c>
      <c r="AB209" s="57" t="n">
        <f aca="false">B209/$W$213</f>
        <v>0.0594528843963189</v>
      </c>
      <c r="AC209" s="57" t="n">
        <f aca="false">C209/$W$213</f>
        <v>0.0762808951119415</v>
      </c>
      <c r="AD209" s="57" t="n">
        <f aca="false">D209/$W$213</f>
        <v>0.0938924802840689</v>
      </c>
      <c r="AE209" s="57" t="n">
        <f aca="false">E209/$W$213</f>
        <v>0.112159595887461</v>
      </c>
      <c r="AF209" s="57" t="n">
        <f aca="false">F209/$W$213</f>
        <v>0.174699084541933</v>
      </c>
      <c r="AG209" s="57" t="n">
        <f aca="false">G209/$W$213</f>
        <v>0.203093977483233</v>
      </c>
      <c r="AH209" s="57" t="n">
        <f aca="false">H209/$W$213</f>
        <v>0.242339215743646</v>
      </c>
      <c r="AI209" s="57" t="n">
        <f aca="false">I209/$W$213</f>
        <v>0.305175915337856</v>
      </c>
      <c r="AJ209" s="57" t="n">
        <f aca="false">J209/$W$213</f>
        <v>0.359452073452522</v>
      </c>
      <c r="AK209" s="57" t="n">
        <f aca="false">K209/$W$213</f>
        <v>0.405641154572236</v>
      </c>
      <c r="AL209" s="57" t="n">
        <f aca="false">L209/$W$213</f>
        <v>0.473498697507923</v>
      </c>
      <c r="AM209" s="57" t="n">
        <f aca="false">M209/$W$213</f>
        <v>0.560791002709918</v>
      </c>
      <c r="AN209" s="57" t="n">
        <f aca="false">N209/$W$213</f>
        <v>0.658014472486651</v>
      </c>
      <c r="AO209" s="57" t="n">
        <f aca="false">O209/$W$213</f>
        <v>0.746203228127395</v>
      </c>
      <c r="AP209" s="57" t="n">
        <f aca="false">P209/$W$213</f>
        <v>0.824920635182994</v>
      </c>
      <c r="AQ209" s="57" t="n">
        <f aca="false">Q209/$W$213</f>
        <v>0.872709402555044</v>
      </c>
      <c r="AR209" s="57" t="n">
        <f aca="false">R209/$W$213</f>
        <v>0.895808131151491</v>
      </c>
      <c r="AS209" s="29"/>
    </row>
    <row r="210" customFormat="false" ht="11.25" hidden="false" customHeight="false" outlineLevel="0" collapsed="false">
      <c r="A210" s="11" t="s">
        <v>79</v>
      </c>
      <c r="B210" s="27" t="n">
        <f aca="false">B209/B208*1000000</f>
        <v>1477.94911802349</v>
      </c>
      <c r="C210" s="27" t="n">
        <f aca="false">C209/C208*1000000</f>
        <v>1702.22173320776</v>
      </c>
      <c r="D210" s="27" t="n">
        <f aca="false">D209/D208*1000000</f>
        <v>1882.49391017215</v>
      </c>
      <c r="E210" s="27" t="n">
        <f aca="false">E209/E208*1000000</f>
        <v>2024.56128441792</v>
      </c>
      <c r="F210" s="27" t="n">
        <f aca="false">F209/F208*1000000</f>
        <v>2863.2752881753</v>
      </c>
      <c r="G210" s="27" t="n">
        <f aca="false">G209/G208*1000000</f>
        <v>3066.50752805531</v>
      </c>
      <c r="H210" s="27" t="n">
        <f aca="false">H209/H208*1000000</f>
        <v>3406.3585858925</v>
      </c>
      <c r="I210" s="27" t="n">
        <f aca="false">I209/I208*1000000</f>
        <v>4023.41729296049</v>
      </c>
      <c r="J210" s="27" t="n">
        <f aca="false">J209/J208*1000000</f>
        <v>4470.92475151858</v>
      </c>
      <c r="K210" s="27" t="n">
        <f aca="false">K209/K208*1000000</f>
        <v>4825.32245377568</v>
      </c>
      <c r="L210" s="27" t="n">
        <f aca="false">L209/L208*1000000</f>
        <v>5443.90371512319</v>
      </c>
      <c r="M210" s="27" t="n">
        <f aca="false">M209/M208*1000000</f>
        <v>6281.03395852839</v>
      </c>
      <c r="N210" s="27" t="n">
        <f aca="false">N209/N208*1000000</f>
        <v>7244.73653722522</v>
      </c>
      <c r="O210" s="27" t="n">
        <f aca="false">O209/O208*1000000</f>
        <v>8136.08049505869</v>
      </c>
      <c r="P210" s="27" t="n">
        <f aca="false">P209/P208*1000000</f>
        <v>8980.31595186297</v>
      </c>
      <c r="Q210" s="27" t="n">
        <f aca="false">Q209/Q208*1000000</f>
        <v>9569.44429954778</v>
      </c>
      <c r="R210" s="27" t="n">
        <f aca="false">R209/R208*1000000</f>
        <v>9971.13718341279</v>
      </c>
      <c r="S210" s="28" t="s">
        <v>80</v>
      </c>
      <c r="T210" s="13"/>
      <c r="V210" s="96"/>
      <c r="X210" s="15" t="s">
        <v>33</v>
      </c>
      <c r="AA210" s="29" t="str">
        <f aca="false">CONCATENATE(A210," (0 - ",W214, " $ / yr)")</f>
        <v> Consumo por pessoa (0 - 12000 $ / ano)</v>
      </c>
      <c r="AB210" s="57" t="n">
        <f aca="false">B210/$W$214</f>
        <v>0.123162426501958</v>
      </c>
      <c r="AC210" s="57" t="n">
        <f aca="false">C210/$W$214</f>
        <v>0.141851811100647</v>
      </c>
      <c r="AD210" s="57" t="n">
        <f aca="false">D210/$W$214</f>
        <v>0.156874492514346</v>
      </c>
      <c r="AE210" s="57" t="n">
        <f aca="false">E210/$W$214</f>
        <v>0.16871344036816</v>
      </c>
      <c r="AF210" s="57" t="n">
        <f aca="false">F210/$W$214</f>
        <v>0.238606274014608</v>
      </c>
      <c r="AG210" s="57" t="n">
        <f aca="false">G210/$W$214</f>
        <v>0.25554229400461</v>
      </c>
      <c r="AH210" s="57" t="n">
        <f aca="false">H210/$W$214</f>
        <v>0.283863215491042</v>
      </c>
      <c r="AI210" s="57" t="n">
        <f aca="false">I210/$W$214</f>
        <v>0.335284774413375</v>
      </c>
      <c r="AJ210" s="57" t="n">
        <f aca="false">J210/$W$214</f>
        <v>0.372577062626548</v>
      </c>
      <c r="AK210" s="57" t="n">
        <f aca="false">K210/$W$214</f>
        <v>0.402110204481307</v>
      </c>
      <c r="AL210" s="57" t="n">
        <f aca="false">L210/$W$214</f>
        <v>0.453658642926932</v>
      </c>
      <c r="AM210" s="57" t="n">
        <f aca="false">M210/$W$214</f>
        <v>0.523419496544032</v>
      </c>
      <c r="AN210" s="57" t="n">
        <f aca="false">N210/$W$214</f>
        <v>0.603728044768768</v>
      </c>
      <c r="AO210" s="57" t="n">
        <f aca="false">O210/$W$214</f>
        <v>0.678006707921558</v>
      </c>
      <c r="AP210" s="57" t="n">
        <f aca="false">P210/$W$214</f>
        <v>0.748359662655248</v>
      </c>
      <c r="AQ210" s="57" t="n">
        <f aca="false">Q210/$W$214</f>
        <v>0.797453691628982</v>
      </c>
      <c r="AR210" s="57" t="n">
        <f aca="false">R210/$W$214</f>
        <v>0.830928098617732</v>
      </c>
      <c r="AS210" s="29"/>
    </row>
    <row r="211" customFormat="false" ht="11.25" hidden="false" customHeight="false" outlineLevel="0" collapsed="false">
      <c r="A211" s="97"/>
      <c r="T211" s="13"/>
      <c r="V211" s="3" t="s">
        <v>35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98" t="n">
        <f aca="false">K17</f>
        <v>2521.95262674</v>
      </c>
      <c r="AL211" s="98" t="n">
        <f aca="false">L17</f>
        <v>2607.58598885197</v>
      </c>
      <c r="AM211" s="98" t="n">
        <f aca="false">M17</f>
        <v>2675.32063313102</v>
      </c>
      <c r="AN211" s="98" t="n">
        <f aca="false">N17</f>
        <v>2720.64061144856</v>
      </c>
      <c r="AO211" s="98" t="n">
        <f aca="false">O17</f>
        <v>2746.73041015225</v>
      </c>
      <c r="AP211" s="98" t="n">
        <f aca="false">P17</f>
        <v>2750.9401188363</v>
      </c>
      <c r="AQ211" s="98" t="n">
        <f aca="false">Q17</f>
        <v>2731.53328643368</v>
      </c>
      <c r="AR211" s="98" t="n">
        <f aca="false">R17</f>
        <v>2691.69026678653</v>
      </c>
      <c r="AS211" s="29"/>
    </row>
    <row r="212" customFormat="false" ht="28.3" hidden="false" customHeight="false" outlineLevel="0" collapsed="false">
      <c r="T212" s="13"/>
      <c r="U212" s="53" t="s">
        <v>37</v>
      </c>
      <c r="V212" s="54" t="s">
        <v>38</v>
      </c>
      <c r="W212" s="54" t="s">
        <v>39</v>
      </c>
      <c r="X212" s="55"/>
      <c r="Y212" s="55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48" t="n">
        <f aca="false">K147</f>
        <v>12.1692346371671</v>
      </c>
      <c r="AL212" s="48" t="n">
        <f aca="false">L147</f>
        <v>13.8459453135932</v>
      </c>
      <c r="AM212" s="48" t="n">
        <f aca="false">M147</f>
        <v>16.2949630840735</v>
      </c>
      <c r="AN212" s="48" t="n">
        <f aca="false">N147</f>
        <v>18.9889193133035</v>
      </c>
      <c r="AO212" s="48" t="n">
        <f aca="false">O147</f>
        <v>21.4025977334617</v>
      </c>
      <c r="AP212" s="48" t="n">
        <f aca="false">P147</f>
        <v>23.5255787096515</v>
      </c>
      <c r="AQ212" s="48" t="n">
        <f aca="false">Q147</f>
        <v>24.7758701583548</v>
      </c>
      <c r="AR212" s="48" t="n">
        <f aca="false">R147</f>
        <v>25.332519519728</v>
      </c>
      <c r="AS212" s="29"/>
    </row>
    <row r="213" customFormat="false" ht="11.25" hidden="false" customHeight="false" outlineLevel="0" collapsed="false">
      <c r="T213" s="13"/>
      <c r="U213" s="99" t="str">
        <f aca="false">AA209</f>
        <v>Consumo (0 - 30 T$ / ano)</v>
      </c>
      <c r="V213" s="25" t="n">
        <v>30</v>
      </c>
      <c r="W213" s="70" t="n">
        <f aca="false">W215</f>
        <v>30</v>
      </c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47" t="n">
        <f aca="false">AK212/AK211*1000000</f>
        <v>4825.32245377568</v>
      </c>
      <c r="AL213" s="47" t="n">
        <f aca="false">AL212/AL211*1000000</f>
        <v>5309.87103504461</v>
      </c>
      <c r="AM213" s="47" t="n">
        <f aca="false">AM212/AM211*1000000</f>
        <v>6090.84491865298</v>
      </c>
      <c r="AN213" s="47" t="n">
        <f aca="false">AN212/AN211*1000000</f>
        <v>6979.57651348633</v>
      </c>
      <c r="AO213" s="47" t="n">
        <f aca="false">AO212/AO211*1000000</f>
        <v>7792.02707857861</v>
      </c>
      <c r="AP213" s="47" t="n">
        <f aca="false">AP212/AP211*1000000</f>
        <v>8551.83235308052</v>
      </c>
      <c r="AQ213" s="47" t="n">
        <f aca="false">AQ212/AQ211*1000000</f>
        <v>9070.31603144127</v>
      </c>
      <c r="AR213" s="47" t="n">
        <f aca="false">AR212/AR211*1000000</f>
        <v>9411.37984273769</v>
      </c>
      <c r="AS213" s="29"/>
    </row>
    <row r="214" customFormat="false" ht="11.25" hidden="false" customHeight="false" outlineLevel="0" collapsed="false">
      <c r="T214" s="13"/>
      <c r="U214" s="99" t="str">
        <f aca="false">AA210</f>
        <v> Consumo por pessoa (0 - 12000 $ / ano)</v>
      </c>
      <c r="V214" s="25" t="n">
        <v>12000</v>
      </c>
      <c r="W214" s="70" t="n">
        <f aca="false">W216</f>
        <v>12000</v>
      </c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customFormat="false" ht="11.25" hidden="false" customHeight="false" outlineLevel="0" collapsed="false">
      <c r="T215" s="13"/>
      <c r="U215" s="100" t="str">
        <f aca="false">CONCATENATE("Consumption from Your forecast (0 - ",W215, " T$ / yr)")</f>
        <v> Consumo previsto (0 - 30 T$/ano)</v>
      </c>
      <c r="W215" s="4" t="n">
        <v>30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57" t="n">
        <f aca="false">AK212/$W$215</f>
        <v>0.405641154572236</v>
      </c>
      <c r="AL215" s="57" t="n">
        <f aca="false">AL212/$W$215</f>
        <v>0.461531510453108</v>
      </c>
      <c r="AM215" s="57" t="n">
        <f aca="false">AM212/$W$215</f>
        <v>0.543165436135785</v>
      </c>
      <c r="AN215" s="57" t="n">
        <f aca="false">AN212/$W$215</f>
        <v>0.632963977110116</v>
      </c>
      <c r="AO215" s="57" t="n">
        <f aca="false">AO212/$W$215</f>
        <v>0.713419924448723</v>
      </c>
      <c r="AP215" s="57" t="n">
        <f aca="false">AP212/$W$215</f>
        <v>0.784185956988382</v>
      </c>
      <c r="AQ215" s="57" t="n">
        <f aca="false">AQ212/$W$215</f>
        <v>0.825862338611828</v>
      </c>
      <c r="AR215" s="57" t="n">
        <f aca="false">AR212/$W$215</f>
        <v>0.844417317324267</v>
      </c>
      <c r="AS215" s="29"/>
    </row>
    <row r="216" customFormat="false" ht="11.25" hidden="false" customHeight="false" outlineLevel="0" collapsed="false">
      <c r="T216" s="13"/>
      <c r="U216" s="37" t="str">
        <f aca="false">CONCATENATE("Consumption per person from Your forecast (0 - ",W216, " $ / yr)")</f>
        <v> Consumo por pessoa de acordo com sua previsão (0 - 12.000 $/ano)</v>
      </c>
      <c r="W216" s="4" t="n">
        <v>12000</v>
      </c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57" t="n">
        <f aca="false">AK213/$W$216</f>
        <v>0.402110204481307</v>
      </c>
      <c r="AL216" s="57" t="n">
        <f aca="false">AL213/$W$216</f>
        <v>0.442489252920384</v>
      </c>
      <c r="AM216" s="57" t="n">
        <f aca="false">AM213/$W$216</f>
        <v>0.507570409887749</v>
      </c>
      <c r="AN216" s="57" t="n">
        <f aca="false">AN213/$W$216</f>
        <v>0.581631376123861</v>
      </c>
      <c r="AO216" s="57" t="n">
        <f aca="false">AO213/$W$216</f>
        <v>0.649335589881551</v>
      </c>
      <c r="AP216" s="57" t="n">
        <f aca="false">AP213/$W$216</f>
        <v>0.712652696090043</v>
      </c>
      <c r="AQ216" s="57" t="n">
        <f aca="false">AQ213/$W$216</f>
        <v>0.755859669286773</v>
      </c>
      <c r="AR216" s="57" t="n">
        <f aca="false">AR213/$W$216</f>
        <v>0.784281653561474</v>
      </c>
      <c r="AS216" s="29"/>
    </row>
    <row r="217" customFormat="false" ht="11.25" hidden="false" customHeight="false" outlineLevel="0" collapsed="false">
      <c r="T217" s="13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S217" s="29"/>
    </row>
    <row r="218" customFormat="false" ht="11.25" hidden="false" customHeight="false" outlineLevel="0" collapsed="false">
      <c r="T218" s="13"/>
    </row>
    <row r="219" customFormat="fals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s="3" customFormat="true" ht="11.25" hidden="false" customHeight="false" outlineLevel="0" collapsed="false">
      <c r="T225" s="13"/>
    </row>
    <row r="226" s="35" customFormat="true" ht="13.8" hidden="false" customHeight="false" outlineLevel="0" collapsed="false">
      <c r="T226" s="13"/>
      <c r="V226" s="3"/>
      <c r="W226" s="3"/>
      <c r="X226" s="3"/>
      <c r="Y226" s="3"/>
    </row>
    <row r="227" s="35" customFormat="true" ht="13.8" hidden="false" customHeight="false" outlineLevel="0" collapsed="false">
      <c r="T227" s="13"/>
      <c r="V227" s="3"/>
      <c r="W227" s="3"/>
      <c r="X227" s="3"/>
      <c r="Y227" s="3"/>
    </row>
    <row r="228" s="3" customFormat="true" ht="11.25" hidden="false" customHeight="false" outlineLevel="0" collapsed="false">
      <c r="T228" s="13"/>
    </row>
    <row r="229" s="3" customFormat="true" ht="11.25" hidden="false" customHeight="false" outlineLevel="0" collapsed="false">
      <c r="T229" s="13"/>
    </row>
    <row r="230" customFormat="false" ht="11.25" hidden="false" customHeight="false" outlineLevel="0" collapsed="false">
      <c r="T230" s="13"/>
    </row>
    <row r="231" customFormat="false" ht="11.25" hidden="false" customHeight="false" outlineLevel="0" collapsed="false">
      <c r="T231" s="13"/>
    </row>
    <row r="232" customFormat="false" ht="11.25" hidden="false" customHeight="false" outlineLevel="0" collapsed="false">
      <c r="T232" s="13"/>
    </row>
    <row r="233" customFormat="false" ht="11.25" hidden="false" customHeight="false" outlineLevel="0" collapsed="false">
      <c r="T233" s="13"/>
    </row>
    <row r="234" customFormat="false" ht="11.25" hidden="false" customHeight="false" outlineLevel="0" collapsed="false">
      <c r="T234" s="13"/>
    </row>
    <row r="235" customFormat="false" ht="11.25" hidden="false" customHeight="false" outlineLevel="0" collapsed="false">
      <c r="T235" s="13"/>
    </row>
    <row r="236" customFormat="false" ht="11.25" hidden="false" customHeight="false" outlineLevel="0" collapsed="false">
      <c r="T236" s="13"/>
    </row>
    <row r="237" customFormat="false" ht="11.25" hidden="false" customHeight="false" outlineLevel="0" collapsed="false">
      <c r="T237" s="13"/>
    </row>
    <row r="238" customFormat="false" ht="12.65" hidden="false" customHeight="false" outlineLevel="0" collapsed="false">
      <c r="A238" s="61" t="s">
        <v>81</v>
      </c>
      <c r="T238" s="13"/>
    </row>
    <row r="239" customFormat="false" ht="12.65" hidden="false" customHeight="false" outlineLevel="0" collapsed="false">
      <c r="A239" s="23" t="str">
        <f aca="false">CONCATENATE(A238,". Energy Use - ",A5," 1970 to 2050")</f>
        <v> Gráfico 6. Uso de energia - BRISE 1970 a 2050</v>
      </c>
      <c r="T239" s="13"/>
    </row>
    <row r="240" customFormat="false" ht="11.25" hidden="false" customHeight="false" outlineLevel="0" collapsed="false">
      <c r="B240" s="101" t="n">
        <v>1970</v>
      </c>
      <c r="C240" s="101" t="n">
        <v>1975</v>
      </c>
      <c r="D240" s="101" t="n">
        <v>1980</v>
      </c>
      <c r="E240" s="101" t="n">
        <v>1985</v>
      </c>
      <c r="F240" s="101" t="n">
        <v>1990</v>
      </c>
      <c r="G240" s="101" t="n">
        <v>1995</v>
      </c>
      <c r="H240" s="101" t="n">
        <v>2000</v>
      </c>
      <c r="I240" s="101" t="n">
        <v>2005</v>
      </c>
      <c r="J240" s="101" t="n">
        <v>2010</v>
      </c>
      <c r="K240" s="101" t="n">
        <v>2015</v>
      </c>
      <c r="L240" s="101" t="n">
        <v>2020</v>
      </c>
      <c r="M240" s="101" t="n">
        <v>2025</v>
      </c>
      <c r="N240" s="101" t="n">
        <v>2030</v>
      </c>
      <c r="O240" s="101" t="n">
        <v>2035</v>
      </c>
      <c r="P240" s="101" t="n">
        <v>2040</v>
      </c>
      <c r="Q240" s="101" t="n">
        <v>2045</v>
      </c>
      <c r="R240" s="101" t="n">
        <v>2050</v>
      </c>
      <c r="S240" s="25" t="s">
        <v>15</v>
      </c>
      <c r="T240" s="13"/>
    </row>
    <row r="241" customFormat="false" ht="11.25" hidden="false" customHeight="false" outlineLevel="0" collapsed="false">
      <c r="A241" s="11" t="str">
        <f aca="false">A134</f>
        <v> PIB BRISE</v>
      </c>
      <c r="B241" s="102" t="n">
        <f aca="false">B134</f>
        <v>2.26288153734802</v>
      </c>
      <c r="C241" s="102" t="n">
        <f aca="false">C134</f>
        <v>3.06826085885806</v>
      </c>
      <c r="D241" s="102" t="n">
        <f aca="false">D134</f>
        <v>3.75602211487522</v>
      </c>
      <c r="E241" s="102" t="n">
        <f aca="false">E134</f>
        <v>4.23539372476216</v>
      </c>
      <c r="F241" s="102" t="n">
        <f aca="false">F134</f>
        <v>7.25798347246539</v>
      </c>
      <c r="G241" s="102" t="n">
        <f aca="false">G134</f>
        <v>7.9310519704096</v>
      </c>
      <c r="H241" s="102" t="n">
        <f aca="false">H134</f>
        <v>9.15809822694889</v>
      </c>
      <c r="I241" s="102" t="n">
        <f aca="false">I134</f>
        <v>11.8988884038997</v>
      </c>
      <c r="J241" s="102" t="n">
        <f aca="false">J134</f>
        <v>14.214501432721</v>
      </c>
      <c r="K241" s="32" t="n">
        <f aca="false">K134</f>
        <v>16.0868001426396</v>
      </c>
      <c r="L241" s="32" t="n">
        <f aca="false">L134</f>
        <v>19.2419185669771</v>
      </c>
      <c r="M241" s="32" t="n">
        <f aca="false">M134</f>
        <v>23.223644546004</v>
      </c>
      <c r="N241" s="32" t="n">
        <f aca="false">N134</f>
        <v>27.7812481434226</v>
      </c>
      <c r="O241" s="32" t="n">
        <f aca="false">O134</f>
        <v>32.1327624197604</v>
      </c>
      <c r="P241" s="32" t="n">
        <f aca="false">P134</f>
        <v>36.246632932992</v>
      </c>
      <c r="Q241" s="32" t="n">
        <f aca="false">Q134</f>
        <v>39.5</v>
      </c>
      <c r="R241" s="32" t="n">
        <f aca="false">R134</f>
        <v>42</v>
      </c>
      <c r="S241" s="28" t="s">
        <v>53</v>
      </c>
      <c r="T241" s="13"/>
      <c r="U241" s="103" t="s">
        <v>82</v>
      </c>
    </row>
    <row r="242" customFormat="false" ht="11.25" hidden="false" customHeight="false" outlineLevel="0" collapsed="false">
      <c r="A242" s="11" t="s">
        <v>83</v>
      </c>
      <c r="B242" s="62" t="n">
        <v>407.524937105071</v>
      </c>
      <c r="C242" s="62" t="n">
        <v>541.388032782837</v>
      </c>
      <c r="D242" s="62" t="n">
        <v>640.723223378454</v>
      </c>
      <c r="E242" s="62" t="n">
        <v>661.195476345249</v>
      </c>
      <c r="F242" s="62" t="n">
        <v>737.736265322663</v>
      </c>
      <c r="G242" s="62" t="n">
        <v>691.061281105264</v>
      </c>
      <c r="H242" s="62" t="n">
        <v>763.124024651906</v>
      </c>
      <c r="I242" s="62" t="n">
        <v>842.929357159047</v>
      </c>
      <c r="J242" s="62" t="n">
        <v>970.955783308127</v>
      </c>
      <c r="K242" s="27" t="n">
        <f aca="false">K$250*K253/100</f>
        <v>987.010176299103</v>
      </c>
      <c r="L242" s="27" t="n">
        <f aca="false">L$250*L253/100</f>
        <v>1016.41709614675</v>
      </c>
      <c r="M242" s="27" t="n">
        <f aca="false">M$250*M253/100</f>
        <v>1105.12719415279</v>
      </c>
      <c r="N242" s="27" t="n">
        <f aca="false">N$250*N253/100</f>
        <v>1187.40234751956</v>
      </c>
      <c r="O242" s="27" t="n">
        <f aca="false">O$250*O253/100</f>
        <v>1204.3583044852</v>
      </c>
      <c r="P242" s="27" t="n">
        <f aca="false">P$250*P253/100</f>
        <v>1156.1818351332</v>
      </c>
      <c r="Q242" s="27" t="n">
        <f aca="false">Q$250*Q253/100</f>
        <v>1057.77747357588</v>
      </c>
      <c r="R242" s="27" t="n">
        <f aca="false">R$250*R253/100</f>
        <v>956.016602700229</v>
      </c>
      <c r="S242" s="28" t="s">
        <v>84</v>
      </c>
      <c r="T242" s="13"/>
      <c r="U242" s="103" t="s">
        <v>85</v>
      </c>
    </row>
    <row r="243" customFormat="false" ht="11.25" hidden="false" customHeight="false" outlineLevel="0" collapsed="false">
      <c r="A243" s="11" t="s">
        <v>86</v>
      </c>
      <c r="B243" s="62" t="n">
        <v>171.884190783069</v>
      </c>
      <c r="C243" s="62" t="n">
        <v>275.02648435189</v>
      </c>
      <c r="D243" s="62" t="n">
        <v>371.948172234813</v>
      </c>
      <c r="E243" s="62" t="n">
        <v>500.162428144173</v>
      </c>
      <c r="F243" s="62" t="n">
        <v>629.803744695334</v>
      </c>
      <c r="G243" s="62" t="n">
        <v>608.251610069182</v>
      </c>
      <c r="H243" s="62" t="n">
        <v>670.154069836943</v>
      </c>
      <c r="I243" s="62" t="n">
        <v>832.337877593084</v>
      </c>
      <c r="J243" s="62" t="n">
        <v>950.370906257273</v>
      </c>
      <c r="K243" s="27" t="n">
        <f aca="false">K$250*K254/100</f>
        <v>1048.6983123178</v>
      </c>
      <c r="L243" s="27" t="n">
        <f aca="false">L$250*L254/100</f>
        <v>1244.23472114516</v>
      </c>
      <c r="M243" s="27" t="n">
        <f aca="false">M$250*M254/100</f>
        <v>1406.52551983083</v>
      </c>
      <c r="N243" s="27" t="n">
        <f aca="false">N$250*N254/100</f>
        <v>1507.08759492868</v>
      </c>
      <c r="O243" s="27" t="n">
        <f aca="false">O$250*O254/100</f>
        <v>1555.62947662672</v>
      </c>
      <c r="P243" s="27" t="n">
        <f aca="false">P$250*P254/100</f>
        <v>1532.61313029285</v>
      </c>
      <c r="Q243" s="27" t="n">
        <f aca="false">Q$250*Q254/100</f>
        <v>1475.32121314531</v>
      </c>
      <c r="R243" s="27" t="n">
        <f aca="false">R$250*R254/100</f>
        <v>1293.43422718266</v>
      </c>
      <c r="S243" s="28" t="s">
        <v>84</v>
      </c>
      <c r="T243" s="13"/>
    </row>
    <row r="244" customFormat="false" ht="11.25" hidden="false" customHeight="false" outlineLevel="0" collapsed="false">
      <c r="A244" s="11" t="s">
        <v>87</v>
      </c>
      <c r="B244" s="62" t="n">
        <v>343.688944495592</v>
      </c>
      <c r="C244" s="62" t="n">
        <v>363.853638117955</v>
      </c>
      <c r="D244" s="62" t="n">
        <v>393.390473715295</v>
      </c>
      <c r="E244" s="62" t="n">
        <v>442.49494944</v>
      </c>
      <c r="F244" s="62" t="n">
        <v>463.9292943</v>
      </c>
      <c r="G244" s="62" t="n">
        <v>409.798198</v>
      </c>
      <c r="H244" s="62" t="n">
        <v>435.08640125</v>
      </c>
      <c r="I244" s="62" t="n">
        <v>493.762759022002</v>
      </c>
      <c r="J244" s="62" t="n">
        <v>621.849481492867</v>
      </c>
      <c r="K244" s="27" t="n">
        <f aca="false">K$250*K257/100</f>
        <v>632.303394191613</v>
      </c>
      <c r="L244" s="27" t="n">
        <f aca="false">L$250*L257/100</f>
        <v>736.026173071785</v>
      </c>
      <c r="M244" s="27" t="n">
        <f aca="false">M$250*M257/100</f>
        <v>823.822090186628</v>
      </c>
      <c r="N244" s="27" t="n">
        <f aca="false">N$250*N257/100</f>
        <v>981.890402756562</v>
      </c>
      <c r="O244" s="27" t="n">
        <f aca="false">O$250*O257/100</f>
        <v>1078.90431443466</v>
      </c>
      <c r="P244" s="27" t="n">
        <f aca="false">P$250*P257/100</f>
        <v>1209.95773444172</v>
      </c>
      <c r="Q244" s="27" t="n">
        <f aca="false">Q$250*Q257/100</f>
        <v>1224.79496940366</v>
      </c>
      <c r="R244" s="27" t="n">
        <f aca="false">R$250*R257/100</f>
        <v>1209.07982106205</v>
      </c>
      <c r="S244" s="28" t="s">
        <v>84</v>
      </c>
      <c r="T244" s="13"/>
    </row>
    <row r="245" customFormat="false" ht="11.25" hidden="false" customHeight="false" outlineLevel="0" collapsed="false">
      <c r="A245" s="11" t="s">
        <v>88</v>
      </c>
      <c r="B245" s="62" t="n">
        <v>1.24269967260902</v>
      </c>
      <c r="C245" s="62" t="n">
        <v>7.22421534928145</v>
      </c>
      <c r="D245" s="62" t="n">
        <v>14.5467348850819</v>
      </c>
      <c r="E245" s="62" t="n">
        <v>38.891</v>
      </c>
      <c r="F245" s="62" t="n">
        <v>50.292</v>
      </c>
      <c r="G245" s="62" t="n">
        <v>46.946</v>
      </c>
      <c r="H245" s="62" t="n">
        <v>58.331</v>
      </c>
      <c r="I245" s="62" t="n">
        <v>66.6696033047469</v>
      </c>
      <c r="J245" s="62" t="n">
        <v>73.1965515915471</v>
      </c>
      <c r="K245" s="27" t="n">
        <f aca="false">K$250*K256/100</f>
        <v>92.5322040280409</v>
      </c>
      <c r="L245" s="27" t="n">
        <f aca="false">L$250*L256/100</f>
        <v>87.6221634609268</v>
      </c>
      <c r="M245" s="27" t="n">
        <f aca="false">M$250*M256/100</f>
        <v>80.3728868474759</v>
      </c>
      <c r="N245" s="27" t="n">
        <f aca="false">N$250*N256/100</f>
        <v>68.5039815876671</v>
      </c>
      <c r="O245" s="27" t="n">
        <f aca="false">O$250*O256/100</f>
        <v>75.2723940303249</v>
      </c>
      <c r="P245" s="27" t="n">
        <f aca="false">P$250*P256/100</f>
        <v>80.6638489627814</v>
      </c>
      <c r="Q245" s="27" t="n">
        <f aca="false">Q$250*Q256/100</f>
        <v>83.5087479138856</v>
      </c>
      <c r="R245" s="27" t="n">
        <f aca="false">R$250*R256/100</f>
        <v>84.3544061206084</v>
      </c>
      <c r="S245" s="28" t="s">
        <v>84</v>
      </c>
      <c r="T245" s="13"/>
    </row>
    <row r="246" customFormat="false" ht="11.25" hidden="false" customHeight="false" outlineLevel="0" collapsed="false">
      <c r="A246" s="11" t="s">
        <v>89</v>
      </c>
      <c r="B246" s="62" t="n">
        <v>49.9165236723813</v>
      </c>
      <c r="C246" s="62" t="n">
        <v>65.0624456175946</v>
      </c>
      <c r="D246" s="62" t="n">
        <v>92.8343074122624</v>
      </c>
      <c r="E246" s="62" t="n">
        <v>112.319403900982</v>
      </c>
      <c r="F246" s="62" t="n">
        <v>130.336029008463</v>
      </c>
      <c r="G246" s="62" t="n">
        <v>156.627142191248</v>
      </c>
      <c r="H246" s="62" t="n">
        <v>169.650965483225</v>
      </c>
      <c r="I246" s="62" t="n">
        <v>191.847766145411</v>
      </c>
      <c r="J246" s="62" t="n">
        <v>214.958143222382</v>
      </c>
      <c r="S246" s="28" t="s">
        <v>84</v>
      </c>
      <c r="T246" s="13"/>
    </row>
    <row r="247" customFormat="false" ht="11.25" hidden="false" customHeight="false" outlineLevel="0" collapsed="false">
      <c r="A247" s="11" t="s">
        <v>90</v>
      </c>
      <c r="B247" s="47"/>
      <c r="C247" s="47"/>
      <c r="D247" s="47"/>
      <c r="E247" s="47"/>
      <c r="F247" s="62" t="n">
        <v>2.66235330705752</v>
      </c>
      <c r="G247" s="62" t="n">
        <v>3.60281254486256</v>
      </c>
      <c r="H247" s="62" t="n">
        <v>6.3451961135929</v>
      </c>
      <c r="I247" s="62" t="n">
        <v>10.571332195294</v>
      </c>
      <c r="J247" s="62" t="n">
        <v>19.4756552515663</v>
      </c>
      <c r="S247" s="28" t="s">
        <v>84</v>
      </c>
      <c r="T247" s="13"/>
    </row>
    <row r="248" customFormat="false" ht="11.25" hidden="false" customHeight="false" outlineLevel="0" collapsed="false">
      <c r="A248" s="11" t="s">
        <v>91</v>
      </c>
      <c r="B248" s="47"/>
      <c r="C248" s="47"/>
      <c r="D248" s="47"/>
      <c r="E248" s="47"/>
      <c r="F248" s="47"/>
      <c r="G248" s="47"/>
      <c r="H248" s="62" t="n">
        <v>5.29862835194682</v>
      </c>
      <c r="I248" s="62" t="n">
        <v>8.00885841410118</v>
      </c>
      <c r="J248" s="62" t="n">
        <v>18.0578176166995</v>
      </c>
      <c r="S248" s="28" t="s">
        <v>84</v>
      </c>
      <c r="T248" s="13"/>
    </row>
    <row r="249" customFormat="false" ht="11.25" hidden="false" customHeight="false" outlineLevel="0" collapsed="false">
      <c r="A249" s="11" t="s">
        <v>92</v>
      </c>
      <c r="B249" s="27" t="n">
        <f aca="false">B246+B247+B248</f>
        <v>49.9165236723813</v>
      </c>
      <c r="C249" s="27" t="n">
        <f aca="false">C246+C247+C248</f>
        <v>65.0624456175946</v>
      </c>
      <c r="D249" s="27" t="n">
        <f aca="false">D246+D247+D248</f>
        <v>92.8343074122624</v>
      </c>
      <c r="E249" s="27" t="n">
        <f aca="false">E246+E247+E248</f>
        <v>112.319403900982</v>
      </c>
      <c r="F249" s="27" t="n">
        <f aca="false">F246+F247+F248</f>
        <v>132.99838231552</v>
      </c>
      <c r="G249" s="27" t="n">
        <f aca="false">G246+G247+G248</f>
        <v>160.22995473611</v>
      </c>
      <c r="H249" s="27" t="n">
        <f aca="false">H246+H247+H248</f>
        <v>181.294789948765</v>
      </c>
      <c r="I249" s="27" t="n">
        <f aca="false">I246+I247+I248</f>
        <v>210.427956754806</v>
      </c>
      <c r="J249" s="27" t="n">
        <f aca="false">J246+J247+J248</f>
        <v>252.491616090648</v>
      </c>
      <c r="K249" s="27" t="n">
        <f aca="false">K$250*K255/100</f>
        <v>323.862714098143</v>
      </c>
      <c r="L249" s="27" t="n">
        <f aca="false">L$250*L255/100</f>
        <v>420.586384612448</v>
      </c>
      <c r="M249" s="27" t="n">
        <f aca="false">M$250*M255/100</f>
        <v>602.796651356069</v>
      </c>
      <c r="N249" s="27" t="n">
        <f aca="false">N$250*N255/100</f>
        <v>822.047779052005</v>
      </c>
      <c r="O249" s="27" t="n">
        <f aca="false">O$250*O255/100</f>
        <v>1103.99511244477</v>
      </c>
      <c r="P249" s="27" t="n">
        <f aca="false">P$250*P255/100</f>
        <v>1398.17338202154</v>
      </c>
      <c r="Q249" s="27" t="n">
        <f aca="false">Q$250*Q255/100</f>
        <v>1725.84745688697</v>
      </c>
      <c r="R249" s="27" t="n">
        <f aca="false">R$250*R255/100</f>
        <v>2080.74201764167</v>
      </c>
      <c r="S249" s="28" t="s">
        <v>84</v>
      </c>
      <c r="T249" s="13"/>
    </row>
    <row r="250" customFormat="false" ht="11.25" hidden="false" customHeight="false" outlineLevel="0" collapsed="false">
      <c r="A250" s="11" t="s">
        <v>93</v>
      </c>
      <c r="B250" s="27" t="n">
        <f aca="false">SUM(B242:B245)+B249</f>
        <v>974.257295728722</v>
      </c>
      <c r="C250" s="27" t="n">
        <f aca="false">SUM(C242:C245)+C249</f>
        <v>1252.55481621956</v>
      </c>
      <c r="D250" s="27" t="n">
        <f aca="false">SUM(D242:D245)+D249</f>
        <v>1513.44291162591</v>
      </c>
      <c r="E250" s="27" t="n">
        <f aca="false">SUM(E242:E245)+E249</f>
        <v>1755.0632578304</v>
      </c>
      <c r="F250" s="27" t="n">
        <f aca="false">SUM(F242:F245)+F249</f>
        <v>2014.75968663352</v>
      </c>
      <c r="G250" s="27" t="n">
        <f aca="false">SUM(G242:G245)+G249</f>
        <v>1916.28704391056</v>
      </c>
      <c r="H250" s="27" t="n">
        <f aca="false">SUM(H242:H245)+H249</f>
        <v>2107.99028568761</v>
      </c>
      <c r="I250" s="27" t="n">
        <f aca="false">SUM(I242:I245)+I249</f>
        <v>2446.12755383369</v>
      </c>
      <c r="J250" s="27" t="n">
        <f aca="false">SUM(J242:J245)+J249</f>
        <v>2868.86433874046</v>
      </c>
      <c r="K250" s="27" t="n">
        <f aca="false">K241*K251</f>
        <v>3084.4068009347</v>
      </c>
      <c r="L250" s="27" t="n">
        <f aca="false">L241*L251</f>
        <v>3504.88653843707</v>
      </c>
      <c r="M250" s="27" t="n">
        <f aca="false">M241*M251</f>
        <v>4018.6443423738</v>
      </c>
      <c r="N250" s="27" t="n">
        <f aca="false">N241*N251</f>
        <v>4566.93210584447</v>
      </c>
      <c r="O250" s="27" t="n">
        <f aca="false">O241*O251</f>
        <v>5018.15960202166</v>
      </c>
      <c r="P250" s="27" t="n">
        <f aca="false">P241*P251</f>
        <v>5377.58993085209</v>
      </c>
      <c r="Q250" s="27" t="n">
        <f aca="false">Q241*Q251</f>
        <v>5567.2498609257</v>
      </c>
      <c r="R250" s="27" t="n">
        <f aca="false">R241*R251</f>
        <v>5623.62707470723</v>
      </c>
      <c r="S250" s="28" t="s">
        <v>84</v>
      </c>
      <c r="T250" s="13"/>
    </row>
    <row r="251" customFormat="false" ht="11.25" hidden="false" customHeight="false" outlineLevel="0" collapsed="false">
      <c r="A251" s="46" t="s">
        <v>94</v>
      </c>
      <c r="B251" s="27" t="n">
        <f aca="false">B250/B241</f>
        <v>430.538355476841</v>
      </c>
      <c r="C251" s="27" t="n">
        <f aca="false">C250/C241</f>
        <v>408.229571681768</v>
      </c>
      <c r="D251" s="27" t="n">
        <f aca="false">D250/D241</f>
        <v>402.937699869263</v>
      </c>
      <c r="E251" s="27" t="n">
        <f aca="false">E250/E241</f>
        <v>414.380190339674</v>
      </c>
      <c r="F251" s="27" t="n">
        <f aca="false">F250/F241</f>
        <v>277.592211979665</v>
      </c>
      <c r="G251" s="27" t="n">
        <f aca="false">G250/G241</f>
        <v>241.618268428972</v>
      </c>
      <c r="H251" s="27" t="n">
        <f aca="false">H250/H241</f>
        <v>230.177732696138</v>
      </c>
      <c r="I251" s="27" t="n">
        <f aca="false">I250/I241</f>
        <v>205.576140459642</v>
      </c>
      <c r="J251" s="27" t="n">
        <f aca="false">J250/J241</f>
        <v>201.826589016798</v>
      </c>
      <c r="K251" s="27" t="n">
        <f aca="false">J251*(1+K252/100*5)</f>
        <v>191.735259565958</v>
      </c>
      <c r="L251" s="27" t="n">
        <f aca="false">K251*(1+L252/100*5)</f>
        <v>182.14849658766</v>
      </c>
      <c r="M251" s="27" t="n">
        <f aca="false">L251*(1+M252/100*5)</f>
        <v>173.041071758277</v>
      </c>
      <c r="N251" s="27" t="n">
        <f aca="false">M251*(1+N252/100*5)</f>
        <v>164.389018170363</v>
      </c>
      <c r="O251" s="27" t="n">
        <f aca="false">N251*(1+O252/100*5)</f>
        <v>156.169567261845</v>
      </c>
      <c r="P251" s="27" t="n">
        <f aca="false">O251*(1+P252/100*5)</f>
        <v>148.361088898753</v>
      </c>
      <c r="Q251" s="27" t="n">
        <f aca="false">P251*(1+Q252/100*5)</f>
        <v>140.943034453815</v>
      </c>
      <c r="R251" s="27" t="n">
        <f aca="false">Q251*(1+R252/100*5)</f>
        <v>133.895882731125</v>
      </c>
      <c r="S251" s="28" t="s">
        <v>95</v>
      </c>
      <c r="T251" s="13"/>
    </row>
    <row r="252" customFormat="false" ht="11.25" hidden="false" customHeight="false" outlineLevel="0" collapsed="false">
      <c r="A252" s="46" t="s">
        <v>96</v>
      </c>
      <c r="B252" s="27"/>
      <c r="C252" s="75" t="n">
        <f aca="false">(C251-B251)/B251*100/5</f>
        <v>-1.03632038870799</v>
      </c>
      <c r="D252" s="75" t="n">
        <f aca="false">(D251-C251)/C251*100/5</f>
        <v>-0.259259601929577</v>
      </c>
      <c r="E252" s="75" t="n">
        <f aca="false">(E251-D251)/D251*100/5</f>
        <v>0.567953332444358</v>
      </c>
      <c r="F252" s="75" t="n">
        <f aca="false">(F251-E251)/E251*100/5</f>
        <v>-6.6020520067758</v>
      </c>
      <c r="G252" s="75" t="n">
        <f aca="false">(G251-F251)/F251*100/5</f>
        <v>-2.59185539062082</v>
      </c>
      <c r="H252" s="75" t="n">
        <f aca="false">(H251-G251)/G251*100/5</f>
        <v>-0.946992610055715</v>
      </c>
      <c r="I252" s="75" t="n">
        <f aca="false">(I251-H251)/H251*100/5</f>
        <v>-2.13761704473579</v>
      </c>
      <c r="J252" s="75" t="n">
        <f aca="false">(J251-I251)/I251*100/5</f>
        <v>-0.364784690914115</v>
      </c>
      <c r="K252" s="78" t="n">
        <v>-1</v>
      </c>
      <c r="L252" s="78" t="n">
        <v>-1</v>
      </c>
      <c r="M252" s="78" t="n">
        <v>-1</v>
      </c>
      <c r="N252" s="78" t="n">
        <v>-1</v>
      </c>
      <c r="O252" s="78" t="n">
        <v>-1</v>
      </c>
      <c r="P252" s="78" t="n">
        <v>-1</v>
      </c>
      <c r="Q252" s="78" t="n">
        <v>-1</v>
      </c>
      <c r="R252" s="78" t="n">
        <v>-1</v>
      </c>
      <c r="S252" s="28" t="s">
        <v>25</v>
      </c>
      <c r="T252" s="13"/>
    </row>
    <row r="253" customFormat="false" ht="15" hidden="false" customHeight="false" outlineLevel="0" collapsed="false">
      <c r="A253" s="46" t="s">
        <v>97</v>
      </c>
      <c r="B253" s="65" t="n">
        <f aca="false">B242/B$250*100</f>
        <v>41.829292825593</v>
      </c>
      <c r="C253" s="65" t="n">
        <f aca="false">C242/C$250*100</f>
        <v>43.2227017749887</v>
      </c>
      <c r="D253" s="65" t="n">
        <f aca="false">D242/D$250*100</f>
        <v>42.335473538947</v>
      </c>
      <c r="E253" s="65" t="n">
        <f aca="false">E242/E$250*100</f>
        <v>37.6735979968388</v>
      </c>
      <c r="F253" s="65" t="n">
        <f aca="false">F242/F$250*100</f>
        <v>36.6165885796213</v>
      </c>
      <c r="G253" s="65" t="n">
        <f aca="false">G242/G$250*100</f>
        <v>36.0625138755319</v>
      </c>
      <c r="H253" s="65" t="n">
        <f aca="false">H242/H$250*100</f>
        <v>36.2014962703198</v>
      </c>
      <c r="I253" s="65" t="n">
        <f aca="false">I242/I$250*100</f>
        <v>34.4597466243315</v>
      </c>
      <c r="J253" s="65" t="n">
        <f aca="false">J242/J$250*100</f>
        <v>33.8446042985223</v>
      </c>
      <c r="K253" s="104" t="n">
        <v>32</v>
      </c>
      <c r="L253" s="104" t="n">
        <v>29</v>
      </c>
      <c r="M253" s="104" t="n">
        <v>27.5</v>
      </c>
      <c r="N253" s="104" t="n">
        <v>26</v>
      </c>
      <c r="O253" s="104" t="n">
        <v>24</v>
      </c>
      <c r="P253" s="104" t="n">
        <v>21.5</v>
      </c>
      <c r="Q253" s="104" t="n">
        <v>19</v>
      </c>
      <c r="R253" s="104" t="n">
        <v>17</v>
      </c>
      <c r="S253" s="28" t="s">
        <v>44</v>
      </c>
      <c r="T253" s="13"/>
      <c r="Y253" s="105"/>
      <c r="Z253" s="105"/>
    </row>
    <row r="254" customFormat="false" ht="11.25" hidden="false" customHeight="false" outlineLevel="0" collapsed="false">
      <c r="A254" s="46" t="s">
        <v>98</v>
      </c>
      <c r="B254" s="65" t="n">
        <f aca="false">B243/B$250*100</f>
        <v>17.6425869774477</v>
      </c>
      <c r="C254" s="65" t="n">
        <f aca="false">C243/C$250*100</f>
        <v>21.9572413750299</v>
      </c>
      <c r="D254" s="65" t="n">
        <f aca="false">D243/D$250*100</f>
        <v>24.5762935210569</v>
      </c>
      <c r="E254" s="65" t="n">
        <f aca="false">E243/E$250*100</f>
        <v>28.4982564538711</v>
      </c>
      <c r="F254" s="65" t="n">
        <f aca="false">F243/F$250*100</f>
        <v>31.2594970444182</v>
      </c>
      <c r="G254" s="65" t="n">
        <f aca="false">G243/G$250*100</f>
        <v>31.7411533935921</v>
      </c>
      <c r="H254" s="65" t="n">
        <f aca="false">H243/H$250*100</f>
        <v>31.7911365335511</v>
      </c>
      <c r="I254" s="65" t="n">
        <f aca="false">I243/I$250*100</f>
        <v>34.0267569566683</v>
      </c>
      <c r="J254" s="65" t="n">
        <f aca="false">J243/J$250*100</f>
        <v>33.1270772696949</v>
      </c>
      <c r="K254" s="104" t="n">
        <v>34</v>
      </c>
      <c r="L254" s="104" t="n">
        <v>35.5</v>
      </c>
      <c r="M254" s="104" t="n">
        <v>35</v>
      </c>
      <c r="N254" s="104" t="n">
        <v>33</v>
      </c>
      <c r="O254" s="104" t="n">
        <v>31</v>
      </c>
      <c r="P254" s="104" t="n">
        <v>28.5</v>
      </c>
      <c r="Q254" s="104" t="n">
        <v>26.5</v>
      </c>
      <c r="R254" s="104" t="n">
        <v>23</v>
      </c>
      <c r="S254" s="28" t="s">
        <v>44</v>
      </c>
      <c r="T254" s="13"/>
    </row>
    <row r="255" customFormat="false" ht="11.25" hidden="false" customHeight="false" outlineLevel="0" collapsed="false">
      <c r="A255" s="46" t="s">
        <v>99</v>
      </c>
      <c r="B255" s="65" t="n">
        <f aca="false">B249/B$250*100</f>
        <v>5.12354630457706</v>
      </c>
      <c r="C255" s="65" t="n">
        <f aca="false">C249/C$250*100</f>
        <v>5.19437910222285</v>
      </c>
      <c r="D255" s="65" t="n">
        <f aca="false">D249/D$250*100</f>
        <v>6.13398144714488</v>
      </c>
      <c r="E255" s="65" t="n">
        <f aca="false">E249/E$250*100</f>
        <v>6.39973535995679</v>
      </c>
      <c r="F255" s="65" t="n">
        <f aca="false">F249/F$250*100</f>
        <v>6.60120326994177</v>
      </c>
      <c r="G255" s="65" t="n">
        <f aca="false">G249/G$250*100</f>
        <v>8.3614798338943</v>
      </c>
      <c r="H255" s="65" t="n">
        <f aca="false">H249/H$250*100</f>
        <v>8.60036173694356</v>
      </c>
      <c r="I255" s="65" t="n">
        <f aca="false">I249/I$250*100</f>
        <v>8.60249321115791</v>
      </c>
      <c r="J255" s="65" t="n">
        <f aca="false">J249/J$250*100</f>
        <v>8.801099887543</v>
      </c>
      <c r="K255" s="104" t="n">
        <v>10.5</v>
      </c>
      <c r="L255" s="104" t="n">
        <v>12</v>
      </c>
      <c r="M255" s="104" t="n">
        <v>15</v>
      </c>
      <c r="N255" s="104" t="n">
        <v>18</v>
      </c>
      <c r="O255" s="104" t="n">
        <v>22</v>
      </c>
      <c r="P255" s="104" t="n">
        <v>26</v>
      </c>
      <c r="Q255" s="104" t="n">
        <v>31</v>
      </c>
      <c r="R255" s="104" t="n">
        <v>37</v>
      </c>
      <c r="S255" s="28" t="s">
        <v>44</v>
      </c>
      <c r="T255" s="13"/>
    </row>
    <row r="256" customFormat="false" ht="11.25" hidden="false" customHeight="false" outlineLevel="0" collapsed="false">
      <c r="A256" s="46" t="s">
        <v>100</v>
      </c>
      <c r="B256" s="65" t="n">
        <f aca="false">B245/B$250*100</f>
        <v>0.127553540328329</v>
      </c>
      <c r="C256" s="65" t="n">
        <f aca="false">C245/C$250*100</f>
        <v>0.576758418532569</v>
      </c>
      <c r="D256" s="65" t="n">
        <f aca="false">D245/D$250*100</f>
        <v>0.96116839117864</v>
      </c>
      <c r="E256" s="65" t="n">
        <f aca="false">E245/E$250*100</f>
        <v>2.21593152420482</v>
      </c>
      <c r="F256" s="65" t="n">
        <f aca="false">F245/F$250*100</f>
        <v>2.49617859309233</v>
      </c>
      <c r="G256" s="65" t="n">
        <f aca="false">G245/G$250*100</f>
        <v>2.4498417473093</v>
      </c>
      <c r="H256" s="65" t="n">
        <f aca="false">H245/H$250*100</f>
        <v>2.76713798901463</v>
      </c>
      <c r="I256" s="65" t="n">
        <f aca="false">I245/I$250*100</f>
        <v>2.72551622258043</v>
      </c>
      <c r="J256" s="65" t="n">
        <f aca="false">J245/J$250*100</f>
        <v>2.55141209025182</v>
      </c>
      <c r="K256" s="104" t="n">
        <v>3</v>
      </c>
      <c r="L256" s="104" t="n">
        <v>2.5</v>
      </c>
      <c r="M256" s="104" t="n">
        <v>2</v>
      </c>
      <c r="N256" s="104" t="n">
        <v>1.5</v>
      </c>
      <c r="O256" s="104" t="n">
        <v>1.5</v>
      </c>
      <c r="P256" s="104" t="n">
        <v>1.5</v>
      </c>
      <c r="Q256" s="104" t="n">
        <v>1.5</v>
      </c>
      <c r="R256" s="104" t="n">
        <v>1.5</v>
      </c>
      <c r="S256" s="28" t="s">
        <v>44</v>
      </c>
      <c r="T256" s="13"/>
    </row>
    <row r="257" customFormat="false" ht="11.25" hidden="false" customHeight="false" outlineLevel="0" collapsed="false">
      <c r="A257" s="46" t="s">
        <v>101</v>
      </c>
      <c r="B257" s="65" t="n">
        <f aca="false">B244/B$250*100</f>
        <v>35.277020352054</v>
      </c>
      <c r="C257" s="65" t="n">
        <f aca="false">C244/C$250*100</f>
        <v>29.0489193292261</v>
      </c>
      <c r="D257" s="65" t="n">
        <f aca="false">D244/D$250*100</f>
        <v>25.9930831016726</v>
      </c>
      <c r="E257" s="65" t="n">
        <f aca="false">E244/E$250*100</f>
        <v>25.2124786651285</v>
      </c>
      <c r="F257" s="65" t="n">
        <f aca="false">F244/F$250*100</f>
        <v>23.0265325129264</v>
      </c>
      <c r="G257" s="65" t="n">
        <f aca="false">G244/G$250*100</f>
        <v>21.3850111496724</v>
      </c>
      <c r="H257" s="65" t="n">
        <f aca="false">H244/H$250*100</f>
        <v>20.6398674701709</v>
      </c>
      <c r="I257" s="65" t="n">
        <f aca="false">I244/I$250*100</f>
        <v>20.1854869852618</v>
      </c>
      <c r="J257" s="65" t="n">
        <f aca="false">J244/J$250*100</f>
        <v>21.6758064539881</v>
      </c>
      <c r="K257" s="106" t="n">
        <f aca="false">100-SUM(K253:K256)</f>
        <v>20.5</v>
      </c>
      <c r="L257" s="106" t="n">
        <f aca="false">100-SUM(L253:L256)</f>
        <v>21</v>
      </c>
      <c r="M257" s="106" t="n">
        <f aca="false">100-SUM(M253:M256)</f>
        <v>20.5</v>
      </c>
      <c r="N257" s="106" t="n">
        <f aca="false">100-SUM(N253:N256)</f>
        <v>21.5</v>
      </c>
      <c r="O257" s="106" t="n">
        <f aca="false">100-SUM(O253:O256)</f>
        <v>21.5</v>
      </c>
      <c r="P257" s="106" t="n">
        <f aca="false">100-SUM(P253:P256)</f>
        <v>22.5</v>
      </c>
      <c r="Q257" s="106" t="n">
        <f aca="false">100-SUM(Q253:Q256)</f>
        <v>22</v>
      </c>
      <c r="R257" s="106" t="n">
        <f aca="false">100-SUM(R253:R256)</f>
        <v>21.5</v>
      </c>
      <c r="S257" s="28" t="s">
        <v>44</v>
      </c>
      <c r="T257" s="13"/>
    </row>
    <row r="258" customFormat="false" ht="11.25" hidden="false" customHeight="false" outlineLevel="0" collapsed="false"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T258" s="13"/>
    </row>
    <row r="259" customFormat="false" ht="12.65" hidden="false" customHeight="false" outlineLevel="0" collapsed="false">
      <c r="A259" s="23" t="s">
        <v>7</v>
      </c>
      <c r="B259" s="109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41"/>
      <c r="T259" s="13"/>
      <c r="U259" s="41"/>
      <c r="V259" s="41"/>
    </row>
    <row r="260" customFormat="false" ht="11.25" hidden="false" customHeight="false" outlineLevel="0" collapsed="false">
      <c r="A260" s="63"/>
      <c r="B260" s="101" t="n">
        <v>1970</v>
      </c>
      <c r="C260" s="101" t="n">
        <v>1975</v>
      </c>
      <c r="D260" s="101" t="n">
        <v>1980</v>
      </c>
      <c r="E260" s="101" t="n">
        <v>1985</v>
      </c>
      <c r="F260" s="101" t="n">
        <v>1990</v>
      </c>
      <c r="G260" s="101" t="n">
        <v>1995</v>
      </c>
      <c r="H260" s="101" t="n">
        <v>2000</v>
      </c>
      <c r="I260" s="101" t="n">
        <v>2005</v>
      </c>
      <c r="J260" s="101" t="n">
        <v>2010</v>
      </c>
      <c r="K260" s="101" t="n">
        <v>2015</v>
      </c>
      <c r="L260" s="101" t="n">
        <v>2020</v>
      </c>
      <c r="M260" s="101" t="n">
        <v>2025</v>
      </c>
      <c r="N260" s="101" t="n">
        <v>2030</v>
      </c>
      <c r="O260" s="101" t="n">
        <v>2035</v>
      </c>
      <c r="P260" s="101" t="n">
        <v>2040</v>
      </c>
      <c r="Q260" s="101" t="n">
        <v>2045</v>
      </c>
      <c r="R260" s="101" t="n">
        <v>2050</v>
      </c>
      <c r="S260" s="25" t="s">
        <v>15</v>
      </c>
      <c r="T260" s="13"/>
      <c r="U260" s="41"/>
      <c r="V260" s="41"/>
    </row>
    <row r="261" s="3" customFormat="true" ht="11.25" hidden="false" customHeight="false" outlineLevel="0" collapsed="false">
      <c r="B261" s="47"/>
      <c r="C261" s="47"/>
      <c r="D261" s="47"/>
      <c r="E261" s="47"/>
      <c r="F261" s="47"/>
      <c r="G261" s="47"/>
      <c r="H261" s="47"/>
      <c r="I261" s="47"/>
      <c r="K261" s="84" t="n">
        <f aca="false">K$266*K269/100</f>
        <v>987.010176299103</v>
      </c>
      <c r="L261" s="84" t="n">
        <f aca="false">L$266*L269/100</f>
        <v>971.383014048203</v>
      </c>
      <c r="M261" s="84" t="n">
        <f aca="false">M$266*M269/100</f>
        <v>1050.18014545463</v>
      </c>
      <c r="N261" s="84" t="n">
        <f aca="false">N$266*N269/100</f>
        <v>1121.34617175585</v>
      </c>
      <c r="O261" s="84" t="n">
        <f aca="false">O$266*O269/100</f>
        <v>1131.13070893888</v>
      </c>
      <c r="P261" s="84" t="n">
        <f aca="false">P$266*P269/100</f>
        <v>1080.35178441303</v>
      </c>
      <c r="Q261" s="84" t="n">
        <f aca="false">Q$266*Q269/100</f>
        <v>984.307028502878</v>
      </c>
      <c r="R261" s="84" t="n">
        <f aca="false">R$266*R269/100</f>
        <v>886.351771500608</v>
      </c>
      <c r="S261" s="28" t="s">
        <v>84</v>
      </c>
      <c r="T261" s="13"/>
      <c r="U261" s="111" t="str">
        <f aca="false">CONCATENATE(A242," Your forecast")</f>
        <v> Uso de petróleo: sua previsão</v>
      </c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84" t="n">
        <f aca="false">K$266*K270/100</f>
        <v>1048.6983123178</v>
      </c>
      <c r="L262" s="84" t="n">
        <f aca="false">L$266*L270/100</f>
        <v>1189.10679305901</v>
      </c>
      <c r="M262" s="84" t="n">
        <f aca="false">M$266*M270/100</f>
        <v>1336.5929123968</v>
      </c>
      <c r="N262" s="84" t="n">
        <f aca="false">N$266*N270/100</f>
        <v>1423.24706415166</v>
      </c>
      <c r="O262" s="84" t="n">
        <f aca="false">O$266*O270/100</f>
        <v>1461.04383237939</v>
      </c>
      <c r="P262" s="84" t="n">
        <f aca="false">P$266*P270/100</f>
        <v>1432.09422584983</v>
      </c>
      <c r="Q262" s="84" t="n">
        <f aca="false">Q$266*Q270/100</f>
        <v>1372.84927659612</v>
      </c>
      <c r="R262" s="84" t="n">
        <f aca="false">R$266*R270/100</f>
        <v>1199.18180850082</v>
      </c>
      <c r="S262" s="28" t="s">
        <v>84</v>
      </c>
      <c r="T262" s="13"/>
      <c r="U262" s="111" t="str">
        <f aca="false">CONCATENATE(A243," Your forecast")</f>
        <v> Consumo de gás: Sua previsão</v>
      </c>
      <c r="Z262" s="113"/>
      <c r="AA262" s="114" t="s">
        <v>36</v>
      </c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6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47"/>
      <c r="H263" s="47"/>
      <c r="I263" s="47"/>
      <c r="K263" s="84" t="n">
        <f aca="false">K$266*K273/100</f>
        <v>632.303394191613</v>
      </c>
      <c r="L263" s="84" t="n">
        <f aca="false">L$266*L273/100</f>
        <v>771.774400324012</v>
      </c>
      <c r="M263" s="84" t="n">
        <f aca="false">M$266*M273/100</f>
        <v>860.797009762254</v>
      </c>
      <c r="N263" s="84" t="n">
        <f aca="false">N$266*N273/100</f>
        <v>1015.28477952934</v>
      </c>
      <c r="O263" s="84" t="n">
        <f aca="false">O$266*O273/100</f>
        <v>1109.48917751786</v>
      </c>
      <c r="P263" s="84" t="n">
        <f aca="false">P$266*P273/100</f>
        <v>1233.14952136371</v>
      </c>
      <c r="Q263" s="84" t="n">
        <f aca="false">Q$266*Q273/100</f>
        <v>1245.44970953425</v>
      </c>
      <c r="R263" s="84" t="n">
        <f aca="false">R$266*R273/100</f>
        <v>1227.37907374064</v>
      </c>
      <c r="S263" s="28" t="s">
        <v>84</v>
      </c>
      <c r="T263" s="13"/>
      <c r="U263" s="111" t="str">
        <f aca="false">CONCATENATE(A244," Your forecast")</f>
        <v> Uso de carvão: Sua previsão</v>
      </c>
      <c r="Z263" s="113"/>
      <c r="AA263" s="117"/>
      <c r="AB263" s="118" t="n">
        <v>1970</v>
      </c>
      <c r="AC263" s="118" t="n">
        <v>1975</v>
      </c>
      <c r="AD263" s="118" t="n">
        <v>1980</v>
      </c>
      <c r="AE263" s="118" t="n">
        <v>1985</v>
      </c>
      <c r="AF263" s="118" t="n">
        <v>1990</v>
      </c>
      <c r="AG263" s="118" t="n">
        <v>1995</v>
      </c>
      <c r="AH263" s="118" t="n">
        <v>2000</v>
      </c>
      <c r="AI263" s="118" t="n">
        <v>2005</v>
      </c>
      <c r="AJ263" s="118" t="n">
        <v>2010</v>
      </c>
      <c r="AK263" s="118" t="n">
        <v>2015</v>
      </c>
      <c r="AL263" s="118" t="n">
        <v>2020</v>
      </c>
      <c r="AM263" s="118" t="n">
        <v>2025</v>
      </c>
      <c r="AN263" s="118" t="n">
        <v>2030</v>
      </c>
      <c r="AO263" s="118" t="n">
        <v>2035</v>
      </c>
      <c r="AP263" s="118" t="n">
        <v>2040</v>
      </c>
      <c r="AQ263" s="118" t="n">
        <v>2045</v>
      </c>
      <c r="AR263" s="119" t="n">
        <v>2050</v>
      </c>
      <c r="AS263" s="11"/>
    </row>
    <row r="264" s="3" customFormat="true" ht="11.25" hidden="false" customHeight="false" outlineLevel="0" collapsed="false">
      <c r="B264" s="47"/>
      <c r="C264" s="47"/>
      <c r="D264" s="47"/>
      <c r="E264" s="47"/>
      <c r="F264" s="47"/>
      <c r="G264" s="47"/>
      <c r="H264" s="47"/>
      <c r="I264" s="47"/>
      <c r="K264" s="84" t="n">
        <f aca="false">K$266*K272/100</f>
        <v>92.5322040280409</v>
      </c>
      <c r="L264" s="84" t="n">
        <f aca="false">L$266*L272/100</f>
        <v>83.7399150041555</v>
      </c>
      <c r="M264" s="84" t="n">
        <f aca="false">M$266*M272/100</f>
        <v>76.3767378512457</v>
      </c>
      <c r="N264" s="84" t="n">
        <f aca="false">N$266*N272/100</f>
        <v>64.6930483705298</v>
      </c>
      <c r="O264" s="84" t="n">
        <f aca="false">O$266*O272/100</f>
        <v>70.6956693086803</v>
      </c>
      <c r="P264" s="84" t="n">
        <f aca="false">P$266*P272/100</f>
        <v>75.3733803078858</v>
      </c>
      <c r="Q264" s="84" t="n">
        <f aca="false">Q$266*Q272/100</f>
        <v>77.7084496186483</v>
      </c>
      <c r="R264" s="84" t="n">
        <f aca="false">R$266*R272/100</f>
        <v>78.2075092500537</v>
      </c>
      <c r="S264" s="28" t="s">
        <v>84</v>
      </c>
      <c r="T264" s="13"/>
      <c r="U264" s="111" t="str">
        <f aca="false">CONCATENATE(A245," Your forecast")</f>
        <v> Uso de energia nuclear: Sua previsão</v>
      </c>
      <c r="Z264" s="113"/>
      <c r="AA264" s="117" t="str">
        <f aca="false">CONCATENATE(A250," (0 - ",W277," Mtoe / yr)")</f>
        <v> Consumo de energia (0 - 6500 Mtoe / ano)</v>
      </c>
      <c r="AB264" s="120" t="n">
        <f aca="false">B250/$W277</f>
        <v>0.149885737804419</v>
      </c>
      <c r="AC264" s="120" t="n">
        <f aca="false">C250/$W277</f>
        <v>0.192700740956855</v>
      </c>
      <c r="AD264" s="120" t="n">
        <f aca="false">D250/$W277</f>
        <v>0.23283737101937</v>
      </c>
      <c r="AE264" s="120" t="n">
        <f aca="false">E250/$W277</f>
        <v>0.270009731973908</v>
      </c>
      <c r="AF264" s="120" t="n">
        <f aca="false">F250/$W277</f>
        <v>0.309963028712849</v>
      </c>
      <c r="AG264" s="120" t="n">
        <f aca="false">G250/$W277</f>
        <v>0.294813391370855</v>
      </c>
      <c r="AH264" s="120" t="n">
        <f aca="false">H250/$W277</f>
        <v>0.324306197798095</v>
      </c>
      <c r="AI264" s="120" t="n">
        <f aca="false">I250/$W277</f>
        <v>0.376327315974413</v>
      </c>
      <c r="AJ264" s="120" t="n">
        <f aca="false">J250/$W277</f>
        <v>0.44136374442161</v>
      </c>
      <c r="AK264" s="120" t="n">
        <f aca="false">K250/$W277</f>
        <v>0.474524123220723</v>
      </c>
      <c r="AL264" s="120" t="n">
        <f aca="false">L250/$W277</f>
        <v>0.539213313605703</v>
      </c>
      <c r="AM264" s="120" t="n">
        <f aca="false">M250/$W277</f>
        <v>0.618252975749815</v>
      </c>
      <c r="AN264" s="120" t="n">
        <f aca="false">N250/$W277</f>
        <v>0.702604939360688</v>
      </c>
      <c r="AO264" s="120" t="n">
        <f aca="false">O250/$W277</f>
        <v>0.772024554157179</v>
      </c>
      <c r="AP264" s="120" t="n">
        <f aca="false">P250/$W277</f>
        <v>0.827321527823399</v>
      </c>
      <c r="AQ264" s="120" t="n">
        <f aca="false">Q250/$W277</f>
        <v>0.856499978603954</v>
      </c>
      <c r="AR264" s="120" t="n">
        <f aca="false">R250/$W277</f>
        <v>0.865173396108804</v>
      </c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G265" s="47"/>
      <c r="H265" s="47"/>
      <c r="I265" s="47"/>
      <c r="K265" s="84" t="n">
        <f aca="false">K$266*K271/100</f>
        <v>323.862714098143</v>
      </c>
      <c r="L265" s="84" t="n">
        <f aca="false">L$266*L271/100</f>
        <v>401.951592019946</v>
      </c>
      <c r="M265" s="84" t="n">
        <f aca="false">M$266*M271/100</f>
        <v>572.825533884342</v>
      </c>
      <c r="N265" s="84" t="n">
        <f aca="false">N$266*N271/100</f>
        <v>776.316580446357</v>
      </c>
      <c r="O265" s="84" t="n">
        <f aca="false">O$266*O271/100</f>
        <v>1036.86981652731</v>
      </c>
      <c r="P265" s="84" t="n">
        <f aca="false">P$266*P271/100</f>
        <v>1306.47192533669</v>
      </c>
      <c r="Q265" s="84" t="n">
        <f aca="false">Q$266*Q271/100</f>
        <v>1605.97462545206</v>
      </c>
      <c r="R265" s="84" t="n">
        <f aca="false">R$266*R271/100</f>
        <v>1929.11856150132</v>
      </c>
      <c r="S265" s="28" t="s">
        <v>84</v>
      </c>
      <c r="T265" s="13"/>
      <c r="U265" s="111" t="str">
        <f aca="false">CONCATENATE(A249," Your forecast")</f>
        <v> Uso de energias renováveis: Sua previsão</v>
      </c>
      <c r="Z265" s="113"/>
      <c r="AA265" s="117" t="str">
        <f aca="false">CONCATENATE(A241," (0 - ",W278," T$ / yr)")</f>
        <v> AUMENTO DO PIB (0 - 45 trilhões de dólares/ano)</v>
      </c>
      <c r="AB265" s="120" t="n">
        <f aca="false">B241/$W278</f>
        <v>0.0502862563855115</v>
      </c>
      <c r="AC265" s="120" t="n">
        <f aca="false">C241/$W278</f>
        <v>0.0681835746412901</v>
      </c>
      <c r="AD265" s="120" t="n">
        <f aca="false">D241/$W278</f>
        <v>0.0834671581083382</v>
      </c>
      <c r="AE265" s="120" t="n">
        <f aca="false">E241/$W278</f>
        <v>0.0941198605502702</v>
      </c>
      <c r="AF265" s="120" t="n">
        <f aca="false">F241/$W278</f>
        <v>0.161288521610342</v>
      </c>
      <c r="AG265" s="120" t="n">
        <f aca="false">G241/$W278</f>
        <v>0.176245599342435</v>
      </c>
      <c r="AH265" s="120" t="n">
        <f aca="false">H241/$W278</f>
        <v>0.203513293932198</v>
      </c>
      <c r="AI265" s="120" t="n">
        <f aca="false">I241/$W278</f>
        <v>0.264419742308881</v>
      </c>
      <c r="AJ265" s="120" t="n">
        <f aca="false">J241/$W278</f>
        <v>0.315877809616021</v>
      </c>
      <c r="AK265" s="120" t="n">
        <f aca="false">K241/$W278</f>
        <v>0.357484447614214</v>
      </c>
      <c r="AL265" s="120" t="n">
        <f aca="false">L241/$W278</f>
        <v>0.42759819037727</v>
      </c>
      <c r="AM265" s="120" t="n">
        <f aca="false">M241/$W278</f>
        <v>0.516080989911199</v>
      </c>
      <c r="AN265" s="120" t="n">
        <f aca="false">N241/$W278</f>
        <v>0.617361069853836</v>
      </c>
      <c r="AO265" s="120" t="n">
        <f aca="false">O241/$W278</f>
        <v>0.714061387105787</v>
      </c>
      <c r="AP265" s="120" t="n">
        <f aca="false">P241/$W278</f>
        <v>0.805480731844267</v>
      </c>
      <c r="AQ265" s="120" t="n">
        <f aca="false">Q241/$W278</f>
        <v>0.877777777777778</v>
      </c>
      <c r="AR265" s="120" t="n">
        <f aca="false">R241/$W278</f>
        <v>0.933333333333333</v>
      </c>
      <c r="AS265" s="11"/>
    </row>
    <row r="266" s="3" customFormat="true" ht="11.25" hidden="false" customHeight="false" outlineLevel="0" collapsed="false">
      <c r="B266" s="47"/>
      <c r="C266" s="47"/>
      <c r="D266" s="47"/>
      <c r="E266" s="47"/>
      <c r="F266" s="47"/>
      <c r="G266" s="47"/>
      <c r="H266" s="47"/>
      <c r="I266" s="47"/>
      <c r="K266" s="84" t="n">
        <f aca="false">K104*K267</f>
        <v>3084.4068009347</v>
      </c>
      <c r="L266" s="84" t="n">
        <f aca="false">L104*L267</f>
        <v>3417.95571445532</v>
      </c>
      <c r="M266" s="84" t="n">
        <f aca="false">M104*M267</f>
        <v>3896.77233934927</v>
      </c>
      <c r="N266" s="84" t="n">
        <f aca="false">N104*N267</f>
        <v>4400.88764425373</v>
      </c>
      <c r="O266" s="84" t="n">
        <f aca="false">O104*O267</f>
        <v>4809.22920467213</v>
      </c>
      <c r="P266" s="84" t="n">
        <f aca="false">P104*P267</f>
        <v>5127.44083727114</v>
      </c>
      <c r="Q266" s="84" t="n">
        <f aca="false">Q104*Q267</f>
        <v>5286.28908970396</v>
      </c>
      <c r="R266" s="84" t="n">
        <f aca="false">R104*R267</f>
        <v>5320.23872449345</v>
      </c>
      <c r="S266" s="28" t="s">
        <v>84</v>
      </c>
      <c r="T266" s="13"/>
      <c r="U266" s="111" t="str">
        <f aca="false">CONCATENATE(A250," Your forecast")</f>
        <v> Consumo de energia: Sua previsão</v>
      </c>
      <c r="Z266" s="113"/>
      <c r="AA266" s="117" t="str">
        <f aca="false">CONCATENATE(A251," (0 - ",W279," toe / M$)")</f>
        <v> Intensidade energética (0 - 450 toe / M$)</v>
      </c>
      <c r="AB266" s="120" t="n">
        <f aca="false">B251/$W279</f>
        <v>0.956751901059647</v>
      </c>
      <c r="AC266" s="120" t="n">
        <f aca="false">C251/$W279</f>
        <v>0.907176825959485</v>
      </c>
      <c r="AD266" s="120" t="n">
        <f aca="false">D251/$W279</f>
        <v>0.895417110820585</v>
      </c>
      <c r="AE266" s="120" t="n">
        <f aca="false">E251/$W279</f>
        <v>0.920844867421498</v>
      </c>
      <c r="AF266" s="120" t="n">
        <f aca="false">F251/$W279</f>
        <v>0.616871582177033</v>
      </c>
      <c r="AG266" s="120" t="n">
        <f aca="false">G251/$W279</f>
        <v>0.536929485397716</v>
      </c>
      <c r="AH266" s="120" t="n">
        <f aca="false">H251/$W279</f>
        <v>0.511506072658084</v>
      </c>
      <c r="AI266" s="120" t="n">
        <f aca="false">I251/$W279</f>
        <v>0.456835867688094</v>
      </c>
      <c r="AJ266" s="120" t="n">
        <f aca="false">J251/$W279</f>
        <v>0.44850353114844</v>
      </c>
      <c r="AK266" s="120" t="n">
        <f aca="false">K251/$W279</f>
        <v>0.426078354591018</v>
      </c>
      <c r="AL266" s="120" t="n">
        <f aca="false">L251/$W279</f>
        <v>0.404774436861467</v>
      </c>
      <c r="AM266" s="120" t="n">
        <f aca="false">M251/$W279</f>
        <v>0.384535715018394</v>
      </c>
      <c r="AN266" s="120" t="n">
        <f aca="false">N251/$W279</f>
        <v>0.365308929267474</v>
      </c>
      <c r="AO266" s="120" t="n">
        <f aca="false">O251/$W279</f>
        <v>0.3470434828041</v>
      </c>
      <c r="AP266" s="120" t="n">
        <f aca="false">P251/$W279</f>
        <v>0.329691308663895</v>
      </c>
      <c r="AQ266" s="120" t="n">
        <f aca="false">Q251/$W279</f>
        <v>0.313206743230701</v>
      </c>
      <c r="AR266" s="120" t="n">
        <f aca="false">R251/$W279</f>
        <v>0.297546406069166</v>
      </c>
      <c r="AS266" s="11"/>
    </row>
    <row r="267" s="3" customFormat="true" ht="11.25" hidden="false" customHeight="false" outlineLevel="0" collapsed="false">
      <c r="B267" s="47"/>
      <c r="C267" s="47"/>
      <c r="D267" s="47"/>
      <c r="E267" s="47"/>
      <c r="F267" s="47"/>
      <c r="G267" s="47"/>
      <c r="H267" s="47"/>
      <c r="I267" s="47"/>
      <c r="K267" s="84" t="n">
        <f aca="false">J251*(1+K268/100*5)</f>
        <v>191.735259565958</v>
      </c>
      <c r="L267" s="84" t="n">
        <f aca="false">K267*(1+L268/100*5)</f>
        <v>182.340231847226</v>
      </c>
      <c r="M267" s="84" t="n">
        <f aca="false">L267*(1+M268/100*5)</f>
        <v>173.405560486712</v>
      </c>
      <c r="N267" s="84" t="n">
        <f aca="false">M267*(1+N268/100*5)</f>
        <v>164.908688022863</v>
      </c>
      <c r="O267" s="84" t="n">
        <f aca="false">N267*(1+O268/100*5)</f>
        <v>156.828162309743</v>
      </c>
      <c r="P267" s="84" t="n">
        <f aca="false">O267*(1+P268/100*5)</f>
        <v>149.143582356566</v>
      </c>
      <c r="Q267" s="84" t="n">
        <f aca="false">P267*(1+Q268/100*5)</f>
        <v>141.835546821094</v>
      </c>
      <c r="R267" s="84" t="n">
        <f aca="false">Q267*(1+R268/100*5)</f>
        <v>134.88560502686</v>
      </c>
      <c r="S267" s="28" t="s">
        <v>95</v>
      </c>
      <c r="T267" s="13"/>
      <c r="U267" s="111" t="str">
        <f aca="false">CONCATENATE(A251," Your forecast")</f>
        <v> Intensidade energética Sua previsão</v>
      </c>
      <c r="Z267" s="113"/>
      <c r="AA267" s="117" t="str">
        <f aca="false">CONCATENATE(A252," (0 - ",W292*(-1),"*(-1) % / yr)")</f>
        <v> Crescimento da intensidade energética (0 - 0*(-1) % / ano)</v>
      </c>
      <c r="AB267" s="120"/>
      <c r="AC267" s="120" t="n">
        <f aca="false">C252/1</f>
        <v>-1.03632038870799</v>
      </c>
      <c r="AD267" s="120" t="n">
        <f aca="false">D252/1</f>
        <v>-0.259259601929577</v>
      </c>
      <c r="AE267" s="120" t="n">
        <f aca="false">E252/1</f>
        <v>0.567953332444358</v>
      </c>
      <c r="AF267" s="120" t="n">
        <f aca="false">F252/1</f>
        <v>-6.6020520067758</v>
      </c>
      <c r="AG267" s="120" t="n">
        <f aca="false">G252/1</f>
        <v>-2.59185539062082</v>
      </c>
      <c r="AH267" s="120" t="n">
        <f aca="false">H252/1</f>
        <v>-0.946992610055715</v>
      </c>
      <c r="AI267" s="120" t="n">
        <f aca="false">I252/1</f>
        <v>-2.13761704473579</v>
      </c>
      <c r="AJ267" s="120" t="n">
        <f aca="false">J252/1</f>
        <v>-0.364784690914115</v>
      </c>
      <c r="AK267" s="120" t="n">
        <f aca="false">K252/1</f>
        <v>-1</v>
      </c>
      <c r="AL267" s="120" t="n">
        <f aca="false">L252/1</f>
        <v>-1</v>
      </c>
      <c r="AM267" s="120" t="n">
        <f aca="false">M252/1</f>
        <v>-1</v>
      </c>
      <c r="AN267" s="120" t="n">
        <f aca="false">N252/1</f>
        <v>-1</v>
      </c>
      <c r="AO267" s="120" t="n">
        <f aca="false">O252/1</f>
        <v>-1</v>
      </c>
      <c r="AP267" s="120" t="n">
        <f aca="false">P252/1</f>
        <v>-1</v>
      </c>
      <c r="AQ267" s="120" t="n">
        <f aca="false">Q252/1</f>
        <v>-1</v>
      </c>
      <c r="AR267" s="120" t="n">
        <f aca="false">R252/1</f>
        <v>-1</v>
      </c>
      <c r="AS267" s="11"/>
    </row>
    <row r="268" s="3" customFormat="true" ht="11.25" hidden="false" customHeight="false" outlineLevel="0" collapsed="false">
      <c r="B268" s="47"/>
      <c r="C268" s="47"/>
      <c r="D268" s="47"/>
      <c r="E268" s="47"/>
      <c r="F268" s="47"/>
      <c r="G268" s="47"/>
      <c r="H268" s="47"/>
      <c r="I268" s="47"/>
      <c r="K268" s="83" t="n">
        <f aca="false">K252</f>
        <v>-1</v>
      </c>
      <c r="L268" s="83" t="n">
        <f aca="false">L252*0.98</f>
        <v>-0.98</v>
      </c>
      <c r="M268" s="83" t="n">
        <f aca="false">M252*0.98</f>
        <v>-0.98</v>
      </c>
      <c r="N268" s="83" t="n">
        <f aca="false">N252*0.98</f>
        <v>-0.98</v>
      </c>
      <c r="O268" s="83" t="n">
        <f aca="false">O252*0.98</f>
        <v>-0.98</v>
      </c>
      <c r="P268" s="83" t="n">
        <f aca="false">P252*0.98</f>
        <v>-0.98</v>
      </c>
      <c r="Q268" s="83" t="n">
        <f aca="false">Q252*0.98</f>
        <v>-0.98</v>
      </c>
      <c r="R268" s="83" t="n">
        <f aca="false">R252*0.98</f>
        <v>-0.98</v>
      </c>
      <c r="S268" s="28" t="s">
        <v>25</v>
      </c>
      <c r="T268" s="13"/>
      <c r="U268" s="111" t="str">
        <f aca="false">CONCATENATE(A252," Your forecast")</f>
        <v> Crescimento da intensidade energética: sua previsão</v>
      </c>
      <c r="Z268" s="113"/>
      <c r="AA268" s="11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121"/>
      <c r="AS268" s="11"/>
    </row>
    <row r="269" s="3" customFormat="true" ht="11.25" hidden="false" customHeight="false" outlineLevel="0" collapsed="false">
      <c r="B269" s="47"/>
      <c r="C269" s="47"/>
      <c r="D269" s="47"/>
      <c r="E269" s="47"/>
      <c r="F269" s="47"/>
      <c r="G269" s="47"/>
      <c r="H269" s="47"/>
      <c r="I269" s="47"/>
      <c r="K269" s="83" t="n">
        <f aca="false">K253</f>
        <v>32</v>
      </c>
      <c r="L269" s="83" t="n">
        <f aca="false">L253*0.98</f>
        <v>28.42</v>
      </c>
      <c r="M269" s="83" t="n">
        <f aca="false">M253*0.98</f>
        <v>26.95</v>
      </c>
      <c r="N269" s="83" t="n">
        <f aca="false">N253*0.98</f>
        <v>25.48</v>
      </c>
      <c r="O269" s="83" t="n">
        <f aca="false">O253*0.98</f>
        <v>23.52</v>
      </c>
      <c r="P269" s="83" t="n">
        <f aca="false">P253*0.98</f>
        <v>21.07</v>
      </c>
      <c r="Q269" s="83" t="n">
        <f aca="false">Q253*0.98</f>
        <v>18.62</v>
      </c>
      <c r="R269" s="83" t="n">
        <f aca="false">R253*0.98</f>
        <v>16.66</v>
      </c>
      <c r="S269" s="28" t="s">
        <v>44</v>
      </c>
      <c r="T269" s="13"/>
      <c r="U269" s="111" t="str">
        <f aca="false">CONCATENATE(A253," Your forecast")</f>
        <v> % de petróleo Sua previsão</v>
      </c>
      <c r="Z269" s="113"/>
      <c r="AA269" s="122" t="s">
        <v>7</v>
      </c>
      <c r="AB269" s="118" t="n">
        <v>1970</v>
      </c>
      <c r="AC269" s="118" t="n">
        <v>1975</v>
      </c>
      <c r="AD269" s="118" t="n">
        <v>1980</v>
      </c>
      <c r="AE269" s="118" t="n">
        <v>1985</v>
      </c>
      <c r="AF269" s="118" t="n">
        <v>1990</v>
      </c>
      <c r="AG269" s="118" t="n">
        <v>1995</v>
      </c>
      <c r="AH269" s="118" t="n">
        <v>2000</v>
      </c>
      <c r="AI269" s="118" t="n">
        <v>2005</v>
      </c>
      <c r="AJ269" s="118" t="n">
        <v>2010</v>
      </c>
      <c r="AK269" s="118" t="n">
        <v>2015</v>
      </c>
      <c r="AL269" s="118" t="n">
        <v>2020</v>
      </c>
      <c r="AM269" s="118" t="n">
        <v>2025</v>
      </c>
      <c r="AN269" s="118" t="n">
        <v>2030</v>
      </c>
      <c r="AO269" s="118" t="n">
        <v>2035</v>
      </c>
      <c r="AP269" s="118" t="n">
        <v>2040</v>
      </c>
      <c r="AQ269" s="118" t="n">
        <v>2045</v>
      </c>
      <c r="AR269" s="119" t="n">
        <v>2050</v>
      </c>
      <c r="AS269" s="11"/>
    </row>
    <row r="270" s="3" customFormat="true" ht="11.25" hidden="false" customHeight="false" outlineLevel="0" collapsed="false">
      <c r="B270" s="47"/>
      <c r="C270" s="47"/>
      <c r="D270" s="47"/>
      <c r="E270" s="47"/>
      <c r="F270" s="47"/>
      <c r="G270" s="47"/>
      <c r="H270" s="47"/>
      <c r="I270" s="47"/>
      <c r="K270" s="83" t="n">
        <f aca="false">K254</f>
        <v>34</v>
      </c>
      <c r="L270" s="83" t="n">
        <f aca="false">L254*0.98</f>
        <v>34.79</v>
      </c>
      <c r="M270" s="83" t="n">
        <f aca="false">M254*0.98</f>
        <v>34.3</v>
      </c>
      <c r="N270" s="83" t="n">
        <f aca="false">N254*0.98</f>
        <v>32.34</v>
      </c>
      <c r="O270" s="83" t="n">
        <f aca="false">O254*0.98</f>
        <v>30.38</v>
      </c>
      <c r="P270" s="83" t="n">
        <f aca="false">P254*0.98</f>
        <v>27.93</v>
      </c>
      <c r="Q270" s="83" t="n">
        <f aca="false">Q254*0.98</f>
        <v>25.97</v>
      </c>
      <c r="R270" s="83" t="n">
        <f aca="false">R254*0.98</f>
        <v>22.54</v>
      </c>
      <c r="S270" s="28" t="s">
        <v>44</v>
      </c>
      <c r="T270" s="13"/>
      <c r="U270" s="111" t="str">
        <f aca="false">CONCATENATE(A254," Your forecast")</f>
        <v> % de gás Sua previsão</v>
      </c>
      <c r="Z270" s="113"/>
      <c r="AA270" s="122" t="str">
        <f aca="false">CONCATENATE(J145," (0 - ",W281," T$ / yr)")</f>
        <v> PIB BRISE calculado a partir da sua previsão (0 - 45 T$/ano)</v>
      </c>
      <c r="AB270" s="98"/>
      <c r="AC270" s="98"/>
      <c r="AD270" s="98"/>
      <c r="AE270" s="98"/>
      <c r="AF270" s="98"/>
      <c r="AG270" s="98"/>
      <c r="AH270" s="98"/>
      <c r="AI270" s="98"/>
      <c r="AJ270" s="120"/>
      <c r="AK270" s="120" t="n">
        <f aca="false">K145/$W281</f>
        <v>0.357484447614214</v>
      </c>
      <c r="AL270" s="120" t="n">
        <f aca="false">L145/$W281</f>
        <v>0.416554101433737</v>
      </c>
      <c r="AM270" s="120" t="n">
        <f aca="false">M145/$W281</f>
        <v>0.499378108933617</v>
      </c>
      <c r="AN270" s="120" t="n">
        <f aca="false">N145/$W281</f>
        <v>0.593040332672343</v>
      </c>
      <c r="AO270" s="120" t="n">
        <f aca="false">O145/$W281</f>
        <v>0.681457708423239</v>
      </c>
      <c r="AP270" s="120" t="n">
        <f aca="false">P145/$W281</f>
        <v>0.76398278703489</v>
      </c>
      <c r="AQ270" s="120" t="n">
        <f aca="false">Q145/$W281</f>
        <v>0.828234483633969</v>
      </c>
      <c r="AR270" s="120" t="n">
        <f aca="false">R145/$W281</f>
        <v>0.876502182626696</v>
      </c>
      <c r="AS270" s="11"/>
    </row>
    <row r="271" s="3" customFormat="true" ht="11.25" hidden="false" customHeight="false" outlineLevel="0" collapsed="false">
      <c r="B271" s="47"/>
      <c r="C271" s="47"/>
      <c r="D271" s="47"/>
      <c r="E271" s="47"/>
      <c r="F271" s="47"/>
      <c r="G271" s="47"/>
      <c r="H271" s="47"/>
      <c r="I271" s="47"/>
      <c r="K271" s="83" t="n">
        <f aca="false">K255</f>
        <v>10.5</v>
      </c>
      <c r="L271" s="83" t="n">
        <f aca="false">L255*0.98</f>
        <v>11.76</v>
      </c>
      <c r="M271" s="83" t="n">
        <f aca="false">M255*0.98</f>
        <v>14.7</v>
      </c>
      <c r="N271" s="83" t="n">
        <f aca="false">N255*0.98</f>
        <v>17.64</v>
      </c>
      <c r="O271" s="83" t="n">
        <f aca="false">O255*0.98</f>
        <v>21.56</v>
      </c>
      <c r="P271" s="83" t="n">
        <f aca="false">P255*0.98</f>
        <v>25.48</v>
      </c>
      <c r="Q271" s="83" t="n">
        <f aca="false">Q255*0.98</f>
        <v>30.38</v>
      </c>
      <c r="R271" s="83" t="n">
        <f aca="false">R255*0.98</f>
        <v>36.26</v>
      </c>
      <c r="S271" s="28" t="s">
        <v>44</v>
      </c>
      <c r="T271" s="13"/>
      <c r="U271" s="111" t="str">
        <f aca="false">CONCATENATE(A255," Your forecast")</f>
        <v> % de energias renováveis Sua previsão</v>
      </c>
      <c r="Z271" s="113"/>
      <c r="AA271" s="122" t="str">
        <f aca="false">CONCATENATE(A250," (0 - ",W280," Mtoe / yr), Your forecast")</f>
        <v> Consumo de energia (0 - 6500 Mtoe/ano), sua previsão</v>
      </c>
      <c r="AB271" s="98"/>
      <c r="AC271" s="98"/>
      <c r="AD271" s="98"/>
      <c r="AE271" s="98"/>
      <c r="AF271" s="98"/>
      <c r="AG271" s="98"/>
      <c r="AH271" s="98"/>
      <c r="AI271" s="98"/>
      <c r="AJ271" s="120"/>
      <c r="AK271" s="120" t="n">
        <f aca="false">K266/$W280</f>
        <v>0.474524123220723</v>
      </c>
      <c r="AL271" s="120" t="n">
        <f aca="false">L266/$W280</f>
        <v>0.525839340685435</v>
      </c>
      <c r="AM271" s="120" t="n">
        <f aca="false">M266/$W280</f>
        <v>0.599503436822964</v>
      </c>
      <c r="AN271" s="120" t="n">
        <f aca="false">N266/$W280</f>
        <v>0.677059637577496</v>
      </c>
      <c r="AO271" s="120" t="n">
        <f aca="false">O266/$W280</f>
        <v>0.739881416103405</v>
      </c>
      <c r="AP271" s="120" t="n">
        <f aca="false">P266/$W280</f>
        <v>0.788837051887868</v>
      </c>
      <c r="AQ271" s="120" t="n">
        <f aca="false">Q266/$W280</f>
        <v>0.813275244569841</v>
      </c>
      <c r="AR271" s="120" t="n">
        <f aca="false">R266/$W280</f>
        <v>0.818498265306684</v>
      </c>
      <c r="AS271" s="11"/>
    </row>
    <row r="272" s="3" customFormat="true" ht="11.25" hidden="false" customHeight="false" outlineLevel="0" collapsed="false">
      <c r="B272" s="47"/>
      <c r="C272" s="47"/>
      <c r="D272" s="47"/>
      <c r="E272" s="47"/>
      <c r="F272" s="47"/>
      <c r="G272" s="47"/>
      <c r="H272" s="47"/>
      <c r="I272" s="47"/>
      <c r="K272" s="83" t="n">
        <f aca="false">K256</f>
        <v>3</v>
      </c>
      <c r="L272" s="83" t="n">
        <f aca="false">L256*0.98</f>
        <v>2.45</v>
      </c>
      <c r="M272" s="83" t="n">
        <f aca="false">M256*0.98</f>
        <v>1.96</v>
      </c>
      <c r="N272" s="83" t="n">
        <f aca="false">N256*0.98</f>
        <v>1.47</v>
      </c>
      <c r="O272" s="83" t="n">
        <f aca="false">O256*0.98</f>
        <v>1.47</v>
      </c>
      <c r="P272" s="83" t="n">
        <f aca="false">P256*0.98</f>
        <v>1.47</v>
      </c>
      <c r="Q272" s="83" t="n">
        <f aca="false">Q256*0.98</f>
        <v>1.47</v>
      </c>
      <c r="R272" s="83" t="n">
        <f aca="false">R256*0.98</f>
        <v>1.47</v>
      </c>
      <c r="S272" s="28" t="s">
        <v>44</v>
      </c>
      <c r="T272" s="13"/>
      <c r="U272" s="111" t="str">
        <f aca="false">CONCATENATE(A256," Your forecast")</f>
        <v> % nuclear Sua previsão</v>
      </c>
      <c r="Z272" s="113"/>
      <c r="AA272" s="122" t="str">
        <f aca="false">CONCATENATE(A251," (0 - ",W282," toe / M$), Your forecast")</f>
        <v> Intensidade energética (0 - 450 toe / M$), Sua previsão</v>
      </c>
      <c r="AB272" s="98"/>
      <c r="AC272" s="98"/>
      <c r="AD272" s="98"/>
      <c r="AE272" s="98"/>
      <c r="AF272" s="98"/>
      <c r="AG272" s="98"/>
      <c r="AH272" s="98"/>
      <c r="AI272" s="98"/>
      <c r="AJ272" s="98"/>
      <c r="AK272" s="120" t="n">
        <f aca="false">K267/$W282</f>
        <v>0.426078354591018</v>
      </c>
      <c r="AL272" s="120" t="n">
        <f aca="false">L267/$W282</f>
        <v>0.405200515216058</v>
      </c>
      <c r="AM272" s="120" t="n">
        <f aca="false">M267/$W282</f>
        <v>0.385345689970471</v>
      </c>
      <c r="AN272" s="120" t="n">
        <f aca="false">N267/$W282</f>
        <v>0.366463751161918</v>
      </c>
      <c r="AO272" s="120" t="n">
        <f aca="false">O267/$W282</f>
        <v>0.348507027354984</v>
      </c>
      <c r="AP272" s="120" t="n">
        <f aca="false">P267/$W282</f>
        <v>0.33143018301459</v>
      </c>
      <c r="AQ272" s="120" t="n">
        <f aca="false">Q267/$W282</f>
        <v>0.315190104046875</v>
      </c>
      <c r="AR272" s="120" t="n">
        <f aca="false">R267/$W282</f>
        <v>0.299745788948578</v>
      </c>
      <c r="AS272" s="11"/>
    </row>
    <row r="273" s="3" customFormat="true" ht="11.25" hidden="false" customHeight="false" outlineLevel="0" collapsed="false">
      <c r="B273" s="47"/>
      <c r="C273" s="47"/>
      <c r="D273" s="47"/>
      <c r="E273" s="47"/>
      <c r="F273" s="47"/>
      <c r="G273" s="47"/>
      <c r="H273" s="47"/>
      <c r="I273" s="47"/>
      <c r="K273" s="124" t="n">
        <f aca="false">100-SUM(K269:K272)</f>
        <v>20.5</v>
      </c>
      <c r="L273" s="124" t="n">
        <f aca="false">100-SUM(L269:L272)</f>
        <v>22.58</v>
      </c>
      <c r="M273" s="124" t="n">
        <f aca="false">100-SUM(M269:M272)</f>
        <v>22.09</v>
      </c>
      <c r="N273" s="124" t="n">
        <f aca="false">100-SUM(N269:N272)</f>
        <v>23.07</v>
      </c>
      <c r="O273" s="124" t="n">
        <f aca="false">100-SUM(O269:O272)</f>
        <v>23.07</v>
      </c>
      <c r="P273" s="124" t="n">
        <f aca="false">100-SUM(P269:P272)</f>
        <v>24.05</v>
      </c>
      <c r="Q273" s="124" t="n">
        <f aca="false">100-SUM(Q269:Q272)</f>
        <v>23.56</v>
      </c>
      <c r="R273" s="124" t="n">
        <f aca="false">100-SUM(R269:R272)</f>
        <v>23.07</v>
      </c>
      <c r="S273" s="28" t="s">
        <v>44</v>
      </c>
      <c r="T273" s="13"/>
      <c r="U273" s="111" t="str">
        <f aca="false">CONCATENATE(A257," Your forecast")</f>
        <v> % carvão Sua previsão</v>
      </c>
      <c r="V273" s="153" t="s">
        <v>33</v>
      </c>
      <c r="Z273" s="113"/>
      <c r="AA273" s="122"/>
      <c r="AB273" s="98"/>
      <c r="AC273" s="98"/>
      <c r="AD273" s="98"/>
      <c r="AE273" s="98"/>
      <c r="AF273" s="98"/>
      <c r="AG273" s="98"/>
      <c r="AH273" s="98"/>
      <c r="AI273" s="98"/>
      <c r="AS273" s="11"/>
    </row>
    <row r="274" s="3" customFormat="true" ht="11.25" hidden="false" customHeight="false" outlineLevel="0" collapsed="false">
      <c r="B274" s="47"/>
      <c r="C274" s="47"/>
      <c r="D274" s="47"/>
      <c r="E274" s="47"/>
      <c r="F274" s="47"/>
      <c r="G274" s="107"/>
      <c r="H274" s="107"/>
      <c r="I274" s="107"/>
      <c r="J274" s="107"/>
      <c r="K274" s="125" t="s">
        <v>103</v>
      </c>
      <c r="L274" s="107"/>
      <c r="M274" s="107"/>
      <c r="N274" s="107"/>
      <c r="O274" s="107"/>
      <c r="P274" s="107"/>
      <c r="Q274" s="107"/>
      <c r="R274" s="107"/>
      <c r="T274" s="13"/>
      <c r="V274" s="3" t="s">
        <v>35</v>
      </c>
      <c r="Z274" s="113"/>
      <c r="AA274" s="122"/>
      <c r="AB274" s="98"/>
      <c r="AC274" s="98"/>
      <c r="AD274" s="98"/>
      <c r="AE274" s="98"/>
      <c r="AF274" s="98"/>
      <c r="AG274" s="98"/>
      <c r="AH274" s="98"/>
      <c r="AI274" s="98"/>
      <c r="AS274" s="11"/>
    </row>
    <row r="275" s="3" customFormat="true" ht="28.3" hidden="false" customHeight="false" outlineLevel="0" collapsed="false">
      <c r="B275" s="47"/>
      <c r="C275" s="47"/>
      <c r="D275" s="47"/>
      <c r="E275" s="47"/>
      <c r="F275" s="47"/>
      <c r="T275" s="13"/>
      <c r="U275" s="55" t="s">
        <v>37</v>
      </c>
      <c r="V275" s="54" t="s">
        <v>38</v>
      </c>
      <c r="W275" s="54" t="s">
        <v>39</v>
      </c>
      <c r="X275" s="55"/>
      <c r="Y275" s="55"/>
      <c r="Z275" s="113"/>
      <c r="AA275" s="122"/>
      <c r="AB275" s="98"/>
      <c r="AC275" s="98"/>
      <c r="AD275" s="98"/>
      <c r="AE275" s="98"/>
      <c r="AF275" s="98"/>
      <c r="AG275" s="98"/>
      <c r="AH275" s="98"/>
      <c r="AI275" s="98"/>
      <c r="AS275" s="11"/>
    </row>
    <row r="276" s="3" customFormat="true" ht="11.25" hidden="false" customHeight="false" outlineLevel="0" collapsed="false">
      <c r="B276" s="47"/>
      <c r="C276" s="47"/>
      <c r="D276" s="47"/>
      <c r="E276" s="47"/>
      <c r="F276" s="47"/>
      <c r="T276" s="13"/>
      <c r="V276" s="96" t="s">
        <v>104</v>
      </c>
      <c r="W276" s="96" t="s">
        <v>105</v>
      </c>
      <c r="Z276" s="113"/>
      <c r="AA276" s="126"/>
      <c r="AB276" s="127"/>
      <c r="AC276" s="127"/>
      <c r="AD276" s="127"/>
      <c r="AE276" s="127"/>
      <c r="AF276" s="127"/>
      <c r="AG276" s="127"/>
      <c r="AH276" s="127"/>
      <c r="AI276" s="127"/>
      <c r="AS276" s="11"/>
    </row>
    <row r="277" customFormat="false" ht="11.25" hidden="false" customHeight="false" outlineLevel="0" collapsed="false">
      <c r="B277" s="107"/>
      <c r="C277" s="107"/>
      <c r="D277" s="107"/>
      <c r="E277" s="107"/>
      <c r="F277" s="107"/>
      <c r="T277" s="13"/>
      <c r="U277" s="128" t="str">
        <f aca="false">AA264</f>
        <v>Consumo de energia (0 - 6500 Mtoe / ano)</v>
      </c>
      <c r="V277" s="129" t="n">
        <v>6500</v>
      </c>
      <c r="W277" s="70" t="n">
        <f aca="false">W280</f>
        <v>6500</v>
      </c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customFormat="false" ht="11.25" hidden="false" customHeight="false" outlineLevel="0" collapsed="false"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T278" s="13"/>
      <c r="U278" s="128" t="str">
        <f aca="false">AA265</f>
        <v> AUMENTO DO PIB (0 - 45 trilhões de dólares/ano)</v>
      </c>
      <c r="V278" s="129" t="n">
        <v>45</v>
      </c>
      <c r="W278" s="70" t="n">
        <f aca="false">W281</f>
        <v>45</v>
      </c>
    </row>
    <row r="279" customFormat="false" ht="11.25" hidden="false" customHeight="false" outlineLevel="0" collapsed="false"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T279" s="13"/>
      <c r="U279" s="128" t="str">
        <f aca="false">AA266</f>
        <v> Intensidade energética (0 - 450 toe / M$)</v>
      </c>
      <c r="V279" s="129" t="n">
        <v>450</v>
      </c>
      <c r="W279" s="70" t="n">
        <f aca="false">W282</f>
        <v>450</v>
      </c>
    </row>
    <row r="280" customFormat="false" ht="11.25" hidden="false" customHeight="false" outlineLevel="0" collapsed="false"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T280" s="13"/>
      <c r="U280" s="130" t="str">
        <f aca="false">AA271</f>
        <v> Consumo de energia (0 - 6500 Mtoe/ano), sua previsão</v>
      </c>
      <c r="W280" s="4" t="n">
        <v>6500</v>
      </c>
    </row>
    <row r="281" customFormat="false" ht="11.25" hidden="false" customHeight="false" outlineLevel="0" collapsed="false"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T281" s="13"/>
      <c r="U281" s="130" t="str">
        <f aca="false">AA270</f>
        <v> PIB BRISE calculado a partir da sua previsão (0 - 45 T$/ano)</v>
      </c>
      <c r="W281" s="4" t="n">
        <v>45</v>
      </c>
    </row>
    <row r="282" customFormat="false" ht="11.25" hidden="false" customHeight="false" outlineLevel="0" collapsed="false"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T282" s="13"/>
      <c r="U282" s="130" t="str">
        <f aca="false">AA272</f>
        <v> Intensidade energética (0 - 450 toe / M$), Sua previsão</v>
      </c>
      <c r="W282" s="4" t="n">
        <v>450</v>
      </c>
    </row>
    <row r="283" customFormat="false" ht="11.25" hidden="false" customHeight="false" outlineLevel="0" collapsed="false"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T283" s="13"/>
    </row>
    <row r="284" customFormat="false" ht="11.25" hidden="false" customHeight="false" outlineLevel="0" collapsed="false"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T284" s="13"/>
    </row>
    <row r="285" s="3" customFormat="true" ht="11.25" hidden="false" customHeight="false" outlineLevel="0" collapsed="false"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T285" s="13"/>
    </row>
    <row r="286" s="3" customFormat="true" ht="11.25" hidden="false" customHeight="false" outlineLevel="0" collapsed="false"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T286" s="13"/>
    </row>
    <row r="287" s="3" customFormat="true" ht="11.25" hidden="false" customHeight="false" outlineLevel="0" collapsed="false"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T287" s="13"/>
    </row>
    <row r="288" s="3" customFormat="true" ht="11.25" hidden="false" customHeight="false" outlineLevel="0" collapsed="false">
      <c r="T288" s="13"/>
    </row>
    <row r="289" s="3" customFormat="true" ht="11.25" hidden="false" customHeight="false" outlineLevel="0" collapsed="false">
      <c r="T289" s="13"/>
    </row>
    <row r="290" s="3" customFormat="true" ht="11.25" hidden="false" customHeight="false" outlineLevel="0" collapsed="false">
      <c r="T290" s="13"/>
    </row>
    <row r="291" s="3" customFormat="true" ht="11.25" hidden="false" customHeight="false" outlineLevel="0" collapsed="false">
      <c r="T291" s="13"/>
    </row>
    <row r="292" customFormat="false" ht="11.25" hidden="false" customHeight="false" outlineLevel="0" collapsed="false">
      <c r="T292" s="13"/>
    </row>
    <row r="293" customFormat="false" ht="11.25" hidden="false" customHeight="false" outlineLevel="0" collapsed="false">
      <c r="T293" s="13"/>
    </row>
    <row r="294" s="3" customFormat="true" ht="11.25" hidden="false" customHeight="false" outlineLevel="0" collapsed="false">
      <c r="T294" s="13"/>
    </row>
    <row r="295" s="3" customFormat="true" ht="11.25" hidden="false" customHeight="false" outlineLevel="0" collapsed="false">
      <c r="S295" s="50"/>
      <c r="T295" s="13"/>
      <c r="U295" s="50"/>
    </row>
    <row r="296" s="3" customFormat="true" ht="11.25" hidden="false" customHeight="false" outlineLevel="0" collapsed="false">
      <c r="T296" s="13"/>
    </row>
    <row r="297" s="3" customFormat="true" ht="11.25" hidden="false" customHeight="false" outlineLevel="0" collapsed="false">
      <c r="T297" s="13"/>
    </row>
    <row r="298" customFormat="false" ht="11.25" hidden="false" customHeight="false" outlineLevel="0" collapsed="false">
      <c r="T298" s="13"/>
    </row>
    <row r="299" customFormat="false" ht="11.25" hidden="false" customHeight="false" outlineLevel="0" collapsed="false">
      <c r="T299" s="13"/>
    </row>
    <row r="300" customFormat="false" ht="12.65" hidden="false" customHeight="false" outlineLevel="0" collapsed="false">
      <c r="A300" s="61" t="s">
        <v>106</v>
      </c>
      <c r="T300" s="13"/>
    </row>
    <row r="301" customFormat="false" ht="12.65" hidden="false" customHeight="false" outlineLevel="0" collapsed="false">
      <c r="A301" s="23" t="str">
        <f aca="false">CONCATENATE(A300,". Shares of total energy use - ",A5," 1970 to 2050")</f>
        <v> Gráfico 7. Percentagem do consumo total de energia - BRISE 1970 a 2050</v>
      </c>
      <c r="T301" s="13"/>
      <c r="V301" s="95"/>
    </row>
    <row r="302" customFormat="false" ht="12.65" hidden="false" customHeight="false" outlineLevel="0" collapsed="false">
      <c r="T302" s="13"/>
      <c r="V302" s="95"/>
      <c r="AA302" s="52"/>
    </row>
    <row r="303" customFormat="false" ht="12.65" hidden="false" customHeight="false" outlineLevel="0" collapsed="false">
      <c r="T303" s="13"/>
      <c r="V303" s="95"/>
      <c r="AB303" s="131"/>
      <c r="AC303" s="131"/>
      <c r="AD303" s="131"/>
      <c r="AE303" s="131"/>
      <c r="AF303" s="131"/>
      <c r="AG303" s="131"/>
      <c r="AH303" s="131"/>
      <c r="AI303" s="131"/>
      <c r="AJ303" s="131"/>
    </row>
    <row r="304" customFormat="false" ht="12.65" hidden="false" customHeight="false" outlineLevel="0" collapsed="false">
      <c r="T304" s="13"/>
      <c r="V304" s="95"/>
      <c r="AB304" s="131"/>
      <c r="AC304" s="131"/>
      <c r="AD304" s="131"/>
      <c r="AE304" s="131"/>
      <c r="AF304" s="131"/>
      <c r="AG304" s="131"/>
      <c r="AH304" s="131"/>
      <c r="AI304" s="131"/>
      <c r="AJ304" s="131"/>
    </row>
    <row r="305" customFormat="false" ht="12.65" hidden="false" customHeight="false" outlineLevel="0" collapsed="false">
      <c r="T305" s="13"/>
      <c r="V305" s="95"/>
      <c r="AB305" s="131"/>
      <c r="AC305" s="131"/>
      <c r="AD305" s="131"/>
      <c r="AE305" s="131"/>
      <c r="AF305" s="131"/>
      <c r="AG305" s="131"/>
      <c r="AH305" s="131"/>
      <c r="AI305" s="131"/>
      <c r="AJ305" s="131"/>
    </row>
    <row r="306" customFormat="false" ht="12.65" hidden="false" customHeight="false" outlineLevel="0" collapsed="false">
      <c r="T306" s="13"/>
      <c r="V306" s="95"/>
      <c r="AB306" s="131"/>
      <c r="AC306" s="131"/>
      <c r="AD306" s="131"/>
      <c r="AE306" s="131"/>
      <c r="AF306" s="131"/>
      <c r="AG306" s="131"/>
      <c r="AH306" s="131"/>
      <c r="AI306" s="131"/>
      <c r="AJ306" s="131"/>
    </row>
    <row r="307" customFormat="false" ht="12.65" hidden="false" customHeight="false" outlineLevel="0" collapsed="false">
      <c r="T307" s="13"/>
      <c r="V307" s="95"/>
      <c r="AB307" s="131"/>
      <c r="AC307" s="131"/>
      <c r="AD307" s="131"/>
      <c r="AE307" s="131"/>
      <c r="AF307" s="131"/>
      <c r="AG307" s="131"/>
      <c r="AH307" s="131"/>
      <c r="AI307" s="131"/>
      <c r="AJ307" s="131"/>
    </row>
    <row r="308" customFormat="false" ht="12.65" hidden="false" customHeight="false" outlineLevel="0" collapsed="false">
      <c r="T308" s="13"/>
      <c r="V308" s="95"/>
      <c r="AB308" s="131"/>
      <c r="AC308" s="131"/>
      <c r="AD308" s="131"/>
      <c r="AE308" s="131"/>
      <c r="AF308" s="131"/>
      <c r="AG308" s="131"/>
      <c r="AH308" s="131"/>
      <c r="AI308" s="131"/>
      <c r="AJ308" s="131"/>
    </row>
    <row r="309" customFormat="false" ht="12.65" hidden="false" customHeight="false" outlineLevel="0" collapsed="false">
      <c r="T309" s="13"/>
      <c r="V309" s="95"/>
      <c r="AB309" s="131"/>
      <c r="AC309" s="131"/>
      <c r="AD309" s="131"/>
      <c r="AE309" s="131"/>
      <c r="AF309" s="131"/>
      <c r="AG309" s="131"/>
      <c r="AH309" s="131"/>
      <c r="AI309" s="131"/>
      <c r="AJ309" s="131"/>
    </row>
    <row r="310" customFormat="false" ht="12.65" hidden="false" customHeight="false" outlineLevel="0" collapsed="false">
      <c r="T310" s="13"/>
      <c r="V310" s="95"/>
      <c r="AB310" s="131"/>
      <c r="AC310" s="131"/>
      <c r="AD310" s="131"/>
      <c r="AE310" s="131"/>
      <c r="AF310" s="131"/>
      <c r="AG310" s="131"/>
      <c r="AH310" s="131"/>
      <c r="AI310" s="131"/>
      <c r="AJ310" s="131"/>
    </row>
    <row r="311" customFormat="false" ht="12.65" hidden="false" customHeight="false" outlineLevel="0" collapsed="false">
      <c r="T311" s="13"/>
      <c r="V311" s="95"/>
      <c r="AB311" s="131"/>
      <c r="AC311" s="131"/>
      <c r="AD311" s="131"/>
      <c r="AE311" s="131"/>
      <c r="AF311" s="131"/>
      <c r="AG311" s="131"/>
      <c r="AH311" s="131"/>
      <c r="AI311" s="131"/>
      <c r="AJ311" s="131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T314" s="13"/>
      <c r="V314" s="95"/>
    </row>
    <row r="315" customFormat="false" ht="12.65" hidden="false" customHeight="false" outlineLevel="0" collapsed="false">
      <c r="T315" s="13"/>
      <c r="V315" s="95"/>
    </row>
    <row r="316" customFormat="false" ht="12.65" hidden="false" customHeight="false" outlineLevel="0" collapsed="false">
      <c r="T316" s="13"/>
      <c r="V316" s="95"/>
    </row>
    <row r="317" customFormat="false" ht="12.65" hidden="false" customHeight="false" outlineLevel="0" collapsed="false">
      <c r="T317" s="13"/>
      <c r="V317" s="95"/>
    </row>
    <row r="318" customFormat="false" ht="12.65" hidden="false" customHeight="false" outlineLevel="0" collapsed="false">
      <c r="T318" s="13"/>
      <c r="V318" s="95"/>
    </row>
    <row r="319" customFormat="false" ht="12.65" hidden="false" customHeight="false" outlineLevel="0" collapsed="false">
      <c r="T319" s="13"/>
      <c r="V319" s="95"/>
    </row>
    <row r="320" customFormat="false" ht="12.65" hidden="false" customHeight="false" outlineLevel="0" collapsed="false">
      <c r="T320" s="13"/>
      <c r="V320" s="95"/>
    </row>
    <row r="321" customFormat="false" ht="12.65" hidden="false" customHeight="false" outlineLevel="0" collapsed="false">
      <c r="T321" s="13"/>
      <c r="V321" s="95"/>
    </row>
    <row r="322" customFormat="false" ht="12.65" hidden="false" customHeight="false" outlineLevel="0" collapsed="false">
      <c r="T322" s="13"/>
      <c r="V322" s="95"/>
    </row>
    <row r="323" customFormat="false" ht="12.65" hidden="false" customHeight="false" outlineLevel="0" collapsed="false">
      <c r="T323" s="13"/>
      <c r="V323" s="95"/>
    </row>
    <row r="324" customFormat="false" ht="12.65" hidden="false" customHeight="false" outlineLevel="0" collapsed="false">
      <c r="T324" s="13"/>
      <c r="V324" s="95"/>
    </row>
    <row r="325" customFormat="false" ht="12.65" hidden="false" customHeight="false" outlineLevel="0" collapsed="false">
      <c r="A325" s="61" t="s">
        <v>107</v>
      </c>
      <c r="T325" s="13"/>
      <c r="V325" s="95"/>
    </row>
    <row r="326" customFormat="false" ht="12.65" hidden="false" customHeight="false" outlineLevel="0" collapsed="false">
      <c r="A326" s="23" t="str">
        <f aca="false">CONCATENATE(A325,". Energy usages (Mtoe/yr) - ",A5," 1970 to 2050")</f>
        <v> Gráfico 8. Consumo de energia (Mtoe/ano) - BRISE 1970 a 2050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T326" s="13"/>
    </row>
    <row r="327" customFormat="false" ht="11.25" hidden="false" customHeight="false" outlineLevel="0" collapsed="false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T334" s="13"/>
    </row>
    <row r="335" customFormat="false" ht="11.25" hidden="false" customHeight="false" outlineLevel="0" collapsed="false">
      <c r="A335" s="132"/>
      <c r="B335" s="131"/>
      <c r="C335" s="131"/>
      <c r="D335" s="131"/>
      <c r="E335" s="131"/>
      <c r="F335" s="131"/>
      <c r="G335" s="131"/>
      <c r="H335" s="131"/>
      <c r="I335" s="131"/>
      <c r="T335" s="13"/>
    </row>
    <row r="336" customFormat="false" ht="11.25" hidden="false" customHeight="false" outlineLevel="0" collapsed="false">
      <c r="A336" s="132"/>
      <c r="B336" s="131"/>
      <c r="C336" s="131"/>
      <c r="D336" s="131"/>
      <c r="E336" s="131"/>
      <c r="F336" s="131"/>
      <c r="G336" s="131"/>
      <c r="H336" s="131"/>
      <c r="I336" s="131"/>
      <c r="T336" s="13"/>
    </row>
    <row r="337" customFormat="false" ht="11.25" hidden="false" customHeight="false" outlineLevel="0" collapsed="false">
      <c r="A337" s="132"/>
      <c r="B337" s="131"/>
      <c r="C337" s="131"/>
      <c r="D337" s="131"/>
      <c r="E337" s="131"/>
      <c r="F337" s="131"/>
      <c r="G337" s="131"/>
      <c r="H337" s="131"/>
      <c r="I337" s="131"/>
      <c r="T337" s="13"/>
    </row>
    <row r="338" customFormat="false" ht="11.25" hidden="false" customHeight="false" outlineLevel="0" collapsed="false">
      <c r="A338" s="132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T338" s="13"/>
    </row>
    <row r="339" customFormat="false" ht="11.25" hidden="false" customHeight="false" outlineLevel="0" collapsed="false">
      <c r="A339" s="132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T339" s="13"/>
    </row>
    <row r="340" customFormat="false" ht="11.25" hidden="false" customHeight="false" outlineLevel="0" collapsed="false">
      <c r="A340" s="132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T340" s="13"/>
    </row>
    <row r="341" customFormat="false" ht="11.25" hidden="false" customHeight="false" outlineLevel="0" collapsed="false">
      <c r="A341" s="132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T341" s="13"/>
    </row>
    <row r="342" customFormat="false" ht="11.25" hidden="false" customHeight="false" outlineLevel="0" collapsed="false">
      <c r="A342" s="132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T342" s="13"/>
    </row>
    <row r="343" customFormat="false" ht="11.25" hidden="false" customHeight="false" outlineLevel="0" collapsed="false">
      <c r="A343" s="132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T343" s="13"/>
    </row>
    <row r="344" customFormat="false" ht="11.25" hidden="false" customHeight="false" outlineLevel="0" collapsed="false">
      <c r="A344" s="132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T344" s="13"/>
    </row>
    <row r="345" customFormat="false" ht="11.25" hidden="false" customHeight="false" outlineLevel="0" collapsed="false">
      <c r="A345" s="132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T345" s="13"/>
    </row>
    <row r="346" customFormat="false" ht="11.25" hidden="false" customHeight="false" outlineLevel="0" collapsed="false">
      <c r="T346" s="13"/>
    </row>
    <row r="347" customFormat="false" ht="12.65" hidden="false" customHeight="false" outlineLevel="0" collapsed="false">
      <c r="T347" s="13"/>
      <c r="V347" s="95"/>
      <c r="AC347" s="95"/>
    </row>
    <row r="348" customFormat="false" ht="12.65" hidden="false" customHeight="false" outlineLevel="0" collapsed="false">
      <c r="B348" s="95"/>
      <c r="T348" s="13"/>
    </row>
    <row r="349" customFormat="false" ht="12.65" hidden="false" customHeight="false" outlineLevel="0" collapsed="false">
      <c r="B349" s="95"/>
      <c r="T349" s="13"/>
    </row>
    <row r="350" customFormat="false" ht="12.65" hidden="false" customHeight="false" outlineLevel="0" collapsed="false">
      <c r="B350" s="95"/>
      <c r="T350" s="13"/>
    </row>
    <row r="351" customFormat="false" ht="12.65" hidden="false" customHeight="false" outlineLevel="0" collapsed="false">
      <c r="B351" s="95"/>
      <c r="T351" s="13"/>
    </row>
    <row r="352" customFormat="false" ht="12.65" hidden="false" customHeight="false" outlineLevel="0" collapsed="false">
      <c r="B352" s="95"/>
      <c r="T352" s="13"/>
    </row>
    <row r="353" customFormat="false" ht="11.25" hidden="false" customHeight="false" outlineLevel="0" collapsed="false">
      <c r="T353" s="13"/>
    </row>
    <row r="354" customFormat="false" ht="12.65" hidden="false" customHeight="false" outlineLevel="0" collapsed="false">
      <c r="A354" s="61" t="s">
        <v>108</v>
      </c>
      <c r="T354" s="13"/>
    </row>
    <row r="355" customFormat="false" ht="12.65" hidden="false" customHeight="false" outlineLevel="0" collapsed="false">
      <c r="A355" s="23" t="str">
        <f aca="false">CONCATENATE(A354,". CO2 Emissions from Energy Use - ",A5," 1970 to 2050")</f>
        <v> Gráfico 9. Emissões de CO2 provenientes do uso de energia - BRISE 1970 a 2050</v>
      </c>
      <c r="T355" s="13"/>
    </row>
    <row r="356" customFormat="fals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  <c r="U356" s="103" t="s">
        <v>109</v>
      </c>
    </row>
    <row r="357" customFormat="false" ht="11.25" hidden="false" customHeight="false" outlineLevel="0" collapsed="false">
      <c r="A357" s="63" t="s">
        <v>110</v>
      </c>
      <c r="B357" s="62" t="n">
        <v>3509.85433333333</v>
      </c>
      <c r="C357" s="62" t="n">
        <v>4136.41066666667</v>
      </c>
      <c r="D357" s="62" t="n">
        <v>5198.446</v>
      </c>
      <c r="E357" s="62" t="n">
        <v>5733.29166666667</v>
      </c>
      <c r="F357" s="62" t="n">
        <v>6136.405</v>
      </c>
      <c r="G357" s="62" t="n">
        <v>5016.02566666667</v>
      </c>
      <c r="H357" s="62" t="n">
        <v>5319.50653666667</v>
      </c>
      <c r="I357" s="62" t="n">
        <v>6158.25466666667</v>
      </c>
      <c r="J357" s="62" t="n">
        <v>6953.42633333333</v>
      </c>
      <c r="K357" s="27" t="n">
        <f aca="false">K365*44/12</f>
        <v>7543.92092362998</v>
      </c>
      <c r="L357" s="27" t="n">
        <f aca="false">L365*44/12</f>
        <v>8444.62182464225</v>
      </c>
      <c r="M357" s="27" t="n">
        <f aca="false">M365*44/12</f>
        <v>9386.30029084409</v>
      </c>
      <c r="N357" s="27" t="n">
        <f aca="false">N365*44/12</f>
        <v>10452.3331345445</v>
      </c>
      <c r="O357" s="27" t="n">
        <f aca="false">O365*44/12</f>
        <v>10981.0657587705</v>
      </c>
      <c r="P357" s="27" t="n">
        <f aca="false">P365*44/12</f>
        <v>11301.4910605239</v>
      </c>
      <c r="Q357" s="27" t="n">
        <f aca="false">Q365*44/12</f>
        <v>10951.59257457</v>
      </c>
      <c r="R357" s="27" t="n">
        <f aca="false">R365*44/12</f>
        <v>10210.7456904499</v>
      </c>
      <c r="S357" s="28" t="str">
        <f aca="false"> EUA!S357</f>
        <v> MtCO2 / ano</v>
      </c>
      <c r="T357" s="13"/>
      <c r="U357" s="103" t="s">
        <v>85</v>
      </c>
    </row>
    <row r="358" customFormat="false" ht="11.25" hidden="false" customHeight="false" outlineLevel="0" collapsed="false">
      <c r="A358" s="63" t="str">
        <f aca="false">A250</f>
        <v> Consumo de energia</v>
      </c>
      <c r="B358" s="26" t="n">
        <f aca="false">B250</f>
        <v>974.257295728722</v>
      </c>
      <c r="C358" s="26" t="n">
        <f aca="false">C250</f>
        <v>1252.55481621956</v>
      </c>
      <c r="D358" s="26" t="n">
        <f aca="false">D250</f>
        <v>1513.44291162591</v>
      </c>
      <c r="E358" s="26" t="n">
        <f aca="false">E250</f>
        <v>1755.0632578304</v>
      </c>
      <c r="F358" s="26" t="n">
        <f aca="false">F250</f>
        <v>2014.75968663352</v>
      </c>
      <c r="G358" s="26" t="n">
        <f aca="false">G250</f>
        <v>1916.28704391056</v>
      </c>
      <c r="H358" s="26" t="n">
        <f aca="false">H250</f>
        <v>2107.99028568761</v>
      </c>
      <c r="I358" s="26" t="n">
        <f aca="false">I250</f>
        <v>2446.12755383369</v>
      </c>
      <c r="J358" s="26" t="n">
        <f aca="false">J250</f>
        <v>2868.86433874046</v>
      </c>
      <c r="K358" s="27" t="n">
        <f aca="false">K250</f>
        <v>3084.4068009347</v>
      </c>
      <c r="L358" s="27" t="n">
        <f aca="false">L250</f>
        <v>3504.88653843707</v>
      </c>
      <c r="M358" s="27" t="n">
        <f aca="false">M250</f>
        <v>4018.6443423738</v>
      </c>
      <c r="N358" s="27" t="n">
        <f aca="false">N250</f>
        <v>4566.93210584447</v>
      </c>
      <c r="O358" s="27" t="n">
        <f aca="false">O250</f>
        <v>5018.15960202166</v>
      </c>
      <c r="P358" s="27" t="n">
        <f aca="false">P250</f>
        <v>5377.58993085209</v>
      </c>
      <c r="Q358" s="27" t="n">
        <f aca="false">Q250</f>
        <v>5567.2498609257</v>
      </c>
      <c r="R358" s="27" t="n">
        <f aca="false">R250</f>
        <v>5623.62707470723</v>
      </c>
      <c r="S358" s="28" t="str">
        <f aca="false"> EUA!S358</f>
        <v> Mtoe / ano</v>
      </c>
      <c r="T358" s="13"/>
    </row>
    <row r="359" customFormat="false" ht="11.25" hidden="false" customHeight="false" outlineLevel="0" collapsed="false">
      <c r="A359" s="63" t="str">
        <f aca="false">A134</f>
        <v> PIB BRISE</v>
      </c>
      <c r="B359" s="133" t="n">
        <f aca="false">B134</f>
        <v>2.26288153734802</v>
      </c>
      <c r="C359" s="133" t="n">
        <f aca="false">C134</f>
        <v>3.06826085885806</v>
      </c>
      <c r="D359" s="133" t="n">
        <f aca="false">D134</f>
        <v>3.75602211487522</v>
      </c>
      <c r="E359" s="133" t="n">
        <f aca="false">E134</f>
        <v>4.23539372476216</v>
      </c>
      <c r="F359" s="133" t="n">
        <f aca="false">F134</f>
        <v>7.25798347246539</v>
      </c>
      <c r="G359" s="133" t="n">
        <f aca="false">G134</f>
        <v>7.9310519704096</v>
      </c>
      <c r="H359" s="133" t="n">
        <f aca="false">H134</f>
        <v>9.15809822694889</v>
      </c>
      <c r="I359" s="133" t="n">
        <f aca="false">I134</f>
        <v>11.8988884038997</v>
      </c>
      <c r="J359" s="133" t="n">
        <f aca="false">J134</f>
        <v>14.214501432721</v>
      </c>
      <c r="K359" s="134" t="n">
        <f aca="false">K134</f>
        <v>16.0868001426396</v>
      </c>
      <c r="L359" s="134" t="n">
        <f aca="false">L134</f>
        <v>19.2419185669771</v>
      </c>
      <c r="M359" s="134" t="n">
        <f aca="false">M134</f>
        <v>23.223644546004</v>
      </c>
      <c r="N359" s="134" t="n">
        <f aca="false">N134</f>
        <v>27.7812481434226</v>
      </c>
      <c r="O359" s="134" t="n">
        <f aca="false">O134</f>
        <v>32.1327624197604</v>
      </c>
      <c r="P359" s="134" t="n">
        <f aca="false">P134</f>
        <v>36.246632932992</v>
      </c>
      <c r="Q359" s="134" t="n">
        <f aca="false">Q134</f>
        <v>39.5</v>
      </c>
      <c r="R359" s="134" t="n">
        <f aca="false">R134</f>
        <v>42</v>
      </c>
      <c r="S359" s="28" t="str">
        <f aca="false"> EUA!S359</f>
        <v> T$ / ano</v>
      </c>
      <c r="T359" s="13"/>
    </row>
    <row r="360" customFormat="false" ht="11.25" hidden="false" customHeight="false" outlineLevel="0" collapsed="false">
      <c r="A360" s="63" t="s">
        <v>112</v>
      </c>
      <c r="B360" s="135" t="n">
        <f aca="false">B255</f>
        <v>5.12354630457706</v>
      </c>
      <c r="C360" s="135" t="n">
        <f aca="false">C255</f>
        <v>5.19437910222285</v>
      </c>
      <c r="D360" s="135" t="n">
        <f aca="false">D255</f>
        <v>6.13398144714488</v>
      </c>
      <c r="E360" s="135" t="n">
        <f aca="false">E255</f>
        <v>6.39973535995679</v>
      </c>
      <c r="F360" s="135" t="n">
        <f aca="false">F255</f>
        <v>6.60120326994177</v>
      </c>
      <c r="G360" s="135" t="n">
        <f aca="false">G255</f>
        <v>8.3614798338943</v>
      </c>
      <c r="H360" s="135" t="n">
        <f aca="false">H255</f>
        <v>8.60036173694356</v>
      </c>
      <c r="I360" s="135" t="n">
        <f aca="false">I255</f>
        <v>8.60249321115791</v>
      </c>
      <c r="J360" s="135" t="n">
        <f aca="false">J255</f>
        <v>8.801099887543</v>
      </c>
      <c r="K360" s="136" t="n">
        <f aca="false">K255</f>
        <v>10.5</v>
      </c>
      <c r="L360" s="136" t="n">
        <f aca="false">L255</f>
        <v>12</v>
      </c>
      <c r="M360" s="136" t="n">
        <f aca="false">M255</f>
        <v>15</v>
      </c>
      <c r="N360" s="136" t="n">
        <f aca="false">N255</f>
        <v>18</v>
      </c>
      <c r="O360" s="136" t="n">
        <f aca="false">O255</f>
        <v>22</v>
      </c>
      <c r="P360" s="136" t="n">
        <f aca="false">P255</f>
        <v>26</v>
      </c>
      <c r="Q360" s="136" t="n">
        <f aca="false">Q255</f>
        <v>31</v>
      </c>
      <c r="R360" s="136" t="n">
        <f aca="false">R255</f>
        <v>37</v>
      </c>
      <c r="S360" s="28" t="str">
        <f aca="false"> EUA!S360</f>
        <v> %</v>
      </c>
      <c r="T360" s="13"/>
    </row>
    <row r="361" customFormat="false" ht="11.25" hidden="false" customHeight="false" outlineLevel="0" collapsed="false">
      <c r="A361" s="63" t="s">
        <v>113</v>
      </c>
      <c r="B361" s="75" t="n">
        <f aca="false">B357/B358</f>
        <v>3.60259486761969</v>
      </c>
      <c r="C361" s="75" t="n">
        <f aca="false">C357/C358</f>
        <v>3.30237895627683</v>
      </c>
      <c r="D361" s="75" t="n">
        <f aca="false">D357/D358</f>
        <v>3.43484776337897</v>
      </c>
      <c r="E361" s="75" t="n">
        <f aca="false">E357/E358</f>
        <v>3.26671511188384</v>
      </c>
      <c r="F361" s="75" t="n">
        <f aca="false">F357/F358</f>
        <v>3.04572552285547</v>
      </c>
      <c r="G361" s="75" t="n">
        <f aca="false">G357/G358</f>
        <v>2.61757531712498</v>
      </c>
      <c r="H361" s="75" t="n">
        <f aca="false">H357/H358</f>
        <v>2.52349670336905</v>
      </c>
      <c r="I361" s="75" t="n">
        <f aca="false">I357/I358</f>
        <v>2.51755255240683</v>
      </c>
      <c r="J361" s="75" t="n">
        <f aca="false">J357/J358</f>
        <v>2.42375571386765</v>
      </c>
      <c r="K361" s="75" t="n">
        <f aca="false">K357/K358</f>
        <v>2.44582553810472</v>
      </c>
      <c r="L361" s="75" t="n">
        <f aca="false">L357/L358</f>
        <v>2.40938522032954</v>
      </c>
      <c r="M361" s="75" t="n">
        <f aca="false">M357/M358</f>
        <v>2.33568822995161</v>
      </c>
      <c r="N361" s="75" t="n">
        <f aca="false">N357/N358</f>
        <v>2.28869904178525</v>
      </c>
      <c r="O361" s="75" t="n">
        <f aca="false">O357/O358</f>
        <v>2.18826554546941</v>
      </c>
      <c r="P361" s="75" t="n">
        <f aca="false">P357/P358</f>
        <v>2.10159034174127</v>
      </c>
      <c r="Q361" s="75" t="n">
        <f aca="false">Q357/Q358</f>
        <v>1.96714587060927</v>
      </c>
      <c r="R361" s="75" t="n">
        <f aca="false">R357/R358</f>
        <v>1.81568684317168</v>
      </c>
      <c r="S361" s="28" t="str">
        <f aca="false"> EUA!S361</f>
        <v> tCO2 / dedo do pé</v>
      </c>
      <c r="T361" s="13"/>
    </row>
    <row r="362" customFormat="false" ht="11.25" hidden="false" customHeight="false" outlineLevel="0" collapsed="false">
      <c r="A362" s="63" t="s">
        <v>115</v>
      </c>
      <c r="K362" s="27" t="n">
        <f aca="false">K242*$D$375</f>
        <v>784.81529945373</v>
      </c>
      <c r="L362" s="27" t="n">
        <f aca="false">L242*$D$375</f>
        <v>808.198037707534</v>
      </c>
      <c r="M362" s="27" t="n">
        <f aca="false">M242*$D$375</f>
        <v>878.735347051429</v>
      </c>
      <c r="N362" s="27" t="n">
        <f aca="false">N242*$D$375</f>
        <v>944.155948254608</v>
      </c>
      <c r="O362" s="27" t="n">
        <f aca="false">O242*$D$375</f>
        <v>957.638377071509</v>
      </c>
      <c r="P362" s="27" t="n">
        <f aca="false">P242*$D$375</f>
        <v>919.331142628513</v>
      </c>
      <c r="Q362" s="27" t="n">
        <f aca="false">Q242*$D$375</f>
        <v>841.085497003321</v>
      </c>
      <c r="R362" s="27" t="n">
        <f aca="false">R242*$D$375</f>
        <v>760.170942861229</v>
      </c>
      <c r="S362" s="28" t="str">
        <f aca="false"> EUA!S362</f>
        <v> MtC / ano</v>
      </c>
      <c r="T362" s="13"/>
      <c r="U362" s="41"/>
      <c r="V362" s="41"/>
      <c r="W362" s="41"/>
      <c r="X362" s="41"/>
      <c r="Y362" s="41"/>
    </row>
    <row r="363" customFormat="false" ht="11.25" hidden="false" customHeight="false" outlineLevel="0" collapsed="false">
      <c r="A363" s="63" t="s">
        <v>117</v>
      </c>
      <c r="K363" s="27" t="n">
        <f aca="false">K243*$C$375</f>
        <v>602.376081874972</v>
      </c>
      <c r="L363" s="27" t="n">
        <f aca="false">L243*$C$375</f>
        <v>714.692898284262</v>
      </c>
      <c r="M363" s="27" t="n">
        <f aca="false">M243*$C$375</f>
        <v>807.91331667186</v>
      </c>
      <c r="N363" s="27" t="n">
        <f aca="false">N243*$C$375</f>
        <v>865.676534244676</v>
      </c>
      <c r="O363" s="27" t="n">
        <f aca="false">O243*$C$375</f>
        <v>893.559165656065</v>
      </c>
      <c r="P363" s="27" t="n">
        <f aca="false">P243*$C$375</f>
        <v>880.338493551587</v>
      </c>
      <c r="Q363" s="27" t="n">
        <f aca="false">Q243*$C$375</f>
        <v>847.429810311541</v>
      </c>
      <c r="R363" s="27" t="n">
        <f aca="false">R243*$C$375</f>
        <v>742.953271481156</v>
      </c>
      <c r="S363" s="28" t="str">
        <f aca="false"> EUA!S363</f>
        <v> MtC / ano</v>
      </c>
      <c r="T363" s="13"/>
      <c r="U363" s="41"/>
      <c r="V363" s="41"/>
      <c r="W363" s="41"/>
      <c r="X363" s="41"/>
      <c r="Y363" s="41"/>
    </row>
    <row r="364" customFormat="false" ht="11.25" hidden="false" customHeight="false" outlineLevel="0" collapsed="false">
      <c r="A364" s="63" t="s">
        <v>118</v>
      </c>
      <c r="K364" s="27" t="n">
        <f aca="false">K244*$E$375</f>
        <v>670.24159784311</v>
      </c>
      <c r="L364" s="27" t="n">
        <f aca="false">L244*$E$375</f>
        <v>780.187743456092</v>
      </c>
      <c r="M364" s="27" t="n">
        <f aca="false">M244*$E$375</f>
        <v>873.251415597826</v>
      </c>
      <c r="N364" s="27" t="n">
        <f aca="false">N244*$E$375</f>
        <v>1040.80382692196</v>
      </c>
      <c r="O364" s="27" t="n">
        <f aca="false">O244*$E$375</f>
        <v>1143.63857330074</v>
      </c>
      <c r="P364" s="27" t="n">
        <f aca="false">P244*$E$375</f>
        <v>1282.55519850822</v>
      </c>
      <c r="Q364" s="27" t="n">
        <f aca="false">Q244*$E$375</f>
        <v>1298.28266756787</v>
      </c>
      <c r="R364" s="27" t="n">
        <f aca="false">R244*$E$375</f>
        <v>1281.62461032578</v>
      </c>
      <c r="S364" s="28" t="str">
        <f aca="false"> EUA!S364</f>
        <v> MtC / ano</v>
      </c>
      <c r="T364" s="13"/>
      <c r="U364" s="41"/>
      <c r="V364" s="41"/>
      <c r="W364" s="41"/>
      <c r="X364" s="41"/>
      <c r="Y364" s="41"/>
    </row>
    <row r="365" customFormat="false" ht="11.25" hidden="false" customHeight="false" outlineLevel="0" collapsed="false">
      <c r="A365" s="63" t="s">
        <v>119</v>
      </c>
      <c r="K365" s="27" t="n">
        <f aca="false">SUM(K362:K364)</f>
        <v>2057.43297917181</v>
      </c>
      <c r="L365" s="27" t="n">
        <f aca="false">SUM(L362:L364)</f>
        <v>2303.07867944789</v>
      </c>
      <c r="M365" s="27" t="n">
        <f aca="false">SUM(M362:M364)</f>
        <v>2559.90007932111</v>
      </c>
      <c r="N365" s="27" t="n">
        <f aca="false">SUM(N362:N364)</f>
        <v>2850.63630942124</v>
      </c>
      <c r="O365" s="27" t="n">
        <f aca="false">SUM(O362:O364)</f>
        <v>2994.83611602831</v>
      </c>
      <c r="P365" s="27" t="n">
        <f aca="false">SUM(P362:P364)</f>
        <v>3082.22483468833</v>
      </c>
      <c r="Q365" s="27" t="n">
        <f aca="false">SUM(Q362:Q364)</f>
        <v>2986.79797488274</v>
      </c>
      <c r="R365" s="27" t="n">
        <f aca="false">SUM(R362:R364)</f>
        <v>2784.74882466816</v>
      </c>
      <c r="S365" s="28" t="str">
        <f aca="false"> EUA!S365</f>
        <v> MtC / ano</v>
      </c>
      <c r="T365" s="13"/>
      <c r="U365" s="41"/>
      <c r="V365" s="41"/>
      <c r="W365" s="41"/>
      <c r="X365" s="41"/>
      <c r="Y365" s="41"/>
    </row>
    <row r="366" customFormat="false" ht="12.65" hidden="false" customHeight="false" outlineLevel="0" collapsed="false">
      <c r="A366" s="23" t="s">
        <v>7</v>
      </c>
      <c r="S366" s="41"/>
      <c r="T366" s="13"/>
      <c r="U366" s="41"/>
      <c r="V366" s="41"/>
      <c r="W366" s="41"/>
      <c r="X366" s="41"/>
      <c r="Y366" s="41"/>
    </row>
    <row r="367" s="3" customFormat="true" ht="11.25" hidden="false" customHeight="false" outlineLevel="0" collapsed="false">
      <c r="B367" s="24" t="n">
        <v>1970</v>
      </c>
      <c r="C367" s="24" t="n">
        <v>1975</v>
      </c>
      <c r="D367" s="24" t="n">
        <v>1980</v>
      </c>
      <c r="E367" s="24" t="n">
        <v>1985</v>
      </c>
      <c r="F367" s="24" t="n">
        <v>1990</v>
      </c>
      <c r="G367" s="24" t="n">
        <v>1995</v>
      </c>
      <c r="H367" s="24" t="n">
        <v>2000</v>
      </c>
      <c r="I367" s="24" t="n">
        <v>2005</v>
      </c>
      <c r="J367" s="24" t="n">
        <v>2010</v>
      </c>
      <c r="K367" s="24" t="n">
        <v>2015</v>
      </c>
      <c r="L367" s="24" t="n">
        <v>2020</v>
      </c>
      <c r="M367" s="24" t="n">
        <v>2025</v>
      </c>
      <c r="N367" s="24" t="n">
        <v>2030</v>
      </c>
      <c r="O367" s="24" t="n">
        <v>2035</v>
      </c>
      <c r="P367" s="24" t="n">
        <v>2040</v>
      </c>
      <c r="Q367" s="24" t="n">
        <v>2045</v>
      </c>
      <c r="R367" s="24" t="n">
        <v>2050</v>
      </c>
      <c r="S367" s="25" t="s">
        <v>15</v>
      </c>
      <c r="T367" s="13"/>
      <c r="U367" s="41"/>
      <c r="V367" s="41"/>
      <c r="W367" s="41"/>
      <c r="X367" s="41"/>
      <c r="Y367" s="41"/>
    </row>
    <row r="368" s="3" customFormat="true" ht="11.25" hidden="false" customHeight="false" outlineLevel="0" collapsed="false">
      <c r="G368" s="8"/>
      <c r="H368" s="8"/>
      <c r="I368" s="8"/>
      <c r="J368" s="37" t="str">
        <f aca="false">CONCATENATE(A357," Your forecast")</f>
        <v> Emissões de CO2: Sua previsão</v>
      </c>
      <c r="K368" s="84" t="n">
        <f aca="false">K373/12*44</f>
        <v>7543.92092362998</v>
      </c>
      <c r="L368" s="84" t="n">
        <f aca="false">L373/12*44</f>
        <v>8336.1576333769</v>
      </c>
      <c r="M368" s="84" t="n">
        <f aca="false">M373/12*44</f>
        <v>9222.52148524144</v>
      </c>
      <c r="N368" s="84" t="n">
        <f aca="false">N373/12*44</f>
        <v>10212.9568539332</v>
      </c>
      <c r="O368" s="84" t="n">
        <f aca="false">O373/12*44</f>
        <v>10687.2305743155</v>
      </c>
      <c r="P368" s="84" t="n">
        <f aca="false">P373/12*44</f>
        <v>10958.8376063802</v>
      </c>
      <c r="Q368" s="84" t="n">
        <f aca="false">Q373/12*44</f>
        <v>10601.8445904912</v>
      </c>
      <c r="R368" s="84" t="n">
        <f aca="false">R373/12*44</f>
        <v>9880.24959568726</v>
      </c>
      <c r="S368" s="28" t="str">
        <f aca="false"> EUA!S368</f>
        <v> MtCO2 / ano</v>
      </c>
      <c r="T368" s="13"/>
      <c r="U368" s="41"/>
      <c r="V368" s="41"/>
      <c r="W368" s="41"/>
      <c r="X368" s="41"/>
      <c r="Y368" s="41"/>
    </row>
    <row r="369" s="3" customFormat="true" ht="11.25" hidden="false" customHeight="false" outlineLevel="0" collapsed="false">
      <c r="G369" s="8"/>
      <c r="H369" s="8"/>
      <c r="I369" s="8"/>
      <c r="J369" s="37" t="str">
        <f aca="false">CONCATENATE(A361," Your forecast")</f>
        <v> Intensidade climática Sua previsão</v>
      </c>
      <c r="K369" s="137" t="n">
        <f aca="false">K368/K266</f>
        <v>2.44582553810472</v>
      </c>
      <c r="L369" s="137" t="n">
        <f aca="false">L368/L266</f>
        <v>2.43893084925629</v>
      </c>
      <c r="M369" s="137" t="n">
        <f aca="false">M368/M266</f>
        <v>2.36670779868591</v>
      </c>
      <c r="N369" s="137" t="n">
        <f aca="false">N368/N266</f>
        <v>2.32065839428288</v>
      </c>
      <c r="O369" s="137" t="n">
        <f aca="false">O368/O266</f>
        <v>2.22223356789335</v>
      </c>
      <c r="P369" s="137" t="n">
        <f aca="false">P368/P266</f>
        <v>2.13729186823978</v>
      </c>
      <c r="Q369" s="137" t="n">
        <f aca="false">Q368/Q266</f>
        <v>2.00553628653042</v>
      </c>
      <c r="R369" s="137" t="n">
        <f aca="false">R368/R266</f>
        <v>1.85710643964158</v>
      </c>
      <c r="S369" s="28" t="str">
        <f aca="false"> EUA!S369</f>
        <v> tCO2 / dedo do pé</v>
      </c>
      <c r="T369" s="13"/>
      <c r="U369" s="41"/>
      <c r="V369" s="41"/>
      <c r="W369" s="41"/>
      <c r="X369" s="41"/>
      <c r="Y369" s="41"/>
    </row>
    <row r="370" s="3" customFormat="true" ht="11.25" hidden="false" customHeight="false" outlineLevel="0" collapsed="false">
      <c r="G370" s="8"/>
      <c r="H370" s="8"/>
      <c r="I370" s="8"/>
      <c r="J370" s="37" t="str">
        <f aca="false">CONCATENATE(A362," Your forecast")</f>
        <v> Emissões de CO2 provenientes do petróleo: Sua previsão</v>
      </c>
      <c r="K370" s="84" t="n">
        <f aca="false">K261*$D$375</f>
        <v>784.81529945373</v>
      </c>
      <c r="L370" s="84" t="n">
        <f aca="false">L261*$D$375</f>
        <v>772.389453888957</v>
      </c>
      <c r="M370" s="84" t="n">
        <f aca="false">M261*$D$375</f>
        <v>835.044526517192</v>
      </c>
      <c r="N370" s="84" t="n">
        <f aca="false">N261*$D$375</f>
        <v>891.631771090444</v>
      </c>
      <c r="O370" s="84" t="n">
        <f aca="false">O261*$D$375</f>
        <v>899.411887915696</v>
      </c>
      <c r="P370" s="84" t="n">
        <f aca="false">P261*$D$375</f>
        <v>859.03532664545</v>
      </c>
      <c r="Q370" s="84" t="n">
        <f aca="false">Q261*$D$375</f>
        <v>782.665907483814</v>
      </c>
      <c r="R370" s="84" t="n">
        <f aca="false">R261*$D$375</f>
        <v>704.777364687264</v>
      </c>
      <c r="S370" s="28" t="str">
        <f aca="false"> EUA!S370</f>
        <v> MtC / ano</v>
      </c>
      <c r="T370" s="13"/>
      <c r="U370" s="41"/>
      <c r="V370" s="41"/>
      <c r="W370" s="41"/>
      <c r="X370" s="41"/>
      <c r="Y370" s="41"/>
    </row>
    <row r="371" s="3" customFormat="true" ht="11.25" hidden="false" customHeight="false" outlineLevel="0" collapsed="false">
      <c r="G371" s="8"/>
      <c r="H371" s="8"/>
      <c r="I371" s="8"/>
      <c r="J371" s="37" t="str">
        <f aca="false">CONCATENATE(A363," Your forecast")</f>
        <v> Emissões de CO2 provenientes do gás: Sua previsão</v>
      </c>
      <c r="K371" s="84" t="n">
        <f aca="false">K262*$C$375</f>
        <v>602.376081874972</v>
      </c>
      <c r="L371" s="84" t="n">
        <f aca="false">L262*$C$375</f>
        <v>683.027218143109</v>
      </c>
      <c r="M371" s="84" t="n">
        <f aca="false">M262*$C$375</f>
        <v>767.743775473394</v>
      </c>
      <c r="N371" s="84" t="n">
        <f aca="false">N262*$C$375</f>
        <v>817.518231862975</v>
      </c>
      <c r="O371" s="84" t="n">
        <f aca="false">O262*$C$375</f>
        <v>839.228831455951</v>
      </c>
      <c r="P371" s="84" t="n">
        <f aca="false">P262*$C$375</f>
        <v>822.600073358154</v>
      </c>
      <c r="Q371" s="84" t="n">
        <f aca="false">Q262*$C$375</f>
        <v>788.569561452918</v>
      </c>
      <c r="R371" s="84" t="n">
        <f aca="false">R262*$C$375</f>
        <v>688.814343244185</v>
      </c>
      <c r="S371" s="28" t="str">
        <f aca="false"> EUA!S371</f>
        <v> MtC / ano</v>
      </c>
      <c r="T371" s="13"/>
      <c r="V371" s="41"/>
      <c r="W371" s="41"/>
      <c r="X371" s="41"/>
      <c r="Y371" s="41"/>
    </row>
    <row r="372" s="3" customFormat="true" ht="11.25" hidden="false" customHeight="false" outlineLevel="0" collapsed="false">
      <c r="G372" s="8"/>
      <c r="H372" s="8"/>
      <c r="I372" s="8"/>
      <c r="J372" s="37" t="str">
        <f aca="false">CONCATENATE(A364," Your forecast")</f>
        <v> Emissões de CO2 provenientes do carvão: Sua previsão</v>
      </c>
      <c r="K372" s="84" t="n">
        <f aca="false">K263*$E$375</f>
        <v>670.24159784311</v>
      </c>
      <c r="L372" s="84" t="n">
        <f aca="false">L263*$E$375</f>
        <v>818.080864343453</v>
      </c>
      <c r="M372" s="84" t="n">
        <f aca="false">M263*$E$375</f>
        <v>912.444830347989</v>
      </c>
      <c r="N372" s="84" t="n">
        <f aca="false">N263*$E$375</f>
        <v>1076.2018663011</v>
      </c>
      <c r="O372" s="84" t="n">
        <f aca="false">O263*$E$375</f>
        <v>1176.05852816893</v>
      </c>
      <c r="P372" s="84" t="n">
        <f aca="false">P263*$E$375</f>
        <v>1307.13849264553</v>
      </c>
      <c r="Q372" s="84" t="n">
        <f aca="false">Q263*$E$375</f>
        <v>1320.17669210631</v>
      </c>
      <c r="R372" s="84" t="n">
        <f aca="false">R263*$E$375</f>
        <v>1301.02181816508</v>
      </c>
      <c r="S372" s="28" t="str">
        <f aca="false"> EUA!S372</f>
        <v> MtC / ano</v>
      </c>
      <c r="T372" s="13"/>
      <c r="V372" s="41"/>
      <c r="W372" s="41"/>
      <c r="X372" s="41"/>
      <c r="Y372" s="41"/>
    </row>
    <row r="373" s="3" customFormat="true" ht="11.25" hidden="false" customHeight="false" outlineLevel="0" collapsed="false">
      <c r="F373" s="8"/>
      <c r="G373" s="8"/>
      <c r="H373" s="8"/>
      <c r="I373" s="8"/>
      <c r="J373" s="37" t="str">
        <f aca="false">CONCATENATE(A365," Your forecast")</f>
        <v> Emissões de CO2 provenientes de carvão, petróleo e gás: sua previsão</v>
      </c>
      <c r="K373" s="84" t="n">
        <f aca="false">SUM(K370:K372)</f>
        <v>2057.43297917181</v>
      </c>
      <c r="L373" s="84" t="n">
        <f aca="false">SUM(L370:L372)</f>
        <v>2273.49753637552</v>
      </c>
      <c r="M373" s="84" t="n">
        <f aca="false">SUM(M370:M372)</f>
        <v>2515.23313233858</v>
      </c>
      <c r="N373" s="84" t="n">
        <f aca="false">SUM(N370:N372)</f>
        <v>2785.35186925451</v>
      </c>
      <c r="O373" s="84" t="n">
        <f aca="false">SUM(O370:O372)</f>
        <v>2914.69924754058</v>
      </c>
      <c r="P373" s="84" t="n">
        <f aca="false">SUM(P370:P372)</f>
        <v>2988.77389264914</v>
      </c>
      <c r="Q373" s="84" t="n">
        <f aca="false">SUM(Q370:Q372)</f>
        <v>2891.41216104304</v>
      </c>
      <c r="R373" s="84" t="n">
        <f aca="false">SUM(R370:R372)</f>
        <v>2694.61352609653</v>
      </c>
      <c r="S373" s="28" t="str">
        <f aca="false"> EUA!S373</f>
        <v> MtC / ano</v>
      </c>
      <c r="T373" s="13"/>
      <c r="V373" s="41"/>
      <c r="W373" s="41"/>
      <c r="X373" s="15" t="s">
        <v>33</v>
      </c>
      <c r="Y373" s="41"/>
    </row>
    <row r="374" customFormat="false" ht="11.25" hidden="false" customHeight="false" outlineLevel="0" collapsed="false">
      <c r="C374" s="15" t="s">
        <v>120</v>
      </c>
      <c r="D374" s="15" t="s">
        <v>121</v>
      </c>
      <c r="E374" s="15" t="s">
        <v>122</v>
      </c>
      <c r="S374" s="41"/>
      <c r="T374" s="13"/>
      <c r="V374" s="3" t="s">
        <v>35</v>
      </c>
    </row>
    <row r="375" customFormat="false" ht="28.3" hidden="false" customHeight="false" outlineLevel="0" collapsed="false">
      <c r="B375" s="15" t="s">
        <v>123</v>
      </c>
      <c r="C375" s="32" t="n">
        <v>0.574403596153046</v>
      </c>
      <c r="D375" s="32" t="n">
        <v>0.795144080881188</v>
      </c>
      <c r="E375" s="32" t="n">
        <v>1.06</v>
      </c>
      <c r="F375" s="3" t="s">
        <v>124</v>
      </c>
      <c r="H375" s="153" t="str">
        <f aca="false"> EUA!H375</f>
        <v> Unidades: tC / dedo do pé</v>
      </c>
      <c r="S375" s="41"/>
      <c r="T375" s="13"/>
      <c r="U375" s="55" t="s">
        <v>37</v>
      </c>
      <c r="V375" s="54" t="s">
        <v>38</v>
      </c>
      <c r="W375" s="54" t="s">
        <v>39</v>
      </c>
      <c r="X375" s="55"/>
      <c r="Y375" s="55"/>
    </row>
    <row r="376" s="3" customFormat="true" ht="11.25" hidden="false" customHeight="false" outlineLevel="0" collapsed="false">
      <c r="T376" s="13"/>
      <c r="U376" s="15" t="str">
        <f aca="false">AA381</f>
        <v>Emissões de CO2 (0 - 13 MtCO2 / ano)</v>
      </c>
      <c r="V376" s="25" t="n">
        <v>13000</v>
      </c>
      <c r="W376" s="70" t="n">
        <f aca="false">W380</f>
        <v>13000</v>
      </c>
    </row>
    <row r="377" s="3" customFormat="true" ht="11.25" hidden="false" customHeight="false" outlineLevel="0" collapsed="false">
      <c r="T377" s="13"/>
      <c r="U377" s="15" t="str">
        <f aca="false">AA382</f>
        <v> Consumo de energia (0 - 7 Mtoe / ano)</v>
      </c>
      <c r="V377" s="25" t="n">
        <v>7000</v>
      </c>
      <c r="W377" s="70" t="n">
        <f aca="false">W381</f>
        <v>7000</v>
      </c>
    </row>
    <row r="378" s="3" customFormat="true" ht="11.25" hidden="false" customHeight="false" outlineLevel="0" collapsed="false">
      <c r="T378" s="13"/>
      <c r="U378" s="15" t="str">
        <f aca="false">AA383</f>
        <v> Intensidade climática (0 - 4 tCO2 / toe)</v>
      </c>
      <c r="V378" s="25" t="n">
        <v>4</v>
      </c>
      <c r="W378" s="70" t="n">
        <f aca="false">W382</f>
        <v>4</v>
      </c>
    </row>
    <row r="379" s="3" customFormat="true" ht="11.25" hidden="false" customHeight="false" outlineLevel="0" collapsed="false">
      <c r="T379" s="13"/>
      <c r="U379" s="15" t="str">
        <f aca="false">AA384</f>
        <v> Fração renovável (0 - 50%)</v>
      </c>
      <c r="V379" s="25" t="n">
        <v>50</v>
      </c>
      <c r="W379" s="70" t="n">
        <f aca="false">W383</f>
        <v>50</v>
      </c>
      <c r="AA379" s="52" t="s">
        <v>36</v>
      </c>
    </row>
    <row r="380" s="3" customFormat="true" ht="15" hidden="false" customHeight="false" outlineLevel="0" collapsed="false">
      <c r="T380" s="13"/>
      <c r="U380" s="37" t="str">
        <f aca="false">AA386</f>
        <v> Emissões de CO2 (0 - 13 MtCO2/ano), sua previsão</v>
      </c>
      <c r="W380" s="4" t="n">
        <v>13000</v>
      </c>
      <c r="AA380" s="16"/>
      <c r="AB380" s="24" t="n">
        <v>1970</v>
      </c>
      <c r="AC380" s="24" t="n">
        <v>1975</v>
      </c>
      <c r="AD380" s="24" t="n">
        <v>1980</v>
      </c>
      <c r="AE380" s="24" t="n">
        <v>1985</v>
      </c>
      <c r="AF380" s="24" t="n">
        <v>1990</v>
      </c>
      <c r="AG380" s="24" t="n">
        <v>1995</v>
      </c>
      <c r="AH380" s="24" t="n">
        <v>2000</v>
      </c>
      <c r="AI380" s="24" t="n">
        <v>2005</v>
      </c>
      <c r="AJ380" s="24" t="n">
        <v>2010</v>
      </c>
      <c r="AK380" s="24" t="n">
        <v>2015</v>
      </c>
      <c r="AL380" s="24" t="n">
        <v>2020</v>
      </c>
      <c r="AM380" s="24" t="n">
        <v>2025</v>
      </c>
      <c r="AN380" s="24" t="n">
        <v>2030</v>
      </c>
      <c r="AO380" s="24" t="n">
        <v>2035</v>
      </c>
      <c r="AP380" s="24" t="n">
        <v>2040</v>
      </c>
      <c r="AQ380" s="24" t="n">
        <v>2045</v>
      </c>
      <c r="AR380" s="24" t="n">
        <v>2050</v>
      </c>
    </row>
    <row r="381" s="3" customFormat="true" ht="11.25" hidden="false" customHeight="false" outlineLevel="0" collapsed="false">
      <c r="T381" s="13"/>
      <c r="U381" s="37" t="str">
        <f aca="false">AA387</f>
        <v> Consumo de energia (0 - 7 Mtoe/ano), sua previsão</v>
      </c>
      <c r="W381" s="4" t="n">
        <v>7000</v>
      </c>
      <c r="AA381" s="29" t="str">
        <f aca="false">CONCATENATE(A357," (0 - ",W376/1000," MtCO2 / yr)")</f>
        <v> Emissões de CO2 (0 - 13 MtCO2 / ano)</v>
      </c>
      <c r="AB381" s="57" t="n">
        <f aca="false">B357/$W376</f>
        <v>0.269988794871795</v>
      </c>
      <c r="AC381" s="57" t="n">
        <f aca="false">C357/$W376</f>
        <v>0.318185435897436</v>
      </c>
      <c r="AD381" s="57" t="n">
        <f aca="false">D357/$W376</f>
        <v>0.399880461538462</v>
      </c>
      <c r="AE381" s="57" t="n">
        <f aca="false">E357/$W376</f>
        <v>0.441022435897436</v>
      </c>
      <c r="AF381" s="57" t="n">
        <f aca="false">F357/$W376</f>
        <v>0.472031153846154</v>
      </c>
      <c r="AG381" s="57" t="n">
        <f aca="false">G357/$W376</f>
        <v>0.385848128205128</v>
      </c>
      <c r="AH381" s="57" t="n">
        <f aca="false">H357/$W376</f>
        <v>0.409192810512821</v>
      </c>
      <c r="AI381" s="57" t="n">
        <f aca="false">I357/$W376</f>
        <v>0.473711897435897</v>
      </c>
      <c r="AJ381" s="57" t="n">
        <f aca="false">J357/$W376</f>
        <v>0.534878948717949</v>
      </c>
      <c r="AK381" s="57" t="n">
        <f aca="false">K357/$W376</f>
        <v>0.580301609509998</v>
      </c>
      <c r="AL381" s="57" t="n">
        <f aca="false">L357/$W376</f>
        <v>0.64958629420325</v>
      </c>
      <c r="AM381" s="57" t="n">
        <f aca="false">M357/$W376</f>
        <v>0.722023099295699</v>
      </c>
      <c r="AN381" s="57" t="n">
        <f aca="false">N357/$W376</f>
        <v>0.804025625734196</v>
      </c>
      <c r="AO381" s="57" t="n">
        <f aca="false">O357/$W376</f>
        <v>0.844697366059267</v>
      </c>
      <c r="AP381" s="57" t="n">
        <f aca="false">P357/$W376</f>
        <v>0.869345466194143</v>
      </c>
      <c r="AQ381" s="57" t="n">
        <f aca="false">Q357/$W376</f>
        <v>0.842430198043849</v>
      </c>
      <c r="AR381" s="57" t="n">
        <f aca="false">R357/$W376</f>
        <v>0.785441976188456</v>
      </c>
    </row>
    <row r="382" s="3" customFormat="true" ht="11.25" hidden="false" customHeight="false" outlineLevel="0" collapsed="false">
      <c r="T382" s="13"/>
      <c r="U382" s="37" t="str">
        <f aca="false">AA388</f>
        <v> Intensidade climática (0 - 4 tCO2/tep), Sua previsão</v>
      </c>
      <c r="W382" s="4" t="n">
        <v>4</v>
      </c>
      <c r="AA382" s="29" t="str">
        <f aca="false">CONCATENATE(A358," (0 - ",W377/1000," Mtoe / yr)")</f>
        <v> Consumo de energia (0 - 7 Mtoe / ano)</v>
      </c>
      <c r="AB382" s="57" t="n">
        <f aca="false">B358/$W377</f>
        <v>0.139179613675532</v>
      </c>
      <c r="AC382" s="57" t="n">
        <f aca="false">C358/$W377</f>
        <v>0.17893640231708</v>
      </c>
      <c r="AD382" s="57" t="n">
        <f aca="false">D358/$W377</f>
        <v>0.216206130232272</v>
      </c>
      <c r="AE382" s="57" t="n">
        <f aca="false">E358/$W377</f>
        <v>0.250723322547201</v>
      </c>
      <c r="AF382" s="57" t="n">
        <f aca="false">F358/$W377</f>
        <v>0.287822812376217</v>
      </c>
      <c r="AG382" s="57" t="n">
        <f aca="false">G358/$W377</f>
        <v>0.273755291987222</v>
      </c>
      <c r="AH382" s="57" t="n">
        <f aca="false">H358/$W377</f>
        <v>0.301141469383945</v>
      </c>
      <c r="AI382" s="57" t="n">
        <f aca="false">I358/$W377</f>
        <v>0.349446793404812</v>
      </c>
      <c r="AJ382" s="57" t="n">
        <f aca="false">J358/$W377</f>
        <v>0.409837762677209</v>
      </c>
      <c r="AK382" s="57" t="n">
        <f aca="false">K358/$W377</f>
        <v>0.440629542990671</v>
      </c>
      <c r="AL382" s="57" t="n">
        <f aca="false">L358/$W377</f>
        <v>0.500698076919582</v>
      </c>
      <c r="AM382" s="57" t="n">
        <f aca="false">M358/$W377</f>
        <v>0.574092048910542</v>
      </c>
      <c r="AN382" s="57" t="n">
        <f aca="false">N358/$W377</f>
        <v>0.652418872263496</v>
      </c>
      <c r="AO382" s="57" t="n">
        <f aca="false">O358/$W377</f>
        <v>0.716879943145952</v>
      </c>
      <c r="AP382" s="57" t="n">
        <f aca="false">P358/$W377</f>
        <v>0.768227132978871</v>
      </c>
      <c r="AQ382" s="57" t="n">
        <f aca="false">Q358/$W377</f>
        <v>0.795321408703672</v>
      </c>
      <c r="AR382" s="57" t="n">
        <f aca="false">R358/$W377</f>
        <v>0.803375296386747</v>
      </c>
    </row>
    <row r="383" s="3" customFormat="true" ht="11.25" hidden="false" customHeight="false" outlineLevel="0" collapsed="false">
      <c r="T383" s="13"/>
      <c r="U383" s="37" t="str">
        <f aca="false">AA389</f>
        <v> Fração renovável (0 - 50%), Sua previsão</v>
      </c>
      <c r="W383" s="4" t="n">
        <v>50</v>
      </c>
      <c r="AA383" s="29" t="str">
        <f aca="false">CONCATENATE(A361," (0 - ",W378," tCO2 / toe)")</f>
        <v> Intensidade climática (0 - 4 tCO2 / toe)</v>
      </c>
      <c r="AB383" s="57" t="n">
        <f aca="false">B361/$W378</f>
        <v>0.900648716904923</v>
      </c>
      <c r="AC383" s="57" t="n">
        <f aca="false">C361/$W378</f>
        <v>0.825594739069208</v>
      </c>
      <c r="AD383" s="57" t="n">
        <f aca="false">D361/$W378</f>
        <v>0.858711940844742</v>
      </c>
      <c r="AE383" s="57" t="n">
        <f aca="false">E361/$W378</f>
        <v>0.81667877797096</v>
      </c>
      <c r="AF383" s="57" t="n">
        <f aca="false">F361/$W378</f>
        <v>0.761431380713869</v>
      </c>
      <c r="AG383" s="57" t="n">
        <f aca="false">G361/$W378</f>
        <v>0.654393829281246</v>
      </c>
      <c r="AH383" s="57" t="n">
        <f aca="false">H361/$W378</f>
        <v>0.630874175842261</v>
      </c>
      <c r="AI383" s="57" t="n">
        <f aca="false">I361/$W378</f>
        <v>0.629388138101707</v>
      </c>
      <c r="AJ383" s="57" t="n">
        <f aca="false">J361/$W378</f>
        <v>0.605938928466913</v>
      </c>
      <c r="AK383" s="57" t="n">
        <f aca="false">K361/$W378</f>
        <v>0.611456384526181</v>
      </c>
      <c r="AL383" s="57" t="n">
        <f aca="false">L361/$W378</f>
        <v>0.602346305082386</v>
      </c>
      <c r="AM383" s="57" t="n">
        <f aca="false">M361/$W378</f>
        <v>0.583922057487902</v>
      </c>
      <c r="AN383" s="57" t="n">
        <f aca="false">N361/$W378</f>
        <v>0.572174760446313</v>
      </c>
      <c r="AO383" s="57" t="n">
        <f aca="false">O361/$W378</f>
        <v>0.547066386367352</v>
      </c>
      <c r="AP383" s="57" t="n">
        <f aca="false">P361/$W378</f>
        <v>0.525397585435317</v>
      </c>
      <c r="AQ383" s="57" t="n">
        <f aca="false">Q361/$W378</f>
        <v>0.491786467652318</v>
      </c>
      <c r="AR383" s="57" t="n">
        <f aca="false">R361/$W378</f>
        <v>0.453921710792919</v>
      </c>
    </row>
    <row r="384" s="3" customFormat="true" ht="11.25" hidden="false" customHeight="false" outlineLevel="0" collapsed="false">
      <c r="T384" s="13"/>
      <c r="AA384" s="29" t="str">
        <f aca="false">CONCATENATE(A360," (0 - ",W379," %)")</f>
        <v> Fração renovável (0 - 50%)</v>
      </c>
      <c r="AB384" s="57" t="n">
        <f aca="false">B360/$W379</f>
        <v>0.102470926091541</v>
      </c>
      <c r="AC384" s="57" t="n">
        <f aca="false">C360/$W379</f>
        <v>0.103887582044457</v>
      </c>
      <c r="AD384" s="57" t="n">
        <f aca="false">D360/$W379</f>
        <v>0.122679628942898</v>
      </c>
      <c r="AE384" s="57" t="n">
        <f aca="false">E360/$W379</f>
        <v>0.127994707199136</v>
      </c>
      <c r="AF384" s="57" t="n">
        <f aca="false">F360/$W379</f>
        <v>0.132024065398835</v>
      </c>
      <c r="AG384" s="57" t="n">
        <f aca="false">G360/$W379</f>
        <v>0.167229596677886</v>
      </c>
      <c r="AH384" s="57" t="n">
        <f aca="false">H360/$W379</f>
        <v>0.172007234738871</v>
      </c>
      <c r="AI384" s="57" t="n">
        <f aca="false">I360/$W379</f>
        <v>0.172049864223158</v>
      </c>
      <c r="AJ384" s="57" t="n">
        <f aca="false">J360/$W379</f>
        <v>0.17602199775086</v>
      </c>
      <c r="AK384" s="57" t="n">
        <f aca="false">K360/$W379</f>
        <v>0.21</v>
      </c>
      <c r="AL384" s="57" t="n">
        <f aca="false">L360/$W379</f>
        <v>0.24</v>
      </c>
      <c r="AM384" s="57" t="n">
        <f aca="false">M360/$W379</f>
        <v>0.3</v>
      </c>
      <c r="AN384" s="57" t="n">
        <f aca="false">N360/$W379</f>
        <v>0.36</v>
      </c>
      <c r="AO384" s="57" t="n">
        <f aca="false">O360/$W379</f>
        <v>0.44</v>
      </c>
      <c r="AP384" s="57" t="n">
        <f aca="false">P360/$W379</f>
        <v>0.52</v>
      </c>
      <c r="AQ384" s="57" t="n">
        <f aca="false">Q360/$W379</f>
        <v>0.62</v>
      </c>
      <c r="AR384" s="57" t="n">
        <f aca="false">R360/$W379</f>
        <v>0.74</v>
      </c>
    </row>
    <row r="385" s="3" customFormat="true" ht="11.25" hidden="false" customHeight="false" outlineLevel="0" collapsed="false">
      <c r="T385" s="13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="3" customFormat="true" ht="11.25" hidden="false" customHeight="false" outlineLevel="0" collapsed="false">
      <c r="T386" s="13"/>
      <c r="AA386" s="29" t="str">
        <f aca="false">CONCATENATE(A357," (0 - ",W380/1000," MtCO2 / yr), Your forecast")</f>
        <v> Emissões de CO2 (0 - 13 MtCO2/ano), sua previsão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57" t="n">
        <f aca="false">K368/$W380</f>
        <v>0.580301609509998</v>
      </c>
      <c r="AL386" s="57" t="n">
        <f aca="false">L368/$W380</f>
        <v>0.641242894875146</v>
      </c>
      <c r="AM386" s="57" t="n">
        <f aca="false">M368/$W380</f>
        <v>0.709424729633957</v>
      </c>
      <c r="AN386" s="57" t="n">
        <f aca="false">N368/$W380</f>
        <v>0.785612065687171</v>
      </c>
      <c r="AO386" s="57" t="n">
        <f aca="false">O368/$W380</f>
        <v>0.822094659562728</v>
      </c>
      <c r="AP386" s="57" t="n">
        <f aca="false">P368/$W380</f>
        <v>0.84298750818309</v>
      </c>
      <c r="AQ386" s="57" t="n">
        <f aca="false">Q368/$W380</f>
        <v>0.815526506960858</v>
      </c>
      <c r="AR386" s="57" t="n">
        <f aca="false">R368/$W380</f>
        <v>0.760019199668251</v>
      </c>
    </row>
    <row r="387" s="3" customFormat="true" ht="11.25" hidden="false" customHeight="false" outlineLevel="0" collapsed="false">
      <c r="T387" s="13"/>
      <c r="AA387" s="29" t="str">
        <f aca="false">CONCATENATE(A358," (0 - ",W381/1000," Mtoe / yr), Your forecast")</f>
        <v> Consumo de energia (0 - 7 Mtoe/ano), sua previsão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57" t="n">
        <f aca="false">K266/$W381</f>
        <v>0.440629542990671</v>
      </c>
      <c r="AL387" s="57" t="n">
        <f aca="false">L266/$W381</f>
        <v>0.488279387779332</v>
      </c>
      <c r="AM387" s="57" t="n">
        <f aca="false">M266/$W381</f>
        <v>0.556681762764181</v>
      </c>
      <c r="AN387" s="57" t="n">
        <f aca="false">N266/$W381</f>
        <v>0.62869823489339</v>
      </c>
      <c r="AO387" s="57" t="n">
        <f aca="false">O266/$W381</f>
        <v>0.68703274352459</v>
      </c>
      <c r="AP387" s="57" t="n">
        <f aca="false">P266/$W381</f>
        <v>0.732491548181592</v>
      </c>
      <c r="AQ387" s="57" t="n">
        <f aca="false">Q266/$W381</f>
        <v>0.755184155671995</v>
      </c>
      <c r="AR387" s="57" t="n">
        <f aca="false">R266/$W381</f>
        <v>0.760034103499064</v>
      </c>
    </row>
    <row r="388" s="3" customFormat="true" ht="11.25" hidden="false" customHeight="false" outlineLevel="0" collapsed="false">
      <c r="S388" s="41"/>
      <c r="T388" s="13"/>
      <c r="U388" s="41"/>
      <c r="AA388" s="29" t="str">
        <f aca="false">CONCATENATE(A361," (0 - ",W382," tCO2 / toe), Your forecast")</f>
        <v> Intensidade climática (0 - 4 tCO2/tep), Sua previsão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57" t="n">
        <f aca="false">K369/$W382</f>
        <v>0.611456384526181</v>
      </c>
      <c r="AL388" s="57" t="n">
        <f aca="false">L369/$W382</f>
        <v>0.609732712314072</v>
      </c>
      <c r="AM388" s="57" t="n">
        <f aca="false">M369/$W382</f>
        <v>0.591676949671477</v>
      </c>
      <c r="AN388" s="57" t="n">
        <f aca="false">N369/$W382</f>
        <v>0.58016459857072</v>
      </c>
      <c r="AO388" s="57" t="n">
        <f aca="false">O369/$W382</f>
        <v>0.555558391973338</v>
      </c>
      <c r="AP388" s="57" t="n">
        <f aca="false">P369/$W382</f>
        <v>0.534322967059944</v>
      </c>
      <c r="AQ388" s="57" t="n">
        <f aca="false">Q369/$W382</f>
        <v>0.501384071632605</v>
      </c>
      <c r="AR388" s="57" t="n">
        <f aca="false">R369/$W382</f>
        <v>0.464276609910394</v>
      </c>
    </row>
    <row r="389" s="3" customFormat="true" ht="11.25" hidden="false" customHeight="false" outlineLevel="0" collapsed="false">
      <c r="S389" s="41"/>
      <c r="T389" s="13"/>
      <c r="U389" s="41"/>
      <c r="AA389" s="29" t="str">
        <f aca="false">CONCATENATE(A360," (0 - ",W383," %), Your forecast")</f>
        <v> Fração renovável (0 - 50%), Sua previsão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57" t="n">
        <f aca="false">K271/$W383</f>
        <v>0.21</v>
      </c>
      <c r="AL389" s="57" t="n">
        <f aca="false">L271/$W383</f>
        <v>0.2352</v>
      </c>
      <c r="AM389" s="57" t="n">
        <f aca="false">M271/$W383</f>
        <v>0.294</v>
      </c>
      <c r="AN389" s="57" t="n">
        <f aca="false">N271/$W383</f>
        <v>0.3528</v>
      </c>
      <c r="AO389" s="57" t="n">
        <f aca="false">O271/$W383</f>
        <v>0.4312</v>
      </c>
      <c r="AP389" s="57" t="n">
        <f aca="false">P271/$W383</f>
        <v>0.5096</v>
      </c>
      <c r="AQ389" s="57" t="n">
        <f aca="false">Q271/$W383</f>
        <v>0.6076</v>
      </c>
      <c r="AR389" s="57" t="n">
        <f aca="false">R271/$W383</f>
        <v>0.7252</v>
      </c>
    </row>
    <row r="390" s="3" customFormat="true" ht="11.25" hidden="false" customHeight="false" outlineLevel="0" collapsed="false">
      <c r="S390" s="41"/>
      <c r="T390" s="13"/>
      <c r="U390" s="41"/>
    </row>
    <row r="391" s="3" customFormat="true" ht="11.25" hidden="false" customHeight="false" outlineLevel="0" collapsed="false">
      <c r="S391" s="41"/>
      <c r="T391" s="13"/>
      <c r="U391" s="41"/>
    </row>
    <row r="392" customFormat="false" ht="11.25" hidden="false" customHeight="false" outlineLevel="0" collapsed="false">
      <c r="S392" s="41"/>
      <c r="T392" s="13"/>
      <c r="U392" s="41"/>
    </row>
    <row r="393" customFormat="false" ht="11.25" hidden="false" customHeight="false" outlineLevel="0" collapsed="false">
      <c r="K393" s="36"/>
      <c r="T393" s="13"/>
    </row>
    <row r="394" customFormat="false" ht="11.25" hidden="false" customHeight="false" outlineLevel="0" collapsed="false">
      <c r="T394" s="13"/>
    </row>
    <row r="395" customFormat="false" ht="11.25" hidden="false" customHeight="false" outlineLevel="0" collapsed="false">
      <c r="T395" s="13"/>
    </row>
    <row r="396" customFormat="false" ht="11.25" hidden="false" customHeight="false" outlineLevel="0" collapsed="false">
      <c r="T396" s="13"/>
    </row>
    <row r="397" customFormat="false" ht="11.25" hidden="false" customHeight="false" outlineLevel="0" collapsed="false">
      <c r="T397" s="13"/>
    </row>
    <row r="398" s="35" customFormat="true" ht="13.8" hidden="false" customHeight="false" outlineLevel="0" collapsed="false">
      <c r="A398" s="73"/>
      <c r="T398" s="13"/>
    </row>
    <row r="399" s="35" customFormat="true" ht="13.8" hidden="false" customHeight="false" outlineLevel="0" collapsed="false">
      <c r="A399" s="73"/>
      <c r="T399" s="13"/>
    </row>
    <row r="400" customFormat="false" ht="11.25" hidden="false" customHeight="false" outlineLevel="0" collapsed="false">
      <c r="T400" s="13"/>
    </row>
    <row r="401" customFormat="false" ht="11.25" hidden="false" customHeight="false" outlineLevel="0" collapsed="false">
      <c r="T401" s="13"/>
    </row>
    <row r="402" customFormat="false" ht="11.25" hidden="false" customHeight="false" outlineLevel="0" collapsed="false">
      <c r="T402" s="13"/>
    </row>
    <row r="403" customFormat="false" ht="11.25" hidden="false" customHeight="false" outlineLevel="0" collapsed="false">
      <c r="T403" s="13"/>
    </row>
    <row r="404" customFormat="false" ht="12.65" hidden="false" customHeight="false" outlineLevel="0" collapsed="false">
      <c r="A404" s="61" t="s">
        <v>126</v>
      </c>
      <c r="T404" s="13"/>
    </row>
    <row r="405" customFormat="false" ht="12.65" hidden="false" customHeight="false" outlineLevel="0" collapsed="false">
      <c r="A405" s="23" t="str">
        <f aca="false">CONCATENATE(A404,". Climate Change - ",A5," 1970 to 2050")</f>
        <v> Gráfico 10. Mudanças Climáticas - BRISE 1970 a 2050</v>
      </c>
      <c r="D405" s="51" t="s">
        <v>127</v>
      </c>
      <c r="T405" s="13"/>
    </row>
    <row r="406" customFormat="false" ht="12.65" hidden="false" customHeight="false" outlineLevel="0" collapsed="false">
      <c r="A406" s="23"/>
      <c r="D406" s="51"/>
      <c r="T406" s="13"/>
    </row>
    <row r="407" customFormat="false" ht="12.65" hidden="false" customHeight="false" outlineLevel="0" collapsed="false">
      <c r="A407" s="23"/>
      <c r="D407" s="51"/>
      <c r="T407" s="13"/>
    </row>
    <row r="408" customFormat="false" ht="12.65" hidden="false" customHeight="false" outlineLevel="0" collapsed="false">
      <c r="A408" s="23"/>
      <c r="D408" s="51"/>
      <c r="T408" s="13"/>
    </row>
    <row r="409" customFormat="false" ht="12.65" hidden="false" customHeight="false" outlineLevel="0" collapsed="false">
      <c r="A409" s="61" t="s">
        <v>128</v>
      </c>
      <c r="T409" s="13"/>
    </row>
    <row r="410" customFormat="false" ht="12.65" hidden="false" customHeight="false" outlineLevel="0" collapsed="false">
      <c r="A410" s="23" t="str">
        <f aca="false">CONCATENATE(A409,". Food Production - ",A5," 1970 to 2050")</f>
        <v> Gráfico 11. Produção de Alimentos - BRISE 1970 a 2050</v>
      </c>
      <c r="T410" s="13"/>
    </row>
    <row r="411" customFormat="false" ht="13.8" hidden="false" customHeight="false" outlineLevel="0" collapsed="false">
      <c r="B411" s="24" t="n">
        <v>1970</v>
      </c>
      <c r="C411" s="24" t="n">
        <v>1975</v>
      </c>
      <c r="D411" s="24" t="n">
        <v>1980</v>
      </c>
      <c r="E411" s="24" t="n">
        <v>1985</v>
      </c>
      <c r="F411" s="24" t="n">
        <v>1990</v>
      </c>
      <c r="G411" s="24" t="n">
        <v>1995</v>
      </c>
      <c r="H411" s="24" t="n">
        <v>2000</v>
      </c>
      <c r="I411" s="24" t="n">
        <v>2005</v>
      </c>
      <c r="J411" s="24" t="n">
        <v>2010</v>
      </c>
      <c r="K411" s="24" t="n">
        <v>2015</v>
      </c>
      <c r="L411" s="24" t="n">
        <v>2020</v>
      </c>
      <c r="M411" s="24" t="n">
        <v>2025</v>
      </c>
      <c r="N411" s="24" t="n">
        <v>2030</v>
      </c>
      <c r="O411" s="24" t="n">
        <v>2035</v>
      </c>
      <c r="P411" s="24" t="n">
        <v>2040</v>
      </c>
      <c r="Q411" s="24" t="n">
        <v>2045</v>
      </c>
      <c r="R411" s="24" t="n">
        <v>2050</v>
      </c>
      <c r="S411" s="25" t="s">
        <v>15</v>
      </c>
      <c r="T411" s="13"/>
      <c r="X411" s="138"/>
    </row>
    <row r="412" customFormat="false" ht="11.25" hidden="false" customHeight="false" outlineLevel="0" collapsed="false">
      <c r="A412" s="63" t="s">
        <v>130</v>
      </c>
      <c r="B412" s="62" t="n">
        <v>971.115989</v>
      </c>
      <c r="C412" s="62" t="n">
        <v>1000.643137</v>
      </c>
      <c r="D412" s="62" t="n">
        <v>1145.698419</v>
      </c>
      <c r="E412" s="62" t="n">
        <v>1321.507733</v>
      </c>
      <c r="F412" s="62" t="n">
        <v>1451.1472</v>
      </c>
      <c r="G412" s="62" t="n">
        <v>1374.021075</v>
      </c>
      <c r="H412" s="62" t="n">
        <v>1512.837075</v>
      </c>
      <c r="I412" s="62" t="n">
        <v>1730.31917</v>
      </c>
      <c r="J412" s="62" t="n">
        <v>1896.898105</v>
      </c>
      <c r="K412" s="27" t="n">
        <f aca="false">K413*K414</f>
        <v>2152.75</v>
      </c>
      <c r="L412" s="27" t="n">
        <f aca="false">L413*L414</f>
        <v>2436</v>
      </c>
      <c r="M412" s="27" t="n">
        <f aca="false">M413*M414</f>
        <v>2790</v>
      </c>
      <c r="N412" s="27" t="n">
        <f aca="false">N413*N414</f>
        <v>3120</v>
      </c>
      <c r="O412" s="27" t="n">
        <f aca="false">O413*O414</f>
        <v>3493.5</v>
      </c>
      <c r="P412" s="27" t="n">
        <f aca="false">P413*P414</f>
        <v>3622.5</v>
      </c>
      <c r="Q412" s="27" t="n">
        <f aca="false">Q413*Q414</f>
        <v>3584.5</v>
      </c>
      <c r="R412" s="27" t="n">
        <f aca="false">R413*R414</f>
        <v>3542.5</v>
      </c>
      <c r="S412" s="76" t="s">
        <v>131</v>
      </c>
      <c r="T412" s="13"/>
      <c r="U412" s="103" t="s">
        <v>129</v>
      </c>
    </row>
    <row r="413" customFormat="false" ht="11.25" hidden="false" customHeight="false" outlineLevel="0" collapsed="false">
      <c r="A413" s="63" t="s">
        <v>132</v>
      </c>
      <c r="B413" s="62" t="n">
        <v>544.453065</v>
      </c>
      <c r="C413" s="62" t="n">
        <v>576.601616</v>
      </c>
      <c r="D413" s="62" t="n">
        <v>587.283363</v>
      </c>
      <c r="E413" s="62" t="n">
        <v>595.241445</v>
      </c>
      <c r="F413" s="62" t="n">
        <v>577.941546</v>
      </c>
      <c r="G413" s="62" t="n">
        <v>514.346903</v>
      </c>
      <c r="H413" s="62" t="n">
        <v>493.034816</v>
      </c>
      <c r="I413" s="62" t="n">
        <v>512.351838</v>
      </c>
      <c r="J413" s="62" t="n">
        <v>511.377097</v>
      </c>
      <c r="K413" s="139" t="n">
        <v>545</v>
      </c>
      <c r="L413" s="139" t="n">
        <v>580</v>
      </c>
      <c r="M413" s="139" t="n">
        <v>620</v>
      </c>
      <c r="N413" s="139" t="n">
        <v>650</v>
      </c>
      <c r="O413" s="139" t="n">
        <v>685</v>
      </c>
      <c r="P413" s="139" t="n">
        <v>690</v>
      </c>
      <c r="Q413" s="139" t="n">
        <v>670</v>
      </c>
      <c r="R413" s="139" t="n">
        <v>650</v>
      </c>
      <c r="S413" s="140" t="s">
        <v>133</v>
      </c>
      <c r="T413" s="13"/>
      <c r="U413" s="103" t="s">
        <v>85</v>
      </c>
    </row>
    <row r="414" customFormat="false" ht="11.25" hidden="false" customHeight="false" outlineLevel="0" collapsed="false">
      <c r="A414" s="63" t="s">
        <v>134</v>
      </c>
      <c r="B414" s="75" t="n">
        <f aca="false">B412/B413</f>
        <v>1.78365418697753</v>
      </c>
      <c r="C414" s="75" t="n">
        <f aca="false">C412/C413</f>
        <v>1.73541507556233</v>
      </c>
      <c r="D414" s="75" t="n">
        <f aca="false">D412/D413</f>
        <v>1.95084433032032</v>
      </c>
      <c r="E414" s="75" t="n">
        <f aca="false">E412/E413</f>
        <v>2.22012049748989</v>
      </c>
      <c r="F414" s="75" t="n">
        <f aca="false">F412/F413</f>
        <v>2.5108892240808</v>
      </c>
      <c r="G414" s="75" t="n">
        <f aca="false">G412/G413</f>
        <v>2.67138980906822</v>
      </c>
      <c r="H414" s="75" t="n">
        <f aca="false">H412/H413</f>
        <v>3.06841834674815</v>
      </c>
      <c r="I414" s="75" t="n">
        <f aca="false">I412/I413</f>
        <v>3.37720886638061</v>
      </c>
      <c r="J414" s="75" t="n">
        <f aca="false">J412/J413</f>
        <v>3.7093919851479</v>
      </c>
      <c r="K414" s="33" t="n">
        <v>3.95</v>
      </c>
      <c r="L414" s="33" t="n">
        <v>4.2</v>
      </c>
      <c r="M414" s="33" t="n">
        <v>4.5</v>
      </c>
      <c r="N414" s="33" t="n">
        <v>4.8</v>
      </c>
      <c r="O414" s="33" t="n">
        <v>5.1</v>
      </c>
      <c r="P414" s="33" t="n">
        <v>5.25</v>
      </c>
      <c r="Q414" s="33" t="n">
        <v>5.35</v>
      </c>
      <c r="R414" s="33" t="n">
        <v>5.45</v>
      </c>
      <c r="S414" s="140" t="s">
        <v>135</v>
      </c>
      <c r="T414" s="13"/>
      <c r="U414" s="141"/>
      <c r="W414" s="142"/>
      <c r="X414" s="142"/>
      <c r="Y414" s="142"/>
    </row>
    <row r="415" customFormat="false" ht="11.25" hidden="false" customHeight="false" outlineLevel="0" collapsed="false">
      <c r="A415" s="63" t="s">
        <v>136</v>
      </c>
      <c r="B415" s="143" t="n">
        <f aca="false">B412/B9</f>
        <v>0.804704450151076</v>
      </c>
      <c r="C415" s="143" t="n">
        <f aca="false">C412/C9</f>
        <v>0.744317648819316</v>
      </c>
      <c r="D415" s="143" t="n">
        <f aca="false">D412/D9</f>
        <v>0.765687976337799</v>
      </c>
      <c r="E415" s="143" t="n">
        <f aca="false">E412/E9</f>
        <v>0.79513879964856</v>
      </c>
      <c r="F415" s="143" t="n">
        <f aca="false">F412/F9</f>
        <v>0.792798261872107</v>
      </c>
      <c r="G415" s="143" t="n">
        <f aca="false">G412/G9</f>
        <v>0.691542904161532</v>
      </c>
      <c r="H415" s="143" t="n">
        <f aca="false">H412/H9</f>
        <v>0.708822623372416</v>
      </c>
      <c r="I415" s="143" t="n">
        <f aca="false">I412/I9</f>
        <v>0.76041344472982</v>
      </c>
      <c r="J415" s="143" t="n">
        <f aca="false">J412/J9</f>
        <v>0.786464484429929</v>
      </c>
      <c r="K415" s="143" t="n">
        <f aca="false">K412/K9</f>
        <v>0.853604455997554</v>
      </c>
      <c r="L415" s="143" t="n">
        <f aca="false">L412/L9</f>
        <v>0.933571695116661</v>
      </c>
      <c r="M415" s="143" t="n">
        <f aca="false">M412/M9</f>
        <v>1.04162897642867</v>
      </c>
      <c r="N415" s="143" t="n">
        <f aca="false">N412/N9</f>
        <v>1.14503955668955</v>
      </c>
      <c r="O415" s="143" t="n">
        <f aca="false">O412/O9</f>
        <v>1.26968972786035</v>
      </c>
      <c r="P415" s="143" t="n">
        <f aca="false">P412/P9</f>
        <v>1.31451815476395</v>
      </c>
      <c r="Q415" s="143" t="n">
        <f aca="false">Q412/Q9</f>
        <v>1.31016017440641</v>
      </c>
      <c r="R415" s="143" t="n">
        <f aca="false">R412/R9</f>
        <v>1.3143719897115</v>
      </c>
      <c r="S415" s="76" t="s">
        <v>137</v>
      </c>
      <c r="T415" s="13"/>
      <c r="U415" s="142"/>
      <c r="W415" s="144"/>
      <c r="X415" s="144"/>
      <c r="Y415" s="144"/>
    </row>
    <row r="416" customFormat="false" ht="13.8" hidden="false" customHeight="false" outlineLevel="0" collapsed="false">
      <c r="A416" s="63" t="s">
        <v>139</v>
      </c>
      <c r="B416" s="47"/>
      <c r="C416" s="31" t="n">
        <f aca="false">(C412-B412)/B412*100/5</f>
        <v>0.608107545019527</v>
      </c>
      <c r="D416" s="31" t="n">
        <f aca="false">(D412-C412)/C412*100/5</f>
        <v>2.89924103082116</v>
      </c>
      <c r="E416" s="31" t="n">
        <f aca="false">(E412-D412)/D412*100/5</f>
        <v>3.06903302098386</v>
      </c>
      <c r="F416" s="31" t="n">
        <f aca="false">(F412-E412)/E412*100/5</f>
        <v>1.96199331661422</v>
      </c>
      <c r="G416" s="31" t="n">
        <f aca="false">(G412-F412)/F412*100/5</f>
        <v>-1.06296763002403</v>
      </c>
      <c r="H416" s="31" t="n">
        <f aca="false">(H412-G412)/G412*100/5</f>
        <v>2.02058036118551</v>
      </c>
      <c r="I416" s="31" t="n">
        <f aca="false">(I412-H412)/H412*100/5</f>
        <v>2.87515554178232</v>
      </c>
      <c r="J416" s="31" t="n">
        <f aca="false">(J412-I412)/I412*100/5</f>
        <v>1.92541281271247</v>
      </c>
      <c r="K416" s="31" t="n">
        <f aca="false">(K412-J412)/J412*100/5</f>
        <v>2.69758185034404</v>
      </c>
      <c r="L416" s="31" t="n">
        <f aca="false">(L412-K412)/K412*100/5</f>
        <v>2.63151782603647</v>
      </c>
      <c r="M416" s="31" t="n">
        <f aca="false">(M412-L412)/L412*100/5</f>
        <v>2.9064039408867</v>
      </c>
      <c r="N416" s="31" t="n">
        <f aca="false">(N412-M412)/M412*100/5</f>
        <v>2.36559139784946</v>
      </c>
      <c r="O416" s="31" t="n">
        <f aca="false">(O412-N412)/N412*100/5</f>
        <v>2.39423076923077</v>
      </c>
      <c r="P416" s="31" t="n">
        <f aca="false">(P412-O412)/O412*100/5</f>
        <v>0.738514383855735</v>
      </c>
      <c r="Q416" s="31" t="n">
        <f aca="false">(Q412-P412)/P412*100/5</f>
        <v>-0.209799861973778</v>
      </c>
      <c r="R416" s="31" t="n">
        <f aca="false">(R412-Q412)/Q412*100/5</f>
        <v>-0.234342307155807</v>
      </c>
      <c r="S416" s="76" t="s">
        <v>25</v>
      </c>
      <c r="T416" s="13"/>
      <c r="U416" s="144" t="s">
        <v>138</v>
      </c>
      <c r="W416" s="145"/>
      <c r="X416" s="145"/>
      <c r="Y416" s="145"/>
    </row>
    <row r="417" customFormat="false" ht="11.25" hidden="false" customHeight="false" outlineLevel="0" collapsed="false">
      <c r="A417" s="63" t="s">
        <v>141</v>
      </c>
      <c r="B417" s="47"/>
      <c r="C417" s="31" t="n">
        <f aca="false">(C413-B413)/B413*100/5</f>
        <v>1.18094848083921</v>
      </c>
      <c r="D417" s="31" t="n">
        <f aca="false">(D413-C413)/C413*100/5</f>
        <v>0.370507008776749</v>
      </c>
      <c r="E417" s="31" t="n">
        <f aca="false">(E413-D413)/D413*100/5</f>
        <v>0.271013364293107</v>
      </c>
      <c r="F417" s="31" t="n">
        <f aca="false">(F413-E413)/E413*100/5</f>
        <v>-0.581273335226178</v>
      </c>
      <c r="G417" s="31" t="n">
        <f aca="false">(G413-F413)/F413*100/5</f>
        <v>-2.2007292412233</v>
      </c>
      <c r="H417" s="31" t="n">
        <f aca="false">(H413-G413)/G413*100/5</f>
        <v>-0.828704785649308</v>
      </c>
      <c r="I417" s="31" t="n">
        <f aca="false">(I413-H413)/H413*100/5</f>
        <v>0.783596669976348</v>
      </c>
      <c r="J417" s="31" t="n">
        <f aca="false">(J413-I413)/I413*100/5</f>
        <v>-0.0380496732013305</v>
      </c>
      <c r="K417" s="31" t="n">
        <f aca="false">(K413-J413)/J413*100/5</f>
        <v>1.31499448048218</v>
      </c>
      <c r="L417" s="31" t="n">
        <f aca="false">(L413-K413)/K413*100/5</f>
        <v>1.28440366972477</v>
      </c>
      <c r="M417" s="31" t="n">
        <f aca="false">(M413-L413)/L413*100/5</f>
        <v>1.37931034482759</v>
      </c>
      <c r="N417" s="31" t="n">
        <f aca="false">(N413-M413)/M413*100/5</f>
        <v>0.967741935483871</v>
      </c>
      <c r="O417" s="31" t="n">
        <f aca="false">(O413-N413)/N413*100/5</f>
        <v>1.07692307692308</v>
      </c>
      <c r="P417" s="31" t="n">
        <f aca="false">(P413-O413)/O413*100/5</f>
        <v>0.145985401459854</v>
      </c>
      <c r="Q417" s="31" t="n">
        <f aca="false">(Q413-P413)/P413*100/5</f>
        <v>-0.579710144927536</v>
      </c>
      <c r="R417" s="31" t="n">
        <f aca="false">(R413-Q413)/Q413*100/5</f>
        <v>-0.597014925373134</v>
      </c>
      <c r="S417" s="76" t="s">
        <v>25</v>
      </c>
      <c r="T417" s="13"/>
      <c r="U417" s="144" t="s">
        <v>140</v>
      </c>
      <c r="V417" s="41"/>
    </row>
    <row r="418" customFormat="false" ht="12.65" hidden="false" customHeight="false" outlineLevel="0" collapsed="false">
      <c r="A418" s="23" t="s">
        <v>7</v>
      </c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T418" s="13"/>
    </row>
    <row r="419" customFormat="false" ht="11.25" hidden="false" customHeight="false" outlineLevel="0" collapsed="false">
      <c r="B419" s="24" t="n">
        <v>1970</v>
      </c>
      <c r="C419" s="24" t="n">
        <v>1975</v>
      </c>
      <c r="D419" s="24" t="n">
        <v>1980</v>
      </c>
      <c r="E419" s="24" t="n">
        <v>1985</v>
      </c>
      <c r="F419" s="24" t="n">
        <v>1990</v>
      </c>
      <c r="G419" s="24" t="n">
        <v>1995</v>
      </c>
      <c r="H419" s="24" t="n">
        <v>2000</v>
      </c>
      <c r="I419" s="24" t="n">
        <v>2005</v>
      </c>
      <c r="J419" s="24" t="n">
        <v>2010</v>
      </c>
      <c r="K419" s="24" t="n">
        <v>2015</v>
      </c>
      <c r="L419" s="24" t="n">
        <v>2020</v>
      </c>
      <c r="M419" s="24" t="n">
        <v>2025</v>
      </c>
      <c r="N419" s="24" t="n">
        <v>2030</v>
      </c>
      <c r="O419" s="24" t="n">
        <v>2035</v>
      </c>
      <c r="P419" s="24" t="n">
        <v>2040</v>
      </c>
      <c r="Q419" s="24" t="n">
        <v>2045</v>
      </c>
      <c r="R419" s="24" t="n">
        <v>2050</v>
      </c>
      <c r="S419" s="25" t="s">
        <v>15</v>
      </c>
      <c r="T419" s="13"/>
    </row>
    <row r="420" s="3" customFormat="true" ht="11.25" hidden="false" customHeight="false" outlineLevel="0" collapsed="false">
      <c r="J420" s="146" t="str">
        <f aca="false">CONCATENATE(A412,", Your forecast")</f>
        <v> Produção de alimentos, sua previsão</v>
      </c>
      <c r="K420" s="84" t="n">
        <f aca="false">K421*K422</f>
        <v>2152.75</v>
      </c>
      <c r="L420" s="84" t="n">
        <f aca="false">L421*L422</f>
        <v>2339.5344</v>
      </c>
      <c r="M420" s="84" t="n">
        <f aca="false">M421*M422</f>
        <v>2679.516</v>
      </c>
      <c r="N420" s="84" t="n">
        <f aca="false">N421*N422</f>
        <v>2996.448</v>
      </c>
      <c r="O420" s="84" t="n">
        <f aca="false">O421*O422</f>
        <v>3355.1574</v>
      </c>
      <c r="P420" s="84" t="n">
        <f aca="false">P421*P422</f>
        <v>3479.049</v>
      </c>
      <c r="Q420" s="84" t="n">
        <f aca="false">Q421*Q422</f>
        <v>3442.5538</v>
      </c>
      <c r="R420" s="84" t="n">
        <f aca="false">R421*R422</f>
        <v>3402.217</v>
      </c>
      <c r="S420" s="76" t="str">
        <f aca="false">S412</f>
        <v> Monte</v>
      </c>
      <c r="T420" s="13"/>
      <c r="AA420" s="52" t="s">
        <v>36</v>
      </c>
    </row>
    <row r="421" s="3" customFormat="true" ht="15" hidden="false" customHeight="false" outlineLevel="0" collapsed="false">
      <c r="H421" s="5"/>
      <c r="I421" s="5"/>
      <c r="J421" s="147" t="str">
        <f aca="false">CONCATENATE(A413,", Your forecast")</f>
        <v> Terra cultivada, sua previsão</v>
      </c>
      <c r="K421" s="68" t="n">
        <f aca="false">K413</f>
        <v>545</v>
      </c>
      <c r="L421" s="68" t="n">
        <f aca="false">L413*0.98</f>
        <v>568.4</v>
      </c>
      <c r="M421" s="68" t="n">
        <f aca="false">M413*0.98</f>
        <v>607.6</v>
      </c>
      <c r="N421" s="68" t="n">
        <f aca="false">N413*0.98</f>
        <v>637</v>
      </c>
      <c r="O421" s="68" t="n">
        <f aca="false">O413*0.98</f>
        <v>671.3</v>
      </c>
      <c r="P421" s="68" t="n">
        <f aca="false">P413*0.98</f>
        <v>676.2</v>
      </c>
      <c r="Q421" s="68" t="n">
        <f aca="false">Q413*0.98</f>
        <v>656.6</v>
      </c>
      <c r="R421" s="68" t="n">
        <f aca="false">R413*0.98</f>
        <v>637</v>
      </c>
      <c r="S421" s="76" t="str">
        <f aca="false">S413</f>
        <v> Mha</v>
      </c>
      <c r="T421" s="13"/>
      <c r="AA421" s="16"/>
      <c r="AB421" s="24" t="n">
        <v>1970</v>
      </c>
      <c r="AC421" s="24" t="n">
        <v>1975</v>
      </c>
      <c r="AD421" s="24" t="n">
        <v>1980</v>
      </c>
      <c r="AE421" s="24" t="n">
        <v>1985</v>
      </c>
      <c r="AF421" s="24" t="n">
        <v>1990</v>
      </c>
      <c r="AG421" s="24" t="n">
        <v>1995</v>
      </c>
      <c r="AH421" s="24" t="n">
        <v>2000</v>
      </c>
      <c r="AI421" s="24" t="n">
        <v>2005</v>
      </c>
      <c r="AJ421" s="24" t="n">
        <v>2010</v>
      </c>
      <c r="AK421" s="24" t="n">
        <v>2015</v>
      </c>
      <c r="AL421" s="24" t="n">
        <v>2020</v>
      </c>
      <c r="AM421" s="24" t="n">
        <v>2025</v>
      </c>
      <c r="AN421" s="24" t="n">
        <v>2030</v>
      </c>
      <c r="AO421" s="24" t="n">
        <v>2035</v>
      </c>
      <c r="AP421" s="24" t="n">
        <v>2040</v>
      </c>
      <c r="AQ421" s="24" t="n">
        <v>2045</v>
      </c>
      <c r="AR421" s="24" t="n">
        <v>2050</v>
      </c>
    </row>
    <row r="422" s="3" customFormat="true" ht="11.25" hidden="false" customHeight="false" outlineLevel="0" collapsed="false">
      <c r="H422" s="5"/>
      <c r="I422" s="5"/>
      <c r="J422" s="147" t="str">
        <f aca="false">CONCATENATE(A414,", Your forecast")</f>
        <v> Rendimento bruto, sua previsão</v>
      </c>
      <c r="K422" s="39" t="n">
        <f aca="false">K414</f>
        <v>3.95</v>
      </c>
      <c r="L422" s="39" t="n">
        <f aca="false">L414*0.98</f>
        <v>4.116</v>
      </c>
      <c r="M422" s="39" t="n">
        <f aca="false">M414*0.98</f>
        <v>4.41</v>
      </c>
      <c r="N422" s="39" t="n">
        <f aca="false">N414*0.98</f>
        <v>4.704</v>
      </c>
      <c r="O422" s="39" t="n">
        <f aca="false">O414*0.98</f>
        <v>4.998</v>
      </c>
      <c r="P422" s="39" t="n">
        <f aca="false">P414*0.98</f>
        <v>5.145</v>
      </c>
      <c r="Q422" s="39" t="n">
        <f aca="false">Q414*0.98</f>
        <v>5.243</v>
      </c>
      <c r="R422" s="39" t="n">
        <f aca="false">R414*0.98</f>
        <v>5.341</v>
      </c>
      <c r="S422" s="76" t="str">
        <f aca="false">S414</f>
        <v> t / ha</v>
      </c>
      <c r="T422" s="13"/>
      <c r="AA422" s="148" t="str">
        <f aca="false">CONCATENATE("Food production (0 - ",W428," Mt / yr)")</f>
        <v> Produção de alimentos (0 - 4000 Mt/ano)</v>
      </c>
      <c r="AB422" s="57" t="n">
        <f aca="false">B412/$W428</f>
        <v>0.24277899725</v>
      </c>
      <c r="AC422" s="57" t="n">
        <f aca="false">C412/$W428</f>
        <v>0.25016078425</v>
      </c>
      <c r="AD422" s="57" t="n">
        <f aca="false">D412/$W428</f>
        <v>0.28642460475</v>
      </c>
      <c r="AE422" s="57" t="n">
        <f aca="false">E412/$W428</f>
        <v>0.33037693325</v>
      </c>
      <c r="AF422" s="57" t="n">
        <f aca="false">F412/$W428</f>
        <v>0.3627868</v>
      </c>
      <c r="AG422" s="57" t="n">
        <f aca="false">G412/$W428</f>
        <v>0.34350526875</v>
      </c>
      <c r="AH422" s="57" t="n">
        <f aca="false">H412/$W428</f>
        <v>0.37820926875</v>
      </c>
      <c r="AI422" s="57" t="n">
        <f aca="false">I412/$W428</f>
        <v>0.4325797925</v>
      </c>
      <c r="AJ422" s="57" t="n">
        <f aca="false">J412/$W428</f>
        <v>0.47422452625</v>
      </c>
      <c r="AK422" s="57" t="n">
        <f aca="false">K412/$W428</f>
        <v>0.5381875</v>
      </c>
      <c r="AL422" s="57" t="n">
        <f aca="false">L412/$W428</f>
        <v>0.609</v>
      </c>
      <c r="AM422" s="57" t="n">
        <f aca="false">M412/$W428</f>
        <v>0.6975</v>
      </c>
      <c r="AN422" s="57" t="n">
        <f aca="false">N412/$W428</f>
        <v>0.78</v>
      </c>
      <c r="AO422" s="57" t="n">
        <f aca="false">O412/$W428</f>
        <v>0.873375</v>
      </c>
      <c r="AP422" s="57" t="n">
        <f aca="false">P412/$W428</f>
        <v>0.905625</v>
      </c>
      <c r="AQ422" s="57" t="n">
        <f aca="false">Q412/$W428</f>
        <v>0.896125</v>
      </c>
      <c r="AR422" s="57" t="n">
        <f aca="false">R412/$W428</f>
        <v>0.885625</v>
      </c>
    </row>
    <row r="423" s="3" customFormat="true" ht="11.25" hidden="false" customHeight="false" outlineLevel="0" collapsed="false">
      <c r="G423" s="8"/>
      <c r="H423" s="8"/>
      <c r="I423" s="8"/>
      <c r="J423" s="146" t="str">
        <f aca="false">CONCATENATE(A415,", Your forecast")</f>
        <v>Alimentação por pessoa, sua previsão</v>
      </c>
      <c r="K423" s="149" t="n">
        <f aca="false">K420/K17</f>
        <v>0.853604455997554</v>
      </c>
      <c r="L423" s="149" t="n">
        <f aca="false">L420/L17</f>
        <v>0.897203164153376</v>
      </c>
      <c r="M423" s="149" t="n">
        <f aca="false">M420/M17</f>
        <v>1.0015681734806</v>
      </c>
      <c r="N423" s="149" t="n">
        <f aca="false">N420/N17</f>
        <v>1.10137589926094</v>
      </c>
      <c r="O423" s="149" t="n">
        <f aca="false">O420/O17</f>
        <v>1.2215095400695</v>
      </c>
      <c r="P423" s="149" t="n">
        <f aca="false">P420/P17</f>
        <v>1.2646763832401</v>
      </c>
      <c r="Q423" s="149" t="n">
        <f aca="false">Q420/Q17</f>
        <v>1.26030087830071</v>
      </c>
      <c r="R423" s="149" t="n">
        <f aca="false">R420/R17</f>
        <v>1.26397046568873</v>
      </c>
      <c r="S423" s="76" t="str">
        <f aca="false">S415</f>
        <v> t / pessoa-ano</v>
      </c>
      <c r="T423" s="13"/>
      <c r="AA423" s="148" t="str">
        <f aca="false">CONCATENATE("Cultivated land (0 - ",W429," Mha)")</f>
        <v> Terra cultivada (0 - 700 milhões de hectares)</v>
      </c>
      <c r="AB423" s="57" t="n">
        <f aca="false">B413/$W429</f>
        <v>0.777790092857143</v>
      </c>
      <c r="AC423" s="57" t="n">
        <f aca="false">C413/$W429</f>
        <v>0.823716594285714</v>
      </c>
      <c r="AD423" s="57" t="n">
        <f aca="false">D413/$W429</f>
        <v>0.838976232857143</v>
      </c>
      <c r="AE423" s="57" t="n">
        <f aca="false">E413/$W429</f>
        <v>0.850344921428571</v>
      </c>
      <c r="AF423" s="57" t="n">
        <f aca="false">F413/$W429</f>
        <v>0.82563078</v>
      </c>
      <c r="AG423" s="57" t="n">
        <f aca="false">G413/$W429</f>
        <v>0.73478129</v>
      </c>
      <c r="AH423" s="57" t="n">
        <f aca="false">H413/$W429</f>
        <v>0.704335451428571</v>
      </c>
      <c r="AI423" s="57" t="n">
        <f aca="false">I413/$W429</f>
        <v>0.731931197142857</v>
      </c>
      <c r="AJ423" s="57" t="n">
        <f aca="false">J413/$W429</f>
        <v>0.73053871</v>
      </c>
      <c r="AK423" s="57" t="n">
        <f aca="false">K413/$W429</f>
        <v>0.778571428571429</v>
      </c>
      <c r="AL423" s="57" t="n">
        <f aca="false">L413/$W429</f>
        <v>0.828571428571429</v>
      </c>
      <c r="AM423" s="57" t="n">
        <f aca="false">M413/$W429</f>
        <v>0.885714285714286</v>
      </c>
      <c r="AN423" s="57" t="n">
        <f aca="false">N413/$W429</f>
        <v>0.928571428571429</v>
      </c>
      <c r="AO423" s="57" t="n">
        <f aca="false">O413/$W429</f>
        <v>0.978571428571429</v>
      </c>
      <c r="AP423" s="57" t="n">
        <f aca="false">P413/$W429</f>
        <v>0.985714285714286</v>
      </c>
      <c r="AQ423" s="57" t="n">
        <f aca="false">Q413/$W429</f>
        <v>0.957142857142857</v>
      </c>
      <c r="AR423" s="57" t="n">
        <f aca="false">R413/$W429</f>
        <v>0.928571428571429</v>
      </c>
    </row>
    <row r="424" s="3" customFormat="true" ht="11.25" hidden="false" customHeight="false" outlineLevel="0" collapsed="false">
      <c r="G424" s="8"/>
      <c r="H424" s="8"/>
      <c r="I424" s="8"/>
      <c r="J424" s="146" t="str">
        <f aca="false">CONCATENATE(A416,", Your forecast")</f>
        <v> Crescimento na produção de alimentos, sua previsão</v>
      </c>
      <c r="K424" s="91" t="n">
        <f aca="false">(K420-J412)/J412*100/5</f>
        <v>2.69758185034404</v>
      </c>
      <c r="L424" s="91" t="n">
        <f aca="false">(L420-K420)/K420*100/5</f>
        <v>1.73530972012542</v>
      </c>
      <c r="M424" s="91" t="n">
        <f aca="false">(M420-L420)/L420*100/5</f>
        <v>2.90640394088671</v>
      </c>
      <c r="N424" s="91" t="n">
        <f aca="false">(N420-M420)/M420*100/5</f>
        <v>2.36559139784946</v>
      </c>
      <c r="O424" s="91" t="n">
        <f aca="false">(O420-N420)/N420*100/5</f>
        <v>2.39423076923076</v>
      </c>
      <c r="P424" s="91" t="n">
        <f aca="false">(P420-O420)/O420*100/5</f>
        <v>0.738514383855735</v>
      </c>
      <c r="Q424" s="91" t="n">
        <f aca="false">(Q420-P420)/P420*100/5</f>
        <v>-0.209799861973774</v>
      </c>
      <c r="R424" s="91" t="n">
        <f aca="false">(R420-Q420)/Q420*100/5</f>
        <v>-0.234342307155807</v>
      </c>
      <c r="S424" s="76" t="str">
        <f aca="false">S416</f>
        <v> % por ano</v>
      </c>
      <c r="T424" s="13"/>
      <c r="AA424" s="148" t="str">
        <f aca="false">CONCATENATE("Gross yield (0 - ",W430," t / ha-yr)")</f>
        <v> Rendimento bruto (0 - 6 t / ha-ano)</v>
      </c>
      <c r="AB424" s="57" t="n">
        <f aca="false">B414/$W430</f>
        <v>0.297275697829589</v>
      </c>
      <c r="AC424" s="57" t="n">
        <f aca="false">C414/$W430</f>
        <v>0.289235845927055</v>
      </c>
      <c r="AD424" s="57" t="n">
        <f aca="false">D414/$W430</f>
        <v>0.325140721720053</v>
      </c>
      <c r="AE424" s="57" t="n">
        <f aca="false">E414/$W430</f>
        <v>0.370020082914981</v>
      </c>
      <c r="AF424" s="57" t="n">
        <f aca="false">F414/$W430</f>
        <v>0.418481537346801</v>
      </c>
      <c r="AG424" s="57" t="n">
        <f aca="false">G414/$W430</f>
        <v>0.445231634844703</v>
      </c>
      <c r="AH424" s="57" t="n">
        <f aca="false">H414/$W430</f>
        <v>0.511403057791359</v>
      </c>
      <c r="AI424" s="57" t="n">
        <f aca="false">I414/$W430</f>
        <v>0.562868144396768</v>
      </c>
      <c r="AJ424" s="57" t="n">
        <f aca="false">J414/$W430</f>
        <v>0.61823199752465</v>
      </c>
      <c r="AK424" s="57" t="n">
        <f aca="false">K414/$W430</f>
        <v>0.658333333333333</v>
      </c>
      <c r="AL424" s="57" t="n">
        <f aca="false">L414/$W430</f>
        <v>0.7</v>
      </c>
      <c r="AM424" s="57" t="n">
        <f aca="false">M414/$W430</f>
        <v>0.75</v>
      </c>
      <c r="AN424" s="57" t="n">
        <f aca="false">N414/$W430</f>
        <v>0.8</v>
      </c>
      <c r="AO424" s="57" t="n">
        <f aca="false">O414/$W430</f>
        <v>0.85</v>
      </c>
      <c r="AP424" s="57" t="n">
        <f aca="false">P414/$W430</f>
        <v>0.875</v>
      </c>
      <c r="AQ424" s="57" t="n">
        <f aca="false">Q414/$W430</f>
        <v>0.891666666666667</v>
      </c>
      <c r="AR424" s="57" t="n">
        <f aca="false">R414/$W430</f>
        <v>0.908333333333333</v>
      </c>
    </row>
    <row r="425" s="3" customFormat="true" ht="11.25" hidden="false" customHeight="false" outlineLevel="0" collapsed="false">
      <c r="G425" s="8"/>
      <c r="H425" s="8"/>
      <c r="I425" s="8"/>
      <c r="J425" s="146" t="str">
        <f aca="false">CONCATENATE(A417,", Your forecast")</f>
        <v> Crescimento das terras cultivadas, sua previsão</v>
      </c>
      <c r="K425" s="91" t="n">
        <f aca="false">(K421-J413)/J413*100/5</f>
        <v>1.31499448048218</v>
      </c>
      <c r="L425" s="91" t="n">
        <f aca="false">(L421-K421)/K421*100/5</f>
        <v>0.858715596330274</v>
      </c>
      <c r="M425" s="91" t="n">
        <f aca="false">(M421-L421)/L421*100/5</f>
        <v>1.37931034482759</v>
      </c>
      <c r="N425" s="91" t="n">
        <f aca="false">(N421-M421)/M421*100/5</f>
        <v>0.96774193548387</v>
      </c>
      <c r="O425" s="91" t="n">
        <f aca="false">(O421-N421)/N421*100/5</f>
        <v>1.07692307692308</v>
      </c>
      <c r="P425" s="91" t="n">
        <f aca="false">(P421-O421)/O421*100/5</f>
        <v>0.145985401459853</v>
      </c>
      <c r="Q425" s="91" t="n">
        <f aca="false">(Q421-P421)/P421*100/5</f>
        <v>-0.579710144927534</v>
      </c>
      <c r="R425" s="91" t="n">
        <f aca="false">(R421-Q421)/Q421*100/5</f>
        <v>-0.597014925373135</v>
      </c>
      <c r="S425" s="76" t="str">
        <f aca="false">S417</f>
        <v> % por ano</v>
      </c>
      <c r="T425" s="13"/>
      <c r="X425" s="15" t="s">
        <v>33</v>
      </c>
      <c r="AA425" s="148" t="str">
        <f aca="false">CONCATENATE("Food per person (0 - ",W431," t / person - yr)")</f>
        <v> Alimento por pessoa (0 - 2 t / pessoa - ano)</v>
      </c>
      <c r="AB425" s="57" t="n">
        <f aca="false">B415/$W431</f>
        <v>0.402352225075538</v>
      </c>
      <c r="AC425" s="57" t="n">
        <f aca="false">C415/$W431</f>
        <v>0.372158824409658</v>
      </c>
      <c r="AD425" s="57" t="n">
        <f aca="false">D415/$W431</f>
        <v>0.3828439881689</v>
      </c>
      <c r="AE425" s="57" t="n">
        <f aca="false">E415/$W431</f>
        <v>0.39756939982428</v>
      </c>
      <c r="AF425" s="57" t="n">
        <f aca="false">F415/$W431</f>
        <v>0.396399130936054</v>
      </c>
      <c r="AG425" s="57" t="n">
        <f aca="false">G415/$W431</f>
        <v>0.345771452080766</v>
      </c>
      <c r="AH425" s="57" t="n">
        <f aca="false">H415/$W431</f>
        <v>0.354411311686208</v>
      </c>
      <c r="AI425" s="57" t="n">
        <f aca="false">I415/$W431</f>
        <v>0.38020672236491</v>
      </c>
      <c r="AJ425" s="57" t="n">
        <f aca="false">J415/$W431</f>
        <v>0.393232242214964</v>
      </c>
      <c r="AK425" s="57" t="n">
        <f aca="false">K415/$W431</f>
        <v>0.426802227998777</v>
      </c>
      <c r="AL425" s="57" t="n">
        <f aca="false">L415/$W431</f>
        <v>0.466785847558331</v>
      </c>
      <c r="AM425" s="57" t="n">
        <f aca="false">M415/$W431</f>
        <v>0.520814488214335</v>
      </c>
      <c r="AN425" s="57" t="n">
        <f aca="false">N415/$W431</f>
        <v>0.572519778344775</v>
      </c>
      <c r="AO425" s="57" t="n">
        <f aca="false">O415/$W431</f>
        <v>0.634844863930174</v>
      </c>
      <c r="AP425" s="57" t="n">
        <f aca="false">P415/$W431</f>
        <v>0.657259077381975</v>
      </c>
      <c r="AQ425" s="57" t="n">
        <f aca="false">Q415/$W431</f>
        <v>0.655080087203207</v>
      </c>
      <c r="AR425" s="57" t="n">
        <f aca="false">R415/$W431</f>
        <v>0.657185994855751</v>
      </c>
    </row>
    <row r="426" customFormat="false" ht="11.25" hidden="false" customHeight="false" outlineLevel="0" collapsed="false">
      <c r="T426" s="13"/>
      <c r="V426" s="3" t="s">
        <v>35</v>
      </c>
      <c r="AA426" s="148" t="s">
        <v>142</v>
      </c>
      <c r="AB426" s="57" t="n">
        <f aca="false">B416/$W430</f>
        <v>0</v>
      </c>
      <c r="AC426" s="57" t="n">
        <f aca="false">C416/$W430</f>
        <v>0.101351257503255</v>
      </c>
      <c r="AD426" s="57" t="n">
        <f aca="false">D416/$W430</f>
        <v>0.483206838470194</v>
      </c>
      <c r="AE426" s="57" t="n">
        <f aca="false">E416/$W430</f>
        <v>0.511505503497309</v>
      </c>
      <c r="AF426" s="57" t="n">
        <f aca="false">F416/$W430</f>
        <v>0.326998886102369</v>
      </c>
      <c r="AG426" s="57" t="n">
        <f aca="false">G416/$W430</f>
        <v>-0.177161271670671</v>
      </c>
      <c r="AH426" s="57" t="n">
        <f aca="false">H416/$W430</f>
        <v>0.336763393530918</v>
      </c>
      <c r="AI426" s="57" t="n">
        <f aca="false">I416/$W430</f>
        <v>0.479192590297053</v>
      </c>
      <c r="AJ426" s="57" t="n">
        <f aca="false">J416/$W430</f>
        <v>0.320902135452078</v>
      </c>
      <c r="AK426" s="57" t="n">
        <f aca="false">K416/$W430</f>
        <v>0.44959697505734</v>
      </c>
      <c r="AL426" s="57" t="n">
        <f aca="false">L416/$W430</f>
        <v>0.438586304339411</v>
      </c>
      <c r="AM426" s="57" t="n">
        <f aca="false">M416/$W430</f>
        <v>0.48440065681445</v>
      </c>
      <c r="AN426" s="57" t="n">
        <f aca="false">N416/$W430</f>
        <v>0.39426523297491</v>
      </c>
      <c r="AO426" s="57" t="n">
        <f aca="false">O416/$W430</f>
        <v>0.399038461538461</v>
      </c>
      <c r="AP426" s="57" t="n">
        <f aca="false">P416/$W430</f>
        <v>0.123085730642622</v>
      </c>
      <c r="AQ426" s="57" t="n">
        <f aca="false">Q416/$W430</f>
        <v>-0.0349666436622963</v>
      </c>
      <c r="AR426" s="57" t="n">
        <f aca="false">R416/$W430</f>
        <v>-0.0390570511926345</v>
      </c>
    </row>
    <row r="427" customFormat="false" ht="28.3" hidden="false" customHeight="false" outlineLevel="0" collapsed="false">
      <c r="T427" s="13"/>
      <c r="U427" s="55" t="s">
        <v>37</v>
      </c>
      <c r="V427" s="54" t="s">
        <v>38</v>
      </c>
      <c r="W427" s="54" t="s">
        <v>39</v>
      </c>
      <c r="X427" s="55"/>
      <c r="Y427" s="55"/>
      <c r="AA427" s="148" t="s">
        <v>143</v>
      </c>
      <c r="AB427" s="57" t="n">
        <f aca="false">B417/$W431</f>
        <v>0</v>
      </c>
      <c r="AC427" s="57" t="n">
        <f aca="false">C417/$W431</f>
        <v>0.590474240419603</v>
      </c>
      <c r="AD427" s="57" t="n">
        <f aca="false">D417/$W431</f>
        <v>0.185253504388374</v>
      </c>
      <c r="AE427" s="57" t="n">
        <f aca="false">E417/$W431</f>
        <v>0.135506682146553</v>
      </c>
      <c r="AF427" s="57" t="n">
        <f aca="false">F417/$W431</f>
        <v>-0.290636667613089</v>
      </c>
      <c r="AG427" s="57" t="n">
        <f aca="false">G417/$W431</f>
        <v>-1.10036462061165</v>
      </c>
      <c r="AH427" s="57" t="n">
        <f aca="false">H417/$W431</f>
        <v>-0.414352392824654</v>
      </c>
      <c r="AI427" s="57" t="n">
        <f aca="false">I417/$W431</f>
        <v>0.391798334988174</v>
      </c>
      <c r="AJ427" s="57" t="n">
        <f aca="false">J417/$W431</f>
        <v>-0.0190248366006653</v>
      </c>
      <c r="AK427" s="57" t="n">
        <f aca="false">K417/$W431</f>
        <v>0.65749724024109</v>
      </c>
      <c r="AL427" s="57" t="n">
        <f aca="false">L417/$W431</f>
        <v>0.642201834862385</v>
      </c>
      <c r="AM427" s="57" t="n">
        <f aca="false">M417/$W431</f>
        <v>0.689655172413793</v>
      </c>
      <c r="AN427" s="57" t="n">
        <f aca="false">N417/$W431</f>
        <v>0.483870967741936</v>
      </c>
      <c r="AO427" s="57" t="n">
        <f aca="false">O417/$W431</f>
        <v>0.538461538461539</v>
      </c>
      <c r="AP427" s="57" t="n">
        <f aca="false">P417/$W431</f>
        <v>0.072992700729927</v>
      </c>
      <c r="AQ427" s="57" t="n">
        <f aca="false">Q417/$W431</f>
        <v>-0.289855072463768</v>
      </c>
      <c r="AR427" s="57" t="n">
        <f aca="false">R417/$W431</f>
        <v>-0.298507462686567</v>
      </c>
    </row>
    <row r="428" customFormat="false" ht="12" hidden="false" customHeight="false" outlineLevel="0" collapsed="false">
      <c r="T428" s="13"/>
      <c r="U428" s="15" t="str">
        <f aca="false">AA422</f>
        <v> Produção de alimentos (0 - 4000 Mt/ano)</v>
      </c>
      <c r="V428" s="25" t="n">
        <v>4000</v>
      </c>
      <c r="W428" s="70" t="n">
        <f aca="false">W432</f>
        <v>4000</v>
      </c>
      <c r="AA428" s="150"/>
      <c r="AB428" s="24" t="n">
        <v>1970</v>
      </c>
      <c r="AC428" s="24" t="n">
        <v>1975</v>
      </c>
      <c r="AD428" s="24" t="n">
        <v>1980</v>
      </c>
      <c r="AE428" s="24" t="n">
        <v>1985</v>
      </c>
      <c r="AF428" s="24" t="n">
        <v>1990</v>
      </c>
      <c r="AG428" s="24" t="n">
        <v>1995</v>
      </c>
      <c r="AH428" s="24" t="n">
        <v>2000</v>
      </c>
      <c r="AI428" s="24" t="n">
        <v>2005</v>
      </c>
      <c r="AJ428" s="24" t="n">
        <v>2010</v>
      </c>
      <c r="AK428" s="24" t="n">
        <v>2015</v>
      </c>
      <c r="AL428" s="24" t="n">
        <v>2020</v>
      </c>
      <c r="AM428" s="24" t="n">
        <v>2025</v>
      </c>
      <c r="AN428" s="24" t="n">
        <v>2030</v>
      </c>
      <c r="AO428" s="24" t="n">
        <v>2035</v>
      </c>
      <c r="AP428" s="24" t="n">
        <v>2040</v>
      </c>
      <c r="AQ428" s="24" t="n">
        <v>2045</v>
      </c>
      <c r="AR428" s="24" t="n">
        <v>2050</v>
      </c>
    </row>
    <row r="429" customFormat="false" ht="11.25" hidden="false" customHeight="false" outlineLevel="0" collapsed="false">
      <c r="T429" s="13"/>
      <c r="U429" s="15" t="str">
        <f aca="false">AA423</f>
        <v> Terra cultivada (0 - 700 milhões de hectares)</v>
      </c>
      <c r="V429" s="25" t="n">
        <v>700</v>
      </c>
      <c r="W429" s="70" t="n">
        <f aca="false">W433</f>
        <v>700</v>
      </c>
      <c r="AA429" s="148" t="str">
        <f aca="false">CONCATENATE("Food production (0 - ",W432," Mt / yr), Your forecast")</f>
        <v> Produção de alimentos (0 - 4000 Mt/ano), Sua previsão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57" t="n">
        <f aca="false">K420/$W432</f>
        <v>0.5381875</v>
      </c>
      <c r="AL429" s="57" t="n">
        <f aca="false">L420/$W432</f>
        <v>0.5848836</v>
      </c>
      <c r="AM429" s="57" t="n">
        <f aca="false">M420/$W432</f>
        <v>0.669879</v>
      </c>
      <c r="AN429" s="57" t="n">
        <f aca="false">N420/$W432</f>
        <v>0.749112</v>
      </c>
      <c r="AO429" s="57" t="n">
        <f aca="false">O420/$W432</f>
        <v>0.83878935</v>
      </c>
      <c r="AP429" s="57" t="n">
        <f aca="false">P420/$W432</f>
        <v>0.86976225</v>
      </c>
      <c r="AQ429" s="57" t="n">
        <f aca="false">Q420/$W432</f>
        <v>0.86063845</v>
      </c>
      <c r="AR429" s="57" t="n">
        <f aca="false">R420/$W432</f>
        <v>0.85055425</v>
      </c>
    </row>
    <row r="430" s="3" customFormat="true" ht="11.25" hidden="false" customHeight="false" outlineLevel="0" collapsed="false">
      <c r="T430" s="13"/>
      <c r="U430" s="15" t="str">
        <f aca="false">AA424</f>
        <v> Rendimento bruto (0 - 6 t / ha-ano)</v>
      </c>
      <c r="V430" s="25" t="n">
        <v>6</v>
      </c>
      <c r="W430" s="70" t="n">
        <f aca="false">W434</f>
        <v>6</v>
      </c>
      <c r="AA430" s="148" t="str">
        <f aca="false">CONCATENATE("Cultivated land (0 - ",W433," Mha), Your forecast")</f>
        <v> Terra cultivada (0 - 700 Mha), Sua previsão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57" t="n">
        <f aca="false">K421/$W433</f>
        <v>0.778571428571429</v>
      </c>
      <c r="AL430" s="57" t="n">
        <f aca="false">L421/$W433</f>
        <v>0.812</v>
      </c>
      <c r="AM430" s="57" t="n">
        <f aca="false">M421/$W433</f>
        <v>0.868</v>
      </c>
      <c r="AN430" s="57" t="n">
        <f aca="false">N421/$W433</f>
        <v>0.91</v>
      </c>
      <c r="AO430" s="57" t="n">
        <f aca="false">O421/$W433</f>
        <v>0.959</v>
      </c>
      <c r="AP430" s="57" t="n">
        <f aca="false">P421/$W433</f>
        <v>0.966</v>
      </c>
      <c r="AQ430" s="57" t="n">
        <f aca="false">Q421/$W433</f>
        <v>0.938</v>
      </c>
      <c r="AR430" s="57" t="n">
        <f aca="false">R421/$W433</f>
        <v>0.91</v>
      </c>
    </row>
    <row r="431" s="3" customFormat="true" ht="11.25" hidden="false" customHeight="false" outlineLevel="0" collapsed="false">
      <c r="T431" s="13"/>
      <c r="U431" s="15" t="str">
        <f aca="false">AA425</f>
        <v> Alimento por pessoa (0 - 2 t / pessoa - ano)</v>
      </c>
      <c r="V431" s="25" t="n">
        <v>2</v>
      </c>
      <c r="W431" s="70" t="n">
        <f aca="false">W435</f>
        <v>2</v>
      </c>
      <c r="AA431" s="148" t="str">
        <f aca="false">CONCATENATE("Gross yield (0 - ",W434," t / ha-yr), Your forecast")</f>
        <v> Produtividade bruta (0 - 6 t/ha-ano), Sua previsão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57" t="n">
        <f aca="false">K422/$W434</f>
        <v>0.658333333333333</v>
      </c>
      <c r="AL431" s="57" t="n">
        <f aca="false">L422/$W434</f>
        <v>0.686</v>
      </c>
      <c r="AM431" s="57" t="n">
        <f aca="false">M422/$W434</f>
        <v>0.735</v>
      </c>
      <c r="AN431" s="57" t="n">
        <f aca="false">N422/$W434</f>
        <v>0.784</v>
      </c>
      <c r="AO431" s="57" t="n">
        <f aca="false">O422/$W434</f>
        <v>0.833</v>
      </c>
      <c r="AP431" s="57" t="n">
        <f aca="false">P422/$W434</f>
        <v>0.8575</v>
      </c>
      <c r="AQ431" s="57" t="n">
        <f aca="false">Q422/$W434</f>
        <v>0.873833333333333</v>
      </c>
      <c r="AR431" s="57" t="n">
        <f aca="false">R422/$W434</f>
        <v>0.890166666666667</v>
      </c>
    </row>
    <row r="432" s="3" customFormat="true" ht="11.25" hidden="false" customHeight="false" outlineLevel="0" collapsed="false">
      <c r="S432" s="131"/>
      <c r="T432" s="13"/>
      <c r="U432" s="37" t="str">
        <f aca="false">AA429</f>
        <v> Produção de alimentos (0 - 4000 Mt/ano), Sua previsão</v>
      </c>
      <c r="W432" s="4" t="n">
        <v>4000</v>
      </c>
      <c r="AA432" s="148" t="str">
        <f aca="false">CONCATENATE("Food per person (0 - ",W435," t / person - yr), Your forecast")</f>
        <v> Alimentação por pessoa (0 - 2 t/pessoa-ano), Sua previsão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57" t="n">
        <f aca="false">K423/$W435</f>
        <v>0.426802227998777</v>
      </c>
      <c r="AL432" s="57" t="n">
        <f aca="false">L423/$W435</f>
        <v>0.448601582076688</v>
      </c>
      <c r="AM432" s="57" t="n">
        <f aca="false">M423/$W435</f>
        <v>0.500784086740301</v>
      </c>
      <c r="AN432" s="57" t="n">
        <f aca="false">N423/$W435</f>
        <v>0.550687949630471</v>
      </c>
      <c r="AO432" s="57" t="n">
        <f aca="false">O423/$W435</f>
        <v>0.610754770034752</v>
      </c>
      <c r="AP432" s="57" t="n">
        <f aca="false">P423/$W435</f>
        <v>0.632338191620052</v>
      </c>
      <c r="AQ432" s="57" t="n">
        <f aca="false">Q423/$W435</f>
        <v>0.630150439150357</v>
      </c>
      <c r="AR432" s="57" t="n">
        <f aca="false">R423/$W435</f>
        <v>0.631985232844366</v>
      </c>
    </row>
    <row r="433" s="3" customFormat="true" ht="11.25" hidden="false" customHeight="false" outlineLevel="0" collapsed="false">
      <c r="T433" s="13"/>
      <c r="U433" s="37" t="str">
        <f aca="false">AA430</f>
        <v> Terra cultivada (0 - 700 Mha), Sua previsão</v>
      </c>
      <c r="W433" s="4" t="n">
        <v>700</v>
      </c>
      <c r="AA433" s="148"/>
      <c r="AB433" s="29"/>
      <c r="AC433" s="29"/>
      <c r="AD433" s="29"/>
      <c r="AE433" s="29"/>
      <c r="AF433" s="29"/>
      <c r="AG433" s="29"/>
      <c r="AH433" s="29"/>
      <c r="AI433" s="29"/>
      <c r="AJ433" s="29"/>
      <c r="AK433" s="57"/>
      <c r="AL433" s="57"/>
      <c r="AM433" s="57"/>
      <c r="AN433" s="57"/>
      <c r="AO433" s="57"/>
      <c r="AP433" s="57"/>
      <c r="AQ433" s="57"/>
      <c r="AR433" s="57"/>
    </row>
    <row r="434" s="3" customFormat="true" ht="11.25" hidden="false" customHeight="false" outlineLevel="0" collapsed="false">
      <c r="T434" s="13"/>
      <c r="U434" s="37" t="str">
        <f aca="false">AA431</f>
        <v> Produtividade bruta (0 - 6 t/ha-ano), Sua previsão</v>
      </c>
      <c r="W434" s="4" t="n">
        <v>6</v>
      </c>
      <c r="AA434" s="148"/>
      <c r="AB434" s="29"/>
      <c r="AC434" s="29"/>
      <c r="AD434" s="29"/>
      <c r="AE434" s="29"/>
      <c r="AF434" s="29"/>
      <c r="AG434" s="29"/>
      <c r="AH434" s="29"/>
      <c r="AI434" s="29"/>
      <c r="AJ434" s="29"/>
      <c r="AK434" s="57"/>
      <c r="AL434" s="57"/>
      <c r="AM434" s="57"/>
      <c r="AN434" s="57"/>
      <c r="AO434" s="57"/>
      <c r="AP434" s="57"/>
      <c r="AQ434" s="57"/>
      <c r="AR434" s="57"/>
    </row>
    <row r="435" s="3" customFormat="true" ht="11.25" hidden="false" customHeight="false" outlineLevel="0" collapsed="false">
      <c r="T435" s="13"/>
      <c r="U435" s="37" t="str">
        <f aca="false">AA432</f>
        <v> Alimentação por pessoa (0 - 2 t/pessoa-ano), Sua previsão</v>
      </c>
      <c r="W435" s="4" t="n">
        <v>2</v>
      </c>
    </row>
    <row r="436" s="3" customFormat="true" ht="11.25" hidden="false" customHeight="false" outlineLevel="0" collapsed="false">
      <c r="T436" s="13"/>
    </row>
    <row r="437" s="3" customFormat="true" ht="11.25" hidden="false" customHeight="false" outlineLevel="0" collapsed="false">
      <c r="T437" s="13"/>
    </row>
    <row r="438" s="3" customFormat="true" ht="11.25" hidden="false" customHeight="false" outlineLevel="0" collapsed="false">
      <c r="T438" s="13"/>
    </row>
    <row r="439" s="3" customFormat="true" ht="11.25" hidden="false" customHeight="false" outlineLevel="0" collapsed="false">
      <c r="S439" s="131"/>
      <c r="T439" s="13"/>
    </row>
    <row r="440" s="3" customFormat="true" ht="11.25" hidden="false" customHeight="false" outlineLevel="0" collapsed="false">
      <c r="T440" s="13"/>
    </row>
    <row r="441" s="3" customFormat="true" ht="11.25" hidden="false" customHeight="false" outlineLevel="0" collapsed="false">
      <c r="T441" s="13"/>
    </row>
    <row r="442" customFormat="false" ht="11.25" hidden="false" customHeight="false" outlineLevel="0" collapsed="false">
      <c r="T442" s="13"/>
    </row>
    <row r="443" customFormat="false" ht="11.25" hidden="false" customHeight="false" outlineLevel="0" collapsed="false">
      <c r="T443" s="13"/>
    </row>
    <row r="444" customFormat="false" ht="11.25" hidden="false" customHeight="false" outlineLevel="0" collapsed="false">
      <c r="T444" s="13"/>
    </row>
    <row r="445" customFormat="false" ht="11.25" hidden="false" customHeight="false" outlineLevel="0" collapsed="false">
      <c r="T445" s="13"/>
    </row>
    <row r="446" customFormat="false" ht="11.25" hidden="false" customHeight="false" outlineLevel="0" collapsed="false">
      <c r="T446" s="13"/>
    </row>
    <row r="447" customFormat="false" ht="11.25" hidden="false" customHeight="false" outlineLevel="0" collapsed="false">
      <c r="T447" s="13"/>
    </row>
    <row r="448" s="35" customFormat="true" ht="13.8" hidden="false" customHeight="false" outlineLevel="0" collapsed="false">
      <c r="A448" s="73"/>
      <c r="T448" s="13"/>
    </row>
    <row r="449" s="35" customFormat="true" ht="13.8" hidden="false" customHeight="false" outlineLevel="0" collapsed="false">
      <c r="A449" s="73"/>
      <c r="T449" s="13"/>
    </row>
    <row r="450" customFormat="false" ht="11.25" hidden="false" customHeight="false" outlineLevel="0" collapsed="false">
      <c r="T450" s="13"/>
    </row>
    <row r="451" customFormat="false" ht="11.25" hidden="false" customHeight="false" outlineLevel="0" collapsed="false">
      <c r="T451" s="13"/>
    </row>
    <row r="452" customFormat="false" ht="11.25" hidden="false" customHeight="false" outlineLevel="0" collapsed="false">
      <c r="T452" s="13"/>
    </row>
    <row r="453" customFormat="false" ht="11.25" hidden="false" customHeight="false" outlineLevel="0" collapsed="false">
      <c r="T453" s="13"/>
    </row>
    <row r="454" customFormat="false" ht="12.65" hidden="false" customHeight="false" outlineLevel="0" collapsed="false">
      <c r="A454" s="61" t="s">
        <v>144</v>
      </c>
      <c r="T454" s="13"/>
    </row>
    <row r="455" customFormat="false" ht="12.65" hidden="false" customHeight="false" outlineLevel="0" collapsed="false">
      <c r="A455" s="23" t="str">
        <f aca="false">CONCATENATE(A454,". Non-energy Ecological Footprint - ",A5," 1970 to 2050")</f>
        <v> Gráfico 12. Pegada Ecológica Não Energética - BRISE 1970 a 2050</v>
      </c>
      <c r="T455" s="13"/>
    </row>
    <row r="456" customFormat="false" ht="11.25" hidden="false" customHeight="false" outlineLevel="0" collapsed="false">
      <c r="B456" s="24" t="n">
        <v>1970</v>
      </c>
      <c r="C456" s="24" t="n">
        <v>1975</v>
      </c>
      <c r="D456" s="24" t="n">
        <v>1980</v>
      </c>
      <c r="E456" s="24" t="n">
        <v>1985</v>
      </c>
      <c r="F456" s="24" t="n">
        <v>1990</v>
      </c>
      <c r="G456" s="24" t="n">
        <v>1995</v>
      </c>
      <c r="H456" s="24" t="n">
        <v>2000</v>
      </c>
      <c r="I456" s="24" t="n">
        <v>2005</v>
      </c>
      <c r="J456" s="24" t="n">
        <v>2010</v>
      </c>
      <c r="K456" s="24" t="n">
        <v>2015</v>
      </c>
      <c r="L456" s="24" t="n">
        <v>2020</v>
      </c>
      <c r="M456" s="24" t="n">
        <v>2025</v>
      </c>
      <c r="N456" s="24" t="n">
        <v>2030</v>
      </c>
      <c r="O456" s="24" t="n">
        <v>2035</v>
      </c>
      <c r="P456" s="24" t="n">
        <v>2040</v>
      </c>
      <c r="Q456" s="24" t="n">
        <v>2045</v>
      </c>
      <c r="R456" s="24" t="n">
        <v>2050</v>
      </c>
      <c r="S456" s="25" t="s">
        <v>15</v>
      </c>
      <c r="T456" s="13"/>
    </row>
    <row r="457" customFormat="false" ht="11.25" hidden="false" customHeight="false" outlineLevel="0" collapsed="false">
      <c r="A457" s="11" t="s">
        <v>184</v>
      </c>
      <c r="B457" s="62" t="n">
        <v>4621.00564642</v>
      </c>
      <c r="C457" s="62" t="n">
        <v>4504.736574</v>
      </c>
      <c r="D457" s="62" t="n">
        <v>4618.6548682</v>
      </c>
      <c r="E457" s="62" t="n">
        <v>4634.53557107</v>
      </c>
      <c r="F457" s="62" t="n">
        <v>4765.84640981</v>
      </c>
      <c r="G457" s="62" t="n">
        <v>4429.08172001</v>
      </c>
      <c r="H457" s="62" t="n">
        <v>4389.79529007</v>
      </c>
      <c r="I457" s="62" t="n">
        <v>4377.77794939</v>
      </c>
      <c r="J457" s="62" t="n">
        <v>4421.40549544</v>
      </c>
      <c r="K457" s="64" t="n">
        <v>4500</v>
      </c>
      <c r="L457" s="64" t="n">
        <v>4500</v>
      </c>
      <c r="M457" s="64" t="n">
        <v>4500</v>
      </c>
      <c r="N457" s="64" t="n">
        <v>4500</v>
      </c>
      <c r="O457" s="64" t="n">
        <v>4500</v>
      </c>
      <c r="P457" s="64" t="n">
        <v>4450</v>
      </c>
      <c r="Q457" s="64" t="n">
        <v>4350</v>
      </c>
      <c r="R457" s="64" t="n">
        <v>4200</v>
      </c>
      <c r="S457" s="28" t="s">
        <v>147</v>
      </c>
      <c r="T457" s="13"/>
      <c r="U457" s="103" t="s">
        <v>145</v>
      </c>
    </row>
    <row r="458" customFormat="false" ht="11.25" hidden="false" customHeight="false" outlineLevel="0" collapsed="false">
      <c r="A458" s="11" t="s">
        <v>148</v>
      </c>
      <c r="B458" s="47"/>
      <c r="C458" s="75" t="n">
        <f aca="false">(C457-B457)/B457*100/5</f>
        <v>-0.503219780785487</v>
      </c>
      <c r="D458" s="75" t="n">
        <f aca="false">(D457-C457)/C457*100/5</f>
        <v>0.505771169206671</v>
      </c>
      <c r="E458" s="75" t="n">
        <f aca="false">(E457-D457)/D457*100/5</f>
        <v>0.0687676534539917</v>
      </c>
      <c r="F458" s="75" t="n">
        <f aca="false">(F457-E457)/E457*100/5</f>
        <v>0.566662340708643</v>
      </c>
      <c r="G458" s="75" t="n">
        <f aca="false">(G457-F457)/F457*100/5</f>
        <v>-1.41324189175213</v>
      </c>
      <c r="H458" s="75" t="n">
        <f aca="false">(H457-G457)/G457*100/5</f>
        <v>-0.177402145291242</v>
      </c>
      <c r="I458" s="75" t="n">
        <f aca="false">(I457-H457)/H457*100/5</f>
        <v>-0.0547512577963958</v>
      </c>
      <c r="J458" s="75" t="n">
        <f aca="false">(J457-I457)/I457*100/5</f>
        <v>0.199313654344114</v>
      </c>
      <c r="K458" s="75" t="n">
        <f aca="false">(K457-J457)/J457*100/5</f>
        <v>0.355518192760466</v>
      </c>
      <c r="L458" s="75" t="n">
        <f aca="false">(L457-K457)/K457*100/5</f>
        <v>0</v>
      </c>
      <c r="M458" s="75" t="n">
        <f aca="false">(M457-L457)/L457*100/5</f>
        <v>0</v>
      </c>
      <c r="N458" s="75" t="n">
        <f aca="false">(N457-M457)/M457*100/5</f>
        <v>0</v>
      </c>
      <c r="O458" s="75" t="n">
        <f aca="false">(O457-N457)/N457*100/5</f>
        <v>0</v>
      </c>
      <c r="P458" s="75" t="n">
        <f aca="false">(P457-O457)/O457*100/5</f>
        <v>-0.222222222222222</v>
      </c>
      <c r="Q458" s="75" t="n">
        <f aca="false">(Q457-P457)/P457*100/5</f>
        <v>-0.449438202247191</v>
      </c>
      <c r="R458" s="75" t="n">
        <f aca="false">(R457-Q457)/Q457*100/5</f>
        <v>-0.689655172413793</v>
      </c>
      <c r="S458" s="28" t="s">
        <v>25</v>
      </c>
      <c r="T458" s="13"/>
      <c r="U458" s="103" t="s">
        <v>85</v>
      </c>
    </row>
    <row r="459" customFormat="false" ht="11.25" hidden="false" customHeight="false" outlineLevel="0" collapsed="false">
      <c r="A459" s="11" t="s">
        <v>149</v>
      </c>
      <c r="B459" s="62" t="n">
        <v>2143.7635509181</v>
      </c>
      <c r="C459" s="62" t="n">
        <v>2161.319315176</v>
      </c>
      <c r="D459" s="62" t="n">
        <v>2315.293714029</v>
      </c>
      <c r="E459" s="62" t="n">
        <v>2317.183436979</v>
      </c>
      <c r="F459" s="62" t="n">
        <v>2528.32505526</v>
      </c>
      <c r="G459" s="62" t="n">
        <v>2270.72577233</v>
      </c>
      <c r="H459" s="62" t="n">
        <v>2260.32577969</v>
      </c>
      <c r="I459" s="62" t="n">
        <v>2272.43868363</v>
      </c>
      <c r="J459" s="62" t="n">
        <v>2376.67660086</v>
      </c>
      <c r="K459" s="27" t="n">
        <f aca="false">K460*K9</f>
        <v>2422.96278165866</v>
      </c>
      <c r="L459" s="27" t="n">
        <f aca="false">L460*L9</f>
        <v>2450.50838499369</v>
      </c>
      <c r="M459" s="27" t="n">
        <f aca="false">M460*M9</f>
        <v>2465.15261429932</v>
      </c>
      <c r="N459" s="27" t="n">
        <f aca="false">N460*N9</f>
        <v>2463.8787018711</v>
      </c>
      <c r="O459" s="27" t="n">
        <f aca="false">O460*O9</f>
        <v>2450.66863014687</v>
      </c>
      <c r="P459" s="27" t="n">
        <f aca="false">P460*P9</f>
        <v>2423.81997372993</v>
      </c>
      <c r="Q459" s="27" t="n">
        <f aca="false">Q460*Q9</f>
        <v>2382.30816847605</v>
      </c>
      <c r="R459" s="27" t="n">
        <f aca="false">R460*R9</f>
        <v>2329.24851857462</v>
      </c>
      <c r="S459" s="28" t="s">
        <v>147</v>
      </c>
      <c r="T459" s="13"/>
    </row>
    <row r="460" customFormat="false" ht="11.25" hidden="false" customHeight="false" outlineLevel="0" collapsed="false">
      <c r="A460" s="117" t="s">
        <v>150</v>
      </c>
      <c r="B460" s="32" t="n">
        <f aca="false">B459/B9</f>
        <v>1.77640579398952</v>
      </c>
      <c r="C460" s="32" t="n">
        <f aca="false">C459/C9</f>
        <v>1.60767415628572</v>
      </c>
      <c r="D460" s="32" t="n">
        <f aca="false">D459/D9</f>
        <v>1.54734660458887</v>
      </c>
      <c r="E460" s="32" t="n">
        <f aca="false">E459/E9</f>
        <v>1.39422752560239</v>
      </c>
      <c r="F460" s="32" t="n">
        <f aca="false">F459/F9</f>
        <v>1.38128765245719</v>
      </c>
      <c r="G460" s="32" t="n">
        <f aca="false">G459/G9</f>
        <v>1.14285313647866</v>
      </c>
      <c r="H460" s="32" t="n">
        <f aca="false">H459/H9</f>
        <v>1.05904996335192</v>
      </c>
      <c r="I460" s="32" t="n">
        <f aca="false">I459/I9</f>
        <v>0.998655599103364</v>
      </c>
      <c r="J460" s="32" t="n">
        <f aca="false">J459/J9</f>
        <v>0.985383312169019</v>
      </c>
      <c r="K460" s="32" t="n">
        <f aca="false">J460*(1+K461/20)</f>
        <v>0.960748729364793</v>
      </c>
      <c r="L460" s="32" t="n">
        <f aca="false">K460*(1+L461/20)</f>
        <v>0.939131882954086</v>
      </c>
      <c r="M460" s="32" t="n">
        <f aca="false">L460*(1+M461/20)</f>
        <v>0.920349245295004</v>
      </c>
      <c r="N460" s="32" t="n">
        <f aca="false">M460*(1+N461/20)</f>
        <v>0.904243133502341</v>
      </c>
      <c r="O460" s="32" t="n">
        <f aca="false">N460*(1+O461/20)</f>
        <v>0.890679486499806</v>
      </c>
      <c r="P460" s="32" t="n">
        <f aca="false">O460*(1+P461/20)</f>
        <v>0.879545992918559</v>
      </c>
      <c r="Q460" s="32" t="n">
        <f aca="false">P460*(1+Q461/20)</f>
        <v>0.870750532989373</v>
      </c>
      <c r="R460" s="32" t="n">
        <f aca="false">Q460*(1+R461/20)</f>
        <v>0.864219903991953</v>
      </c>
      <c r="S460" s="28" t="s">
        <v>151</v>
      </c>
      <c r="T460" s="13"/>
      <c r="Y460" s="142"/>
      <c r="Z460" s="142"/>
    </row>
    <row r="461" customFormat="false" ht="11.25" hidden="false" customHeight="false" outlineLevel="0" collapsed="false">
      <c r="A461" s="117" t="s">
        <v>152</v>
      </c>
      <c r="C461" s="75" t="n">
        <f aca="false">(C460-B460)/B460*100/5</f>
        <v>-1.89969699800242</v>
      </c>
      <c r="D461" s="75" t="n">
        <f aca="false">(D460-C460)/C460*100/5</f>
        <v>-0.750494762399204</v>
      </c>
      <c r="E461" s="75" t="n">
        <f aca="false">(E460-D460)/D460*100/5</f>
        <v>-1.97911804029417</v>
      </c>
      <c r="F461" s="75" t="n">
        <f aca="false">(F460-E460)/E460*100/5</f>
        <v>-0.18562068109512</v>
      </c>
      <c r="G461" s="75" t="n">
        <f aca="false">(G460-F460)/F460*100/5</f>
        <v>-3.45235137017812</v>
      </c>
      <c r="H461" s="75" t="n">
        <f aca="false">(H460-G460)/G460*100/5</f>
        <v>-1.46656067086545</v>
      </c>
      <c r="I461" s="75" t="n">
        <f aca="false">(I460-H460)/H460*100/5</f>
        <v>-1.14053852676416</v>
      </c>
      <c r="J461" s="75" t="n">
        <f aca="false">(J460-I460)/I460*100/5</f>
        <v>-0.26580308459215</v>
      </c>
      <c r="K461" s="78" t="n">
        <v>-0.499999999999998</v>
      </c>
      <c r="L461" s="78" t="n">
        <v>-0.449999999999999</v>
      </c>
      <c r="M461" s="78" t="n">
        <v>-0.400000000000003</v>
      </c>
      <c r="N461" s="78" t="n">
        <v>-0.349999999999999</v>
      </c>
      <c r="O461" s="78" t="n">
        <v>-0.299999999999997</v>
      </c>
      <c r="P461" s="78" t="n">
        <v>-0.250000000000003</v>
      </c>
      <c r="Q461" s="78" t="n">
        <v>-0.199999999999996</v>
      </c>
      <c r="R461" s="78" t="n">
        <v>-0.150000000000005</v>
      </c>
      <c r="S461" s="28" t="s">
        <v>25</v>
      </c>
      <c r="T461" s="13"/>
    </row>
    <row r="462" customFormat="false" ht="11.25" hidden="false" customHeight="false" outlineLevel="0" collapsed="false">
      <c r="A462" s="117" t="s">
        <v>153</v>
      </c>
      <c r="B462" s="27" t="n">
        <f aca="false">B457-B459</f>
        <v>2477.2420955019</v>
      </c>
      <c r="C462" s="27" t="n">
        <f aca="false">C457-C459</f>
        <v>2343.417258824</v>
      </c>
      <c r="D462" s="27" t="n">
        <f aca="false">D457-D459</f>
        <v>2303.361154171</v>
      </c>
      <c r="E462" s="27" t="n">
        <f aca="false">E457-E459</f>
        <v>2317.352134091</v>
      </c>
      <c r="F462" s="27" t="n">
        <f aca="false">F457-F459</f>
        <v>2237.52135455</v>
      </c>
      <c r="G462" s="27" t="n">
        <f aca="false">G457-G459</f>
        <v>2158.35594768</v>
      </c>
      <c r="H462" s="27" t="n">
        <f aca="false">H457-H459</f>
        <v>2129.46951038</v>
      </c>
      <c r="I462" s="27" t="n">
        <f aca="false">I457-I459</f>
        <v>2105.33926576</v>
      </c>
      <c r="J462" s="27" t="n">
        <f aca="false">J457-J459</f>
        <v>2044.72889458</v>
      </c>
      <c r="K462" s="27" t="n">
        <f aca="false">K457-K459</f>
        <v>2077.03721834134</v>
      </c>
      <c r="L462" s="27" t="n">
        <f aca="false">L457-L459</f>
        <v>2049.49161500631</v>
      </c>
      <c r="M462" s="27" t="n">
        <f aca="false">M457-M459</f>
        <v>2034.84738570068</v>
      </c>
      <c r="N462" s="27" t="n">
        <f aca="false">N457-N459</f>
        <v>2036.1212981289</v>
      </c>
      <c r="O462" s="27" t="n">
        <f aca="false">O457-O459</f>
        <v>2049.33136985313</v>
      </c>
      <c r="P462" s="27" t="n">
        <f aca="false">P457-P459</f>
        <v>2026.18002627007</v>
      </c>
      <c r="Q462" s="27" t="n">
        <f aca="false">Q457-Q459</f>
        <v>1967.69183152395</v>
      </c>
      <c r="R462" s="27" t="n">
        <f aca="false">R457-R459</f>
        <v>1870.75148142538</v>
      </c>
      <c r="S462" s="28" t="s">
        <v>147</v>
      </c>
      <c r="T462" s="13"/>
    </row>
    <row r="463" customFormat="false" ht="11.25" hidden="false" customHeight="false" outlineLevel="0" collapsed="false">
      <c r="A463" s="117" t="s">
        <v>154</v>
      </c>
      <c r="B463" s="32" t="n">
        <f aca="false">B462/B9</f>
        <v>2.05273907641526</v>
      </c>
      <c r="C463" s="32" t="n">
        <f aca="false">C462/C9</f>
        <v>1.74312575562139</v>
      </c>
      <c r="D463" s="32" t="n">
        <f aca="false">D462/D9</f>
        <v>1.53937189024985</v>
      </c>
      <c r="E463" s="32" t="n">
        <f aca="false">E462/E9</f>
        <v>1.39432902907133</v>
      </c>
      <c r="F463" s="32" t="n">
        <f aca="false">F462/F9</f>
        <v>1.22241426699439</v>
      </c>
      <c r="G463" s="32" t="n">
        <f aca="false">G462/G9</f>
        <v>1.08629755935362</v>
      </c>
      <c r="H463" s="32" t="n">
        <f aca="false">H462/H9</f>
        <v>0.997738745091983</v>
      </c>
      <c r="I463" s="32" t="n">
        <f aca="false">I462/I9</f>
        <v>0.92522137600863</v>
      </c>
      <c r="J463" s="32" t="n">
        <f aca="false">J462/J9</f>
        <v>0.847755950430894</v>
      </c>
      <c r="K463" s="32" t="n">
        <f aca="false">K462/K9</f>
        <v>0.82358296358097</v>
      </c>
      <c r="L463" s="32" t="n">
        <f aca="false">L462/L9</f>
        <v>0.785446371571766</v>
      </c>
      <c r="M463" s="32" t="n">
        <f aca="false">M462/M9</f>
        <v>0.759697490880272</v>
      </c>
      <c r="N463" s="32" t="n">
        <f aca="false">N462/N9</f>
        <v>0.747256227107586</v>
      </c>
      <c r="O463" s="32" t="n">
        <f aca="false">O462/O9</f>
        <v>0.744816083951479</v>
      </c>
      <c r="P463" s="32" t="n">
        <f aca="false">P462/P9</f>
        <v>0.735252016384292</v>
      </c>
      <c r="Q463" s="32" t="n">
        <f aca="false">Q462/Q9</f>
        <v>0.719205321011995</v>
      </c>
      <c r="R463" s="32" t="n">
        <f aca="false">R462/R9</f>
        <v>0.694103979363957</v>
      </c>
      <c r="S463" s="28" t="s">
        <v>151</v>
      </c>
      <c r="T463" s="13"/>
    </row>
    <row r="464" customFormat="false" ht="12.65" hidden="false" customHeight="false" outlineLevel="0" collapsed="false">
      <c r="A464" s="23" t="s">
        <v>7</v>
      </c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T464" s="13"/>
    </row>
    <row r="465" customFormat="false" ht="11.25" hidden="false" customHeight="false" outlineLevel="0" collapsed="false">
      <c r="A465" s="117"/>
      <c r="B465" s="24" t="n">
        <v>1970</v>
      </c>
      <c r="C465" s="24" t="n">
        <v>1975</v>
      </c>
      <c r="D465" s="24" t="n">
        <v>1980</v>
      </c>
      <c r="E465" s="24" t="n">
        <v>1985</v>
      </c>
      <c r="F465" s="24" t="n">
        <v>1990</v>
      </c>
      <c r="G465" s="24" t="n">
        <v>1995</v>
      </c>
      <c r="H465" s="24" t="n">
        <v>2000</v>
      </c>
      <c r="I465" s="24" t="n">
        <v>2005</v>
      </c>
      <c r="J465" s="24" t="n">
        <v>2010</v>
      </c>
      <c r="K465" s="24" t="n">
        <v>2015</v>
      </c>
      <c r="L465" s="24" t="n">
        <v>2020</v>
      </c>
      <c r="M465" s="24" t="n">
        <v>2025</v>
      </c>
      <c r="N465" s="24" t="n">
        <v>2030</v>
      </c>
      <c r="O465" s="24" t="n">
        <v>2035</v>
      </c>
      <c r="P465" s="24" t="n">
        <v>2040</v>
      </c>
      <c r="Q465" s="24" t="n">
        <v>2045</v>
      </c>
      <c r="R465" s="24" t="n">
        <v>2050</v>
      </c>
      <c r="S465" s="25" t="s">
        <v>15</v>
      </c>
      <c r="T465" s="13"/>
    </row>
    <row r="466" s="3" customFormat="true" ht="11.25" hidden="false" customHeight="false" outlineLevel="0" collapsed="false">
      <c r="G466" s="5"/>
      <c r="H466" s="5"/>
      <c r="I466" s="5"/>
      <c r="J466" s="147" t="str">
        <f aca="false">CONCATENATE(A457,", Your forecast")</f>
        <v> Biocapacidade total, BRISE, Sua previsão</v>
      </c>
      <c r="K466" s="151" t="n">
        <f aca="false">K457</f>
        <v>4500</v>
      </c>
      <c r="L466" s="151" t="n">
        <f aca="false">L457*0.98</f>
        <v>4410</v>
      </c>
      <c r="M466" s="151" t="n">
        <f aca="false">M457*0.98</f>
        <v>4410</v>
      </c>
      <c r="N466" s="151" t="n">
        <f aca="false">N457*0.98</f>
        <v>4410</v>
      </c>
      <c r="O466" s="151" t="n">
        <f aca="false">O457*0.98</f>
        <v>4410</v>
      </c>
      <c r="P466" s="151" t="n">
        <f aca="false">P457*0.98</f>
        <v>4361</v>
      </c>
      <c r="Q466" s="151" t="n">
        <f aca="false">Q457*0.98</f>
        <v>4263</v>
      </c>
      <c r="R466" s="151" t="n">
        <f aca="false">R457*0.98</f>
        <v>4116</v>
      </c>
      <c r="S466" s="28" t="s">
        <v>147</v>
      </c>
      <c r="T466" s="13"/>
    </row>
    <row r="467" s="3" customFormat="true" ht="11.25" hidden="false" customHeight="false" outlineLevel="0" collapsed="false">
      <c r="F467" s="8"/>
      <c r="G467" s="8"/>
      <c r="H467" s="8"/>
      <c r="I467" s="8"/>
      <c r="J467" s="146" t="str">
        <f aca="false">CONCATENATE(A458,", Your forecast")</f>
        <v>Crescimento da capacidade biológica total, sua previsão</v>
      </c>
      <c r="K467" s="137" t="n">
        <f aca="false">(K466-J457)/J457*100/5</f>
        <v>0.355518192760466</v>
      </c>
      <c r="L467" s="137" t="n">
        <f aca="false">(L466-K466)/K466*100/5</f>
        <v>-0.4</v>
      </c>
      <c r="M467" s="137" t="n">
        <f aca="false">(M466-L466)/L466*100/5</f>
        <v>0</v>
      </c>
      <c r="N467" s="137" t="n">
        <f aca="false">(N466-M466)/M466*100/5</f>
        <v>0</v>
      </c>
      <c r="O467" s="137" t="n">
        <f aca="false">(O466-N466)/N466*100/5</f>
        <v>0</v>
      </c>
      <c r="P467" s="137" t="n">
        <f aca="false">(P466-O466)/O466*100/5</f>
        <v>-0.222222222222222</v>
      </c>
      <c r="Q467" s="137" t="n">
        <f aca="false">(Q466-P466)/P466*100/5</f>
        <v>-0.449438202247191</v>
      </c>
      <c r="R467" s="137" t="n">
        <f aca="false">(R466-Q466)/Q466*100/5</f>
        <v>-0.689655172413793</v>
      </c>
      <c r="S467" s="28" t="s">
        <v>25</v>
      </c>
      <c r="T467" s="13"/>
    </row>
    <row r="468" s="3" customFormat="true" ht="11.25" hidden="false" customHeight="false" outlineLevel="0" collapsed="false">
      <c r="G468" s="8"/>
      <c r="H468" s="8"/>
      <c r="I468" s="8"/>
      <c r="J468" s="146" t="str">
        <f aca="false">CONCATENATE(A459,", Your forecast")</f>
        <v> Pegada não energética, sua previsão</v>
      </c>
      <c r="K468" s="84" t="n">
        <f aca="false">K469*K17</f>
        <v>2422.96278165866</v>
      </c>
      <c r="L468" s="84" t="n">
        <f aca="false">L469*L17</f>
        <v>2449.99449539172</v>
      </c>
      <c r="M468" s="84" t="n">
        <f aca="false">M469*M17</f>
        <v>2464.36828694815</v>
      </c>
      <c r="N468" s="84" t="n">
        <f aca="false">N469*N17</f>
        <v>2463.13486123226</v>
      </c>
      <c r="O468" s="84" t="n">
        <f aca="false">O469*O17</f>
        <v>2450.19998540602</v>
      </c>
      <c r="P468" s="84" t="n">
        <f aca="false">P469*P17</f>
        <v>2423.89427254656</v>
      </c>
      <c r="Q468" s="84" t="n">
        <f aca="false">Q469*Q17</f>
        <v>2383.2080364313</v>
      </c>
      <c r="R468" s="84" t="n">
        <f aca="false">R469*R17</f>
        <v>2331.18472384395</v>
      </c>
      <c r="S468" s="28" t="s">
        <v>147</v>
      </c>
      <c r="T468" s="13"/>
    </row>
    <row r="469" s="3" customFormat="true" ht="11.25" hidden="false" customHeight="false" outlineLevel="0" collapsed="false">
      <c r="E469" s="8"/>
      <c r="F469" s="8"/>
      <c r="G469" s="8"/>
      <c r="H469" s="8"/>
      <c r="I469" s="8"/>
      <c r="J469" s="146" t="str">
        <f aca="false">CONCATENATE(A460,", Your forecast")</f>
        <v> Pegada não energética por pessoa (NEFPP), sua previsão</v>
      </c>
      <c r="K469" s="43" t="n">
        <f aca="false">J460*(1+K470/20)</f>
        <v>0.960748729364793</v>
      </c>
      <c r="L469" s="43" t="n">
        <f aca="false">K469*(1+L470/20)</f>
        <v>0.9395642198823</v>
      </c>
      <c r="M469" s="43" t="n">
        <f aca="false">L469*(1+M470/20)</f>
        <v>0.921148761172607</v>
      </c>
      <c r="N469" s="43" t="n">
        <f aca="false">M469*(1+N470/20)</f>
        <v>0.905351059918496</v>
      </c>
      <c r="O469" s="43" t="n">
        <f aca="false">N469*(1+O470/20)</f>
        <v>0.892042399337695</v>
      </c>
      <c r="P469" s="43" t="n">
        <f aca="false">O469*(1+P470/20)</f>
        <v>0.881114879945808</v>
      </c>
      <c r="Q469" s="43" t="n">
        <f aca="false">P469*(1+Q470/20)</f>
        <v>0.872479954122339</v>
      </c>
      <c r="R469" s="43" t="n">
        <f aca="false">Q469*(1+R470/20)</f>
        <v>0.86606722645954</v>
      </c>
      <c r="S469" s="28" t="s">
        <v>151</v>
      </c>
      <c r="T469" s="13"/>
    </row>
    <row r="470" s="3" customFormat="true" ht="11.25" hidden="false" customHeight="false" outlineLevel="0" collapsed="false">
      <c r="G470" s="5"/>
      <c r="H470" s="5"/>
      <c r="I470" s="5"/>
      <c r="J470" s="147" t="str">
        <f aca="false">CONCATENATE(A461,", Your forecast")</f>
        <v> Taxa de variação do NEFPP, sua previsão</v>
      </c>
      <c r="K470" s="83" t="n">
        <f aca="false">K461</f>
        <v>-0.499999999999998</v>
      </c>
      <c r="L470" s="83" t="n">
        <f aca="false">L461*0.98</f>
        <v>-0.440999999999999</v>
      </c>
      <c r="M470" s="83" t="n">
        <f aca="false">M461*0.98</f>
        <v>-0.392000000000003</v>
      </c>
      <c r="N470" s="83" t="n">
        <f aca="false">N461*0.98</f>
        <v>-0.342999999999999</v>
      </c>
      <c r="O470" s="83" t="n">
        <f aca="false">O461*0.98</f>
        <v>-0.293999999999997</v>
      </c>
      <c r="P470" s="83" t="n">
        <f aca="false">P461*0.98</f>
        <v>-0.245000000000003</v>
      </c>
      <c r="Q470" s="83" t="n">
        <f aca="false">Q461*0.98</f>
        <v>-0.195999999999996</v>
      </c>
      <c r="R470" s="83" t="n">
        <f aca="false">R461*0.98</f>
        <v>-0.147000000000005</v>
      </c>
      <c r="S470" s="28" t="s">
        <v>25</v>
      </c>
      <c r="T470" s="13"/>
    </row>
    <row r="471" s="3" customFormat="true" ht="11.25" hidden="false" customHeight="false" outlineLevel="0" collapsed="false">
      <c r="G471" s="8"/>
      <c r="H471" s="8"/>
      <c r="I471" s="8"/>
      <c r="J471" s="146" t="str">
        <f aca="false">CONCATENATE(A462,", Your forecast")</f>
        <v> Biocapacidade não utilizada, Sua previsão</v>
      </c>
      <c r="K471" s="84" t="n">
        <f aca="false">K466-K468</f>
        <v>2077.03721834134</v>
      </c>
      <c r="L471" s="84" t="n">
        <f aca="false">L466-L468</f>
        <v>1960.00550460828</v>
      </c>
      <c r="M471" s="84" t="n">
        <f aca="false">M466-M468</f>
        <v>1945.63171305185</v>
      </c>
      <c r="N471" s="84" t="n">
        <f aca="false">N466-N468</f>
        <v>1946.86513876774</v>
      </c>
      <c r="O471" s="84" t="n">
        <f aca="false">O466-O468</f>
        <v>1959.80001459398</v>
      </c>
      <c r="P471" s="84" t="n">
        <f aca="false">P466-P468</f>
        <v>1937.10572745344</v>
      </c>
      <c r="Q471" s="84" t="n">
        <f aca="false">Q466-Q468</f>
        <v>1879.7919635687</v>
      </c>
      <c r="R471" s="84" t="n">
        <f aca="false">R466-R468</f>
        <v>1784.81527615605</v>
      </c>
      <c r="S471" s="28" t="s">
        <v>147</v>
      </c>
      <c r="T471" s="13"/>
    </row>
    <row r="472" s="3" customFormat="true" ht="11.25" hidden="false" customHeight="false" outlineLevel="0" collapsed="false">
      <c r="F472" s="8"/>
      <c r="G472" s="8"/>
      <c r="H472" s="8"/>
      <c r="I472" s="8"/>
      <c r="J472" s="146" t="str">
        <f aca="false">CONCATENATE(A463,", Your forecast")</f>
        <v> Biocapacidade não utilizada por pessoa, sua previsão</v>
      </c>
      <c r="K472" s="43" t="n">
        <f aca="false">K471/K17</f>
        <v>0.82358296358097</v>
      </c>
      <c r="L472" s="43" t="n">
        <f aca="false">L471/L17</f>
        <v>0.751655175701876</v>
      </c>
      <c r="M472" s="43" t="n">
        <f aca="false">M471/M17</f>
        <v>0.72725178767631</v>
      </c>
      <c r="N472" s="43" t="n">
        <f aca="false">N471/N17</f>
        <v>0.715590707047176</v>
      </c>
      <c r="O472" s="43" t="n">
        <f aca="false">O471/O17</f>
        <v>0.713502864114481</v>
      </c>
      <c r="P472" s="43" t="n">
        <f aca="false">P471/P17</f>
        <v>0.704161357126477</v>
      </c>
      <c r="Q472" s="43" t="n">
        <f aca="false">Q471/Q17</f>
        <v>0.688181971973325</v>
      </c>
      <c r="R472" s="43" t="n">
        <f aca="false">R471/R17</f>
        <v>0.663083452869503</v>
      </c>
      <c r="S472" s="28" t="str">
        <f aca="false">S463</f>
        <v> gha / pessoa</v>
      </c>
      <c r="T472" s="13"/>
      <c r="X472" s="15" t="s">
        <v>33</v>
      </c>
    </row>
    <row r="473" customFormat="false" ht="11.25" hidden="false" customHeight="false" outlineLevel="0" collapsed="false">
      <c r="A473" s="117"/>
      <c r="T473" s="13"/>
      <c r="V473" s="3" t="s">
        <v>35</v>
      </c>
      <c r="AA473" s="52" t="s">
        <v>36</v>
      </c>
    </row>
    <row r="474" customFormat="false" ht="28.3" hidden="false" customHeight="false" outlineLevel="0" collapsed="false">
      <c r="T474" s="13"/>
      <c r="U474" s="55" t="s">
        <v>37</v>
      </c>
      <c r="V474" s="54" t="s">
        <v>38</v>
      </c>
      <c r="W474" s="54" t="s">
        <v>39</v>
      </c>
      <c r="X474" s="55"/>
      <c r="Y474" s="55"/>
      <c r="AA474" s="16"/>
      <c r="AB474" s="24" t="n">
        <v>1970</v>
      </c>
      <c r="AC474" s="24" t="n">
        <v>1975</v>
      </c>
      <c r="AD474" s="24" t="n">
        <v>1980</v>
      </c>
      <c r="AE474" s="24" t="n">
        <v>1985</v>
      </c>
      <c r="AF474" s="24" t="n">
        <v>1990</v>
      </c>
      <c r="AG474" s="24" t="n">
        <v>1995</v>
      </c>
      <c r="AH474" s="24" t="n">
        <v>2000</v>
      </c>
      <c r="AI474" s="24" t="n">
        <v>2005</v>
      </c>
      <c r="AJ474" s="24" t="n">
        <v>2010</v>
      </c>
      <c r="AK474" s="24" t="n">
        <v>2015</v>
      </c>
      <c r="AL474" s="24" t="n">
        <v>2020</v>
      </c>
      <c r="AM474" s="24" t="n">
        <v>2025</v>
      </c>
      <c r="AN474" s="24" t="n">
        <v>2030</v>
      </c>
      <c r="AO474" s="24" t="n">
        <v>2035</v>
      </c>
      <c r="AP474" s="24" t="n">
        <v>2040</v>
      </c>
      <c r="AQ474" s="24" t="n">
        <v>2045</v>
      </c>
      <c r="AR474" s="24" t="n">
        <v>2050</v>
      </c>
    </row>
    <row r="475" customFormat="false" ht="11.25" hidden="false" customHeight="false" outlineLevel="0" collapsed="false">
      <c r="T475" s="13"/>
      <c r="U475" s="15" t="str">
        <f aca="false">AA475</f>
        <v> Biocapacidade total, BRISE (0 - 5000 Mgha)</v>
      </c>
      <c r="V475" s="25" t="n">
        <v>5000</v>
      </c>
      <c r="W475" s="70" t="n">
        <f aca="false">W482</f>
        <v>5000</v>
      </c>
      <c r="AA475" s="152" t="str">
        <f aca="false">CONCATENATE(A457," (0 - ",W475," Mgha)")</f>
        <v> Biocapacidade total, BRISE (0 - 5000 Mgha)</v>
      </c>
      <c r="AB475" s="57" t="n">
        <f aca="false">B457/$W475</f>
        <v>0.924201129284</v>
      </c>
      <c r="AC475" s="57" t="n">
        <f aca="false">C457/$W475</f>
        <v>0.9009473148</v>
      </c>
      <c r="AD475" s="57" t="n">
        <f aca="false">D457/$W475</f>
        <v>0.92373097364</v>
      </c>
      <c r="AE475" s="57" t="n">
        <f aca="false">E457/$W475</f>
        <v>0.926907114214</v>
      </c>
      <c r="AF475" s="57" t="n">
        <f aca="false">F457/$W475</f>
        <v>0.953169281962</v>
      </c>
      <c r="AG475" s="57" t="n">
        <f aca="false">G457/$W475</f>
        <v>0.885816344002</v>
      </c>
      <c r="AH475" s="57" t="n">
        <f aca="false">H457/$W475</f>
        <v>0.877959058014</v>
      </c>
      <c r="AI475" s="57" t="n">
        <f aca="false">I457/$W475</f>
        <v>0.875555589878</v>
      </c>
      <c r="AJ475" s="57" t="n">
        <f aca="false">J457/$W475</f>
        <v>0.884281099088</v>
      </c>
      <c r="AK475" s="57" t="n">
        <f aca="false">K457/$W475</f>
        <v>0.9</v>
      </c>
      <c r="AL475" s="57" t="n">
        <f aca="false">L457/$W475</f>
        <v>0.9</v>
      </c>
      <c r="AM475" s="57" t="n">
        <f aca="false">M457/$W475</f>
        <v>0.9</v>
      </c>
      <c r="AN475" s="57" t="n">
        <f aca="false">N457/$W475</f>
        <v>0.9</v>
      </c>
      <c r="AO475" s="57" t="n">
        <f aca="false">O457/$W475</f>
        <v>0.9</v>
      </c>
      <c r="AP475" s="57" t="n">
        <f aca="false">P457/$W475</f>
        <v>0.89</v>
      </c>
      <c r="AQ475" s="57" t="n">
        <f aca="false">Q457/$W475</f>
        <v>0.87</v>
      </c>
      <c r="AR475" s="57" t="n">
        <f aca="false">R457/$W475</f>
        <v>0.84</v>
      </c>
    </row>
    <row r="476" customFormat="false" ht="11.25" hidden="false" customHeight="false" outlineLevel="0" collapsed="false">
      <c r="T476" s="13"/>
      <c r="U476" s="15" t="str">
        <f aca="false">AA476</f>
        <v> Crescimento da biocapacidade total (0 - 1 % / ano)</v>
      </c>
      <c r="V476" s="25" t="n">
        <v>1</v>
      </c>
      <c r="W476" s="70" t="n">
        <f aca="false">W483</f>
        <v>1</v>
      </c>
      <c r="AA476" s="152" t="str">
        <f aca="false">CONCATENATE(A458," (0 - ",W476," % / yr)")</f>
        <v> Crescimento da biocapacidade total (0 - 1 % / ano)</v>
      </c>
      <c r="AB476" s="57" t="n">
        <f aca="false">B458/$W476</f>
        <v>0</v>
      </c>
      <c r="AC476" s="57" t="n">
        <f aca="false">C458/$W476</f>
        <v>-0.503219780785487</v>
      </c>
      <c r="AD476" s="57" t="n">
        <f aca="false">D458/$W476</f>
        <v>0.505771169206671</v>
      </c>
      <c r="AE476" s="57" t="n">
        <f aca="false">E458/$W476</f>
        <v>0.0687676534539917</v>
      </c>
      <c r="AF476" s="57" t="n">
        <f aca="false">F458/$W476</f>
        <v>0.566662340708643</v>
      </c>
      <c r="AG476" s="57" t="n">
        <f aca="false">G458/$W476</f>
        <v>-1.41324189175213</v>
      </c>
      <c r="AH476" s="57" t="n">
        <f aca="false">H458/$W476</f>
        <v>-0.177402145291242</v>
      </c>
      <c r="AI476" s="57" t="n">
        <f aca="false">I458/$W476</f>
        <v>-0.0547512577963958</v>
      </c>
      <c r="AJ476" s="57" t="n">
        <f aca="false">J458/$W476</f>
        <v>0.199313654344114</v>
      </c>
      <c r="AK476" s="57" t="n">
        <f aca="false">K458/$W476</f>
        <v>0.355518192760466</v>
      </c>
      <c r="AL476" s="57" t="n">
        <f aca="false">L458/$W476</f>
        <v>0</v>
      </c>
      <c r="AM476" s="57" t="n">
        <f aca="false">M458/$W476</f>
        <v>0</v>
      </c>
      <c r="AN476" s="57" t="n">
        <f aca="false">N458/$W476</f>
        <v>0</v>
      </c>
      <c r="AO476" s="57" t="n">
        <f aca="false">O458/$W476</f>
        <v>0</v>
      </c>
      <c r="AP476" s="57" t="n">
        <f aca="false">P458/$W476</f>
        <v>-0.222222222222222</v>
      </c>
      <c r="AQ476" s="57" t="n">
        <f aca="false">Q458/$W476</f>
        <v>-0.449438202247191</v>
      </c>
      <c r="AR476" s="57" t="n">
        <f aca="false">R458/$W476</f>
        <v>-0.689655172413793</v>
      </c>
    </row>
    <row r="477" customFormat="false" ht="11.25" hidden="false" customHeight="false" outlineLevel="0" collapsed="false">
      <c r="T477" s="13"/>
      <c r="U477" s="15" t="str">
        <f aca="false">AA477</f>
        <v> Pegada não energética (0 - 5000 Mgha)</v>
      </c>
      <c r="V477" s="25" t="n">
        <f aca="false">V475</f>
        <v>5000</v>
      </c>
      <c r="W477" s="70" t="n">
        <f aca="false">W484</f>
        <v>5000</v>
      </c>
      <c r="AA477" s="152" t="str">
        <f aca="false">CONCATENATE(A459," (0 - ",W477," Mgha)")</f>
        <v> Pegada não energética (0 - 5000 Mgha)</v>
      </c>
      <c r="AB477" s="57" t="n">
        <f aca="false">B459/$W477</f>
        <v>0.42875271018362</v>
      </c>
      <c r="AC477" s="57" t="n">
        <f aca="false">C459/$W477</f>
        <v>0.4322638630352</v>
      </c>
      <c r="AD477" s="57" t="n">
        <f aca="false">D459/$W477</f>
        <v>0.4630587428058</v>
      </c>
      <c r="AE477" s="57" t="n">
        <f aca="false">E459/$W477</f>
        <v>0.4634366873958</v>
      </c>
      <c r="AF477" s="57" t="n">
        <f aca="false">F459/$W477</f>
        <v>0.505665011052</v>
      </c>
      <c r="AG477" s="57" t="n">
        <f aca="false">G459/$W477</f>
        <v>0.454145154466</v>
      </c>
      <c r="AH477" s="57" t="n">
        <f aca="false">H459/$W477</f>
        <v>0.452065155938</v>
      </c>
      <c r="AI477" s="57" t="n">
        <f aca="false">I459/$W477</f>
        <v>0.454487736726</v>
      </c>
      <c r="AJ477" s="57" t="n">
        <f aca="false">J459/$W477</f>
        <v>0.475335320172</v>
      </c>
      <c r="AK477" s="57" t="n">
        <f aca="false">K459/$W477</f>
        <v>0.484592556331732</v>
      </c>
      <c r="AL477" s="57" t="n">
        <f aca="false">L459/$W477</f>
        <v>0.490101676998738</v>
      </c>
      <c r="AM477" s="57" t="n">
        <f aca="false">M459/$W477</f>
        <v>0.493030522859864</v>
      </c>
      <c r="AN477" s="57" t="n">
        <f aca="false">N459/$W477</f>
        <v>0.492775740374219</v>
      </c>
      <c r="AO477" s="57" t="n">
        <f aca="false">O459/$W477</f>
        <v>0.490133726029374</v>
      </c>
      <c r="AP477" s="57" t="n">
        <f aca="false">P459/$W477</f>
        <v>0.484763994745987</v>
      </c>
      <c r="AQ477" s="57" t="n">
        <f aca="false">Q459/$W477</f>
        <v>0.47646163369521</v>
      </c>
      <c r="AR477" s="57" t="n">
        <f aca="false">R459/$W477</f>
        <v>0.465849703714924</v>
      </c>
    </row>
    <row r="478" customFormat="false" ht="11.25" hidden="false" customHeight="false" outlineLevel="0" collapsed="false">
      <c r="S478" s="131"/>
      <c r="T478" s="13"/>
      <c r="U478" s="15" t="str">
        <f aca="false">AA478</f>
        <v> Pegada não energética por pessoa (NEFPP) (0 - 2 gha/pessoa)</v>
      </c>
      <c r="V478" s="25" t="n">
        <v>2</v>
      </c>
      <c r="W478" s="70" t="n">
        <f aca="false">W485</f>
        <v>2</v>
      </c>
      <c r="AA478" s="152" t="str">
        <f aca="false">CONCATENATE(A460," (0 - ",W478," gha / person)")</f>
        <v> Pegada de carbono não energética por pessoa (NEFPP) (0 - 2 gha/pessoa)</v>
      </c>
      <c r="AB478" s="57" t="n">
        <f aca="false">B460/$W478</f>
        <v>0.888202896994762</v>
      </c>
      <c r="AC478" s="57" t="n">
        <f aca="false">C460/$W478</f>
        <v>0.803837078142862</v>
      </c>
      <c r="AD478" s="57" t="n">
        <f aca="false">D460/$W478</f>
        <v>0.773673302294437</v>
      </c>
      <c r="AE478" s="57" t="n">
        <f aca="false">E460/$W478</f>
        <v>0.697113762801193</v>
      </c>
      <c r="AF478" s="57" t="n">
        <f aca="false">F460/$W478</f>
        <v>0.690643826228596</v>
      </c>
      <c r="AG478" s="57" t="n">
        <f aca="false">G460/$W478</f>
        <v>0.571426568239328</v>
      </c>
      <c r="AH478" s="57" t="n">
        <f aca="false">H460/$W478</f>
        <v>0.529524981675958</v>
      </c>
      <c r="AI478" s="57" t="n">
        <f aca="false">I460/$W478</f>
        <v>0.499327799551682</v>
      </c>
      <c r="AJ478" s="57" t="n">
        <f aca="false">J460/$W478</f>
        <v>0.492691656084509</v>
      </c>
      <c r="AK478" s="57" t="n">
        <f aca="false">K460/$W478</f>
        <v>0.480374364682397</v>
      </c>
      <c r="AL478" s="57" t="n">
        <f aca="false">L460/$W478</f>
        <v>0.469565941477043</v>
      </c>
      <c r="AM478" s="57" t="n">
        <f aca="false">M460/$W478</f>
        <v>0.460174622647502</v>
      </c>
      <c r="AN478" s="57" t="n">
        <f aca="false">N460/$W478</f>
        <v>0.452121566751171</v>
      </c>
      <c r="AO478" s="57" t="n">
        <f aca="false">O460/$W478</f>
        <v>0.445339743249903</v>
      </c>
      <c r="AP478" s="57" t="n">
        <f aca="false">P460/$W478</f>
        <v>0.439772996459279</v>
      </c>
      <c r="AQ478" s="57" t="n">
        <f aca="false">Q460/$W478</f>
        <v>0.435375266494687</v>
      </c>
      <c r="AR478" s="57" t="n">
        <f aca="false">R460/$W478</f>
        <v>0.432109951995976</v>
      </c>
    </row>
    <row r="479" customFormat="false" ht="11.25" hidden="false" customHeight="false" outlineLevel="0" collapsed="false">
      <c r="T479" s="13"/>
      <c r="U479" s="15" t="str">
        <f aca="false">AA479</f>
        <v> Taxa de variação do NEFPP (0 - 1 % / ano)</v>
      </c>
      <c r="V479" s="25" t="n">
        <v>1</v>
      </c>
      <c r="W479" s="70" t="n">
        <f aca="false">W486</f>
        <v>1</v>
      </c>
      <c r="AA479" s="152" t="str">
        <f aca="false">CONCATENATE(A461," (0 - ",W479," % / yr)")</f>
        <v> Taxa de variação do NEFPP (0 - 1 % / ano)</v>
      </c>
      <c r="AB479" s="57" t="n">
        <f aca="false">B461/$W479</f>
        <v>0</v>
      </c>
      <c r="AC479" s="57" t="n">
        <f aca="false">C461/$W479</f>
        <v>-1.89969699800242</v>
      </c>
      <c r="AD479" s="57" t="n">
        <f aca="false">D461/$W479</f>
        <v>-0.750494762399204</v>
      </c>
      <c r="AE479" s="57" t="n">
        <f aca="false">E461/$W479</f>
        <v>-1.97911804029417</v>
      </c>
      <c r="AF479" s="57" t="n">
        <f aca="false">F461/$W479</f>
        <v>-0.18562068109512</v>
      </c>
      <c r="AG479" s="57" t="n">
        <f aca="false">G461/$W479</f>
        <v>-3.45235137017812</v>
      </c>
      <c r="AH479" s="57" t="n">
        <f aca="false">H461/$W479</f>
        <v>-1.46656067086545</v>
      </c>
      <c r="AI479" s="57" t="n">
        <f aca="false">I461/$W479</f>
        <v>-1.14053852676416</v>
      </c>
      <c r="AJ479" s="57" t="n">
        <f aca="false">J461/$W479</f>
        <v>-0.26580308459215</v>
      </c>
      <c r="AK479" s="57" t="n">
        <f aca="false">K461/$W479</f>
        <v>-0.499999999999998</v>
      </c>
      <c r="AL479" s="57" t="n">
        <f aca="false">L461/$W479</f>
        <v>-0.449999999999999</v>
      </c>
      <c r="AM479" s="57" t="n">
        <f aca="false">M461/$W479</f>
        <v>-0.400000000000003</v>
      </c>
      <c r="AN479" s="57" t="n">
        <f aca="false">N461/$W479</f>
        <v>-0.349999999999999</v>
      </c>
      <c r="AO479" s="57" t="n">
        <f aca="false">O461/$W479</f>
        <v>-0.299999999999997</v>
      </c>
      <c r="AP479" s="57" t="n">
        <f aca="false">P461/$W479</f>
        <v>-0.250000000000003</v>
      </c>
      <c r="AQ479" s="57" t="n">
        <f aca="false">Q461/$W479</f>
        <v>-0.199999999999996</v>
      </c>
      <c r="AR479" s="57" t="n">
        <f aca="false">R461/$W479</f>
        <v>-0.150000000000005</v>
      </c>
    </row>
    <row r="480" s="3" customFormat="true" ht="11.25" hidden="false" customHeight="false" outlineLevel="0" collapsed="false">
      <c r="T480" s="13"/>
      <c r="U480" s="15" t="str">
        <f aca="false">AA480</f>
        <v> Biocapacidade não utilizada (0 - 5000 Mgha)</v>
      </c>
      <c r="V480" s="25" t="n">
        <f aca="false">V475</f>
        <v>5000</v>
      </c>
      <c r="W480" s="70" t="n">
        <f aca="false">W487</f>
        <v>5000</v>
      </c>
      <c r="AA480" s="152" t="str">
        <f aca="false">CONCATENATE(A462," (0 - ",W480," Mgha)")</f>
        <v> Biocapacidade não utilizada (0 - 5000 Mgha)</v>
      </c>
      <c r="AB480" s="57" t="n">
        <f aca="false">B462/$W480</f>
        <v>0.49544841910038</v>
      </c>
      <c r="AC480" s="57" t="n">
        <f aca="false">C462/$W480</f>
        <v>0.4686834517648</v>
      </c>
      <c r="AD480" s="57" t="n">
        <f aca="false">D462/$W480</f>
        <v>0.4606722308342</v>
      </c>
      <c r="AE480" s="57" t="n">
        <f aca="false">E462/$W480</f>
        <v>0.4634704268182</v>
      </c>
      <c r="AF480" s="57" t="n">
        <f aca="false">F462/$W480</f>
        <v>0.44750427091</v>
      </c>
      <c r="AG480" s="57" t="n">
        <f aca="false">G462/$W480</f>
        <v>0.431671189536</v>
      </c>
      <c r="AH480" s="57" t="n">
        <f aca="false">H462/$W480</f>
        <v>0.425893902076</v>
      </c>
      <c r="AI480" s="57" t="n">
        <f aca="false">I462/$W480</f>
        <v>0.421067853152</v>
      </c>
      <c r="AJ480" s="57" t="n">
        <f aca="false">J462/$W480</f>
        <v>0.408945778916</v>
      </c>
      <c r="AK480" s="57" t="n">
        <f aca="false">K462/$W480</f>
        <v>0.415407443668268</v>
      </c>
      <c r="AL480" s="57" t="n">
        <f aca="false">L462/$W480</f>
        <v>0.409898323001262</v>
      </c>
      <c r="AM480" s="57" t="n">
        <f aca="false">M462/$W480</f>
        <v>0.406969477140136</v>
      </c>
      <c r="AN480" s="57" t="n">
        <f aca="false">N462/$W480</f>
        <v>0.407224259625781</v>
      </c>
      <c r="AO480" s="57" t="n">
        <f aca="false">O462/$W480</f>
        <v>0.409866273970626</v>
      </c>
      <c r="AP480" s="57" t="n">
        <f aca="false">P462/$W480</f>
        <v>0.405236005254013</v>
      </c>
      <c r="AQ480" s="57" t="n">
        <f aca="false">Q462/$W480</f>
        <v>0.39353836630479</v>
      </c>
      <c r="AR480" s="57" t="n">
        <f aca="false">R462/$W480</f>
        <v>0.374150296285076</v>
      </c>
    </row>
    <row r="481" s="3" customFormat="true" ht="11.25" hidden="false" customHeight="false" outlineLevel="0" collapsed="false">
      <c r="S481" s="29"/>
      <c r="T481" s="13"/>
      <c r="U481" s="148" t="str">
        <f aca="false">AA481</f>
        <v> Biocapacidade não utilizada por pessoa (0 - 2,5 gha / pessoa)</v>
      </c>
      <c r="V481" s="25" t="n">
        <v>2.5</v>
      </c>
      <c r="W481" s="70" t="n">
        <f aca="false">W488</f>
        <v>2.5</v>
      </c>
      <c r="AA481" s="152" t="str">
        <f aca="false">CONCATENATE(A463," (0 - ",W481," gha / person)")</f>
        <v> Biocapacidade não utilizada por pessoa (0 - 2,5 gha / pessoa)</v>
      </c>
      <c r="AB481" s="57" t="n">
        <f aca="false">B463/$W481</f>
        <v>0.821095630566105</v>
      </c>
      <c r="AC481" s="57" t="n">
        <f aca="false">C463/$W481</f>
        <v>0.697250302248557</v>
      </c>
      <c r="AD481" s="57" t="n">
        <f aca="false">D463/$W481</f>
        <v>0.615748756099939</v>
      </c>
      <c r="AE481" s="57" t="n">
        <f aca="false">E463/$W481</f>
        <v>0.557731611628533</v>
      </c>
      <c r="AF481" s="57" t="n">
        <f aca="false">F463/$W481</f>
        <v>0.488965706797756</v>
      </c>
      <c r="AG481" s="57" t="n">
        <f aca="false">G463/$W481</f>
        <v>0.434519023741449</v>
      </c>
      <c r="AH481" s="57" t="n">
        <f aca="false">H463/$W481</f>
        <v>0.399095498036793</v>
      </c>
      <c r="AI481" s="57" t="n">
        <f aca="false">I463/$W481</f>
        <v>0.370088550403452</v>
      </c>
      <c r="AJ481" s="57" t="n">
        <f aca="false">J463/$W481</f>
        <v>0.339102380172358</v>
      </c>
      <c r="AK481" s="57" t="n">
        <f aca="false">K463/$W481</f>
        <v>0.329433185432388</v>
      </c>
      <c r="AL481" s="57" t="n">
        <f aca="false">L463/$W481</f>
        <v>0.314178548628707</v>
      </c>
      <c r="AM481" s="57" t="n">
        <f aca="false">M463/$W481</f>
        <v>0.303878996352109</v>
      </c>
      <c r="AN481" s="57" t="n">
        <f aca="false">N463/$W481</f>
        <v>0.298902490843035</v>
      </c>
      <c r="AO481" s="57" t="n">
        <f aca="false">O463/$W481</f>
        <v>0.297926433580592</v>
      </c>
      <c r="AP481" s="57" t="n">
        <f aca="false">P463/$W481</f>
        <v>0.294100806553717</v>
      </c>
      <c r="AQ481" s="57" t="n">
        <f aca="false">Q463/$W481</f>
        <v>0.287682128404798</v>
      </c>
      <c r="AR481" s="57" t="n">
        <f aca="false">R463/$W481</f>
        <v>0.277641591745583</v>
      </c>
    </row>
    <row r="482" s="3" customFormat="true" ht="11.25" hidden="false" customHeight="false" outlineLevel="0" collapsed="false">
      <c r="S482" s="29"/>
      <c r="T482" s="13"/>
      <c r="U482" s="37" t="str">
        <f aca="false">AA483</f>
        <v>Biocapacidade total, BRISE (0 - 5000 Mgha), Sua previsão</v>
      </c>
      <c r="W482" s="4" t="n">
        <v>5000</v>
      </c>
      <c r="AA482" s="153"/>
      <c r="AB482" s="24" t="n">
        <v>1970</v>
      </c>
      <c r="AC482" s="24" t="n">
        <v>1975</v>
      </c>
      <c r="AD482" s="24" t="n">
        <v>1980</v>
      </c>
      <c r="AE482" s="24" t="n">
        <v>1985</v>
      </c>
      <c r="AF482" s="24" t="n">
        <v>1990</v>
      </c>
      <c r="AG482" s="24" t="n">
        <v>1995</v>
      </c>
      <c r="AH482" s="24" t="n">
        <v>2000</v>
      </c>
      <c r="AI482" s="24" t="n">
        <v>2005</v>
      </c>
      <c r="AJ482" s="24" t="n">
        <v>2010</v>
      </c>
      <c r="AK482" s="24" t="n">
        <v>2015</v>
      </c>
      <c r="AL482" s="24" t="n">
        <v>2020</v>
      </c>
      <c r="AM482" s="24" t="n">
        <v>2025</v>
      </c>
      <c r="AN482" s="24" t="n">
        <v>2030</v>
      </c>
      <c r="AO482" s="24" t="n">
        <v>2035</v>
      </c>
      <c r="AP482" s="24" t="n">
        <v>2040</v>
      </c>
      <c r="AQ482" s="24" t="n">
        <v>2045</v>
      </c>
      <c r="AR482" s="24" t="n">
        <v>2050</v>
      </c>
    </row>
    <row r="483" s="3" customFormat="true" ht="11.25" hidden="false" customHeight="false" outlineLevel="0" collapsed="false">
      <c r="S483" s="29"/>
      <c r="T483" s="13"/>
      <c r="U483" s="37" t="str">
        <f aca="false">AA484</f>
        <v> Crescimento da biocapacidade total (0 - 1% ao ano), sua previsão</v>
      </c>
      <c r="W483" s="4" t="n">
        <v>1</v>
      </c>
      <c r="AA483" s="152" t="str">
        <f aca="false">CONCATENATE(A457," (0 - ",W482," Mgha), Your forecast")</f>
        <v> Biocapacidade total, BRISE (0 - 5000 Mgha), Sua previsão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57" t="n">
        <f aca="false">K466/$W482</f>
        <v>0.9</v>
      </c>
      <c r="AL483" s="57" t="n">
        <f aca="false">L466/$W482</f>
        <v>0.882</v>
      </c>
      <c r="AM483" s="57" t="n">
        <f aca="false">M466/$W482</f>
        <v>0.882</v>
      </c>
      <c r="AN483" s="57" t="n">
        <f aca="false">N466/$W482</f>
        <v>0.882</v>
      </c>
      <c r="AO483" s="57" t="n">
        <f aca="false">O466/$W482</f>
        <v>0.882</v>
      </c>
      <c r="AP483" s="57" t="n">
        <f aca="false">P466/$W482</f>
        <v>0.8722</v>
      </c>
      <c r="AQ483" s="57" t="n">
        <f aca="false">Q466/$W482</f>
        <v>0.8526</v>
      </c>
      <c r="AR483" s="57" t="n">
        <f aca="false">R466/$W482</f>
        <v>0.8232</v>
      </c>
    </row>
    <row r="484" s="3" customFormat="true" ht="11.25" hidden="false" customHeight="false" outlineLevel="0" collapsed="false">
      <c r="S484" s="29"/>
      <c r="T484" s="13"/>
      <c r="U484" s="37" t="str">
        <f aca="false">AA485</f>
        <v> Pegada não energética (0 - 5000 Mgha), Sua previsão</v>
      </c>
      <c r="W484" s="93" t="n">
        <f aca="false">W482</f>
        <v>5000</v>
      </c>
      <c r="AA484" s="152" t="str">
        <f aca="false">CONCATENATE(A458," (0 - ",W483," % / yr), Your forecast")</f>
        <v> Crescimento da biocapacidade total (0 - 1% ao ano), sua previsão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57" t="n">
        <f aca="false">K467/$W483</f>
        <v>0.355518192760466</v>
      </c>
      <c r="AL484" s="57" t="n">
        <f aca="false">L467/$W483</f>
        <v>-0.4</v>
      </c>
      <c r="AM484" s="57" t="n">
        <f aca="false">M467/$W483</f>
        <v>0</v>
      </c>
      <c r="AN484" s="57" t="n">
        <f aca="false">N467/$W483</f>
        <v>0</v>
      </c>
      <c r="AO484" s="57" t="n">
        <f aca="false">O467/$W483</f>
        <v>0</v>
      </c>
      <c r="AP484" s="57" t="n">
        <f aca="false">P467/$W483</f>
        <v>-0.222222222222222</v>
      </c>
      <c r="AQ484" s="57" t="n">
        <f aca="false">Q467/$W483</f>
        <v>-0.449438202247191</v>
      </c>
      <c r="AR484" s="57" t="n">
        <f aca="false">R467/$W483</f>
        <v>-0.689655172413793</v>
      </c>
    </row>
    <row r="485" s="3" customFormat="true" ht="11.25" hidden="false" customHeight="false" outlineLevel="0" collapsed="false">
      <c r="S485" s="29"/>
      <c r="T485" s="13"/>
      <c r="U485" s="37" t="str">
        <f aca="false">AA486</f>
        <v> Pegada de carbono não energética por pessoa (NEFPP) (0 - 2 gha/pessoa), sua previsão</v>
      </c>
      <c r="W485" s="4" t="n">
        <v>2</v>
      </c>
      <c r="AA485" s="152" t="str">
        <f aca="false">CONCATENATE(A459," (0 - ",W484," Mgha), Your forecast")</f>
        <v> Pegada não energética (0 - 5000 Mgha), Sua previsão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57" t="n">
        <f aca="false">K468/$W484</f>
        <v>0.484592556331732</v>
      </c>
      <c r="AL485" s="57" t="n">
        <f aca="false">L468/$W484</f>
        <v>0.489998899078344</v>
      </c>
      <c r="AM485" s="57" t="n">
        <f aca="false">M468/$W484</f>
        <v>0.49287365738963</v>
      </c>
      <c r="AN485" s="57" t="n">
        <f aca="false">N468/$W484</f>
        <v>0.492626972246452</v>
      </c>
      <c r="AO485" s="57" t="n">
        <f aca="false">O468/$W484</f>
        <v>0.490039997081205</v>
      </c>
      <c r="AP485" s="57" t="n">
        <f aca="false">P468/$W484</f>
        <v>0.484778854509311</v>
      </c>
      <c r="AQ485" s="57" t="n">
        <f aca="false">Q468/$W484</f>
        <v>0.476641607286259</v>
      </c>
      <c r="AR485" s="57" t="n">
        <f aca="false">R468/$W484</f>
        <v>0.46623694476879</v>
      </c>
    </row>
    <row r="486" s="3" customFormat="true" ht="11.25" hidden="false" customHeight="false" outlineLevel="0" collapsed="false">
      <c r="S486" s="29"/>
      <c r="T486" s="13"/>
      <c r="U486" s="37" t="str">
        <f aca="false">AA487</f>
        <v> Taxa de variação do NEFPP (0 - 1 % / ano), Sua previsão</v>
      </c>
      <c r="W486" s="4" t="n">
        <v>1</v>
      </c>
      <c r="AA486" s="152" t="str">
        <f aca="false">CONCATENATE(A460," (0 - ",W485," gha / person), Your forecast")</f>
        <v> Pegada de carbono não energética por pessoa (NEFPP) (0 - 2 gha/pessoa), sua previsão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57" t="n">
        <f aca="false">K469/$W485</f>
        <v>0.480374364682397</v>
      </c>
      <c r="AL486" s="57" t="n">
        <f aca="false">L469/$W485</f>
        <v>0.46978210994115</v>
      </c>
      <c r="AM486" s="57" t="n">
        <f aca="false">M469/$W485</f>
        <v>0.460574380586303</v>
      </c>
      <c r="AN486" s="57" t="n">
        <f aca="false">N469/$W485</f>
        <v>0.452675529959248</v>
      </c>
      <c r="AO486" s="57" t="n">
        <f aca="false">O469/$W485</f>
        <v>0.446021199668847</v>
      </c>
      <c r="AP486" s="57" t="n">
        <f aca="false">P469/$W485</f>
        <v>0.440557439972904</v>
      </c>
      <c r="AQ486" s="57" t="n">
        <f aca="false">Q469/$W485</f>
        <v>0.43623997706117</v>
      </c>
      <c r="AR486" s="57" t="n">
        <f aca="false">R469/$W485</f>
        <v>0.43303361322977</v>
      </c>
    </row>
    <row r="487" s="3" customFormat="true" ht="11.25" hidden="false" customHeight="false" outlineLevel="0" collapsed="false">
      <c r="S487" s="29"/>
      <c r="T487" s="13"/>
      <c r="U487" s="37" t="str">
        <f aca="false">AA488</f>
        <v> Biocapacidade não utilizada (0 - 5000 Mgha), Sua previsão</v>
      </c>
      <c r="W487" s="93" t="n">
        <f aca="false">W482</f>
        <v>5000</v>
      </c>
      <c r="AA487" s="152" t="str">
        <f aca="false">CONCATENATE(A461," (0 - ",W486," % / yr), Your forecast")</f>
        <v> Taxa de variação do NEFPP (0 - 1 % / ano), Sua previsão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57" t="n">
        <f aca="false">K470/$W486</f>
        <v>-0.499999999999998</v>
      </c>
      <c r="AL487" s="57" t="n">
        <f aca="false">L470/$W486</f>
        <v>-0.440999999999999</v>
      </c>
      <c r="AM487" s="57" t="n">
        <f aca="false">M470/$W486</f>
        <v>-0.392000000000003</v>
      </c>
      <c r="AN487" s="57" t="n">
        <f aca="false">N470/$W486</f>
        <v>-0.342999999999999</v>
      </c>
      <c r="AO487" s="57" t="n">
        <f aca="false">O470/$W486</f>
        <v>-0.293999999999997</v>
      </c>
      <c r="AP487" s="57" t="n">
        <f aca="false">P470/$W486</f>
        <v>-0.245000000000003</v>
      </c>
      <c r="AQ487" s="57" t="n">
        <f aca="false">Q470/$W486</f>
        <v>-0.195999999999996</v>
      </c>
      <c r="AR487" s="57" t="n">
        <f aca="false">R470/$W486</f>
        <v>-0.147000000000005</v>
      </c>
    </row>
    <row r="488" s="3" customFormat="true" ht="11.25" hidden="false" customHeight="false" outlineLevel="0" collapsed="false">
      <c r="S488" s="29"/>
      <c r="T488" s="13"/>
      <c r="U488" s="37" t="str">
        <f aca="false">AA489</f>
        <v> Biocapacidade não utilizada por pessoa (0 - 2,5 gha/pessoa), Sua previsão</v>
      </c>
      <c r="W488" s="4" t="n">
        <v>2.5</v>
      </c>
      <c r="AA488" s="152" t="str">
        <f aca="false">CONCATENATE(A462," (0 - ",W487," Mgha), Your forecast")</f>
        <v> Biocapacidade não utilizada (0 - 5000 Mgha), Sua previsão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57" t="n">
        <f aca="false">K471/$W487</f>
        <v>0.415407443668268</v>
      </c>
      <c r="AL488" s="57" t="n">
        <f aca="false">L471/$W487</f>
        <v>0.392001100921656</v>
      </c>
      <c r="AM488" s="57" t="n">
        <f aca="false">M471/$W487</f>
        <v>0.38912634261037</v>
      </c>
      <c r="AN488" s="57" t="n">
        <f aca="false">N471/$W487</f>
        <v>0.389373027753548</v>
      </c>
      <c r="AO488" s="57" t="n">
        <f aca="false">O471/$W487</f>
        <v>0.391960002918795</v>
      </c>
      <c r="AP488" s="57" t="n">
        <f aca="false">P471/$W487</f>
        <v>0.387421145490689</v>
      </c>
      <c r="AQ488" s="57" t="n">
        <f aca="false">Q471/$W487</f>
        <v>0.375958392713741</v>
      </c>
      <c r="AR488" s="57" t="n">
        <f aca="false">R471/$W487</f>
        <v>0.35696305523121</v>
      </c>
    </row>
    <row r="489" s="3" customFormat="true" ht="11.25" hidden="false" customHeight="false" outlineLevel="0" collapsed="false">
      <c r="S489" s="29"/>
      <c r="T489" s="13"/>
      <c r="AA489" s="152" t="str">
        <f aca="false">CONCATENATE(A463," (0 - ",W488," gha / person), Your forecast")</f>
        <v> Biocapacidade não utilizada por pessoa (0 - 2,5 gha/pessoa), Sua previsão</v>
      </c>
      <c r="AB489" s="29"/>
      <c r="AC489" s="29"/>
      <c r="AD489" s="29"/>
      <c r="AE489" s="29"/>
      <c r="AF489" s="29"/>
      <c r="AG489" s="29"/>
      <c r="AH489" s="29"/>
      <c r="AI489" s="29"/>
      <c r="AJ489" s="29"/>
      <c r="AK489" s="57" t="n">
        <f aca="false">K472/$W488</f>
        <v>0.329433185432388</v>
      </c>
      <c r="AL489" s="57" t="n">
        <f aca="false">L472/$W488</f>
        <v>0.300662070280751</v>
      </c>
      <c r="AM489" s="57" t="n">
        <f aca="false">M472/$W488</f>
        <v>0.290900715070524</v>
      </c>
      <c r="AN489" s="57" t="n">
        <f aca="false">N472/$W488</f>
        <v>0.28623628281887</v>
      </c>
      <c r="AO489" s="57" t="n">
        <f aca="false">O472/$W488</f>
        <v>0.285401145645793</v>
      </c>
      <c r="AP489" s="57" t="n">
        <f aca="false">P472/$W488</f>
        <v>0.281664542850591</v>
      </c>
      <c r="AQ489" s="57" t="n">
        <f aca="false">Q472/$W488</f>
        <v>0.27527278878933</v>
      </c>
      <c r="AR489" s="57" t="n">
        <f aca="false">R472/$W488</f>
        <v>0.265233381147801</v>
      </c>
    </row>
    <row r="490" customFormat="false" ht="11.25" hidden="false" customHeight="false" outlineLevel="0" collapsed="false">
      <c r="S490" s="29"/>
      <c r="T490" s="13"/>
    </row>
    <row r="491" customFormat="false" ht="11.25" hidden="false" customHeight="false" outlineLevel="0" collapsed="false">
      <c r="T491" s="13"/>
    </row>
    <row r="492" customFormat="false" ht="11.25" hidden="false" customHeight="false" outlineLevel="0" collapsed="false">
      <c r="T492" s="13"/>
    </row>
    <row r="493" customFormat="false" ht="11.25" hidden="false" customHeight="false" outlineLevel="0" collapsed="false">
      <c r="T493" s="13"/>
    </row>
    <row r="494" customFormat="false" ht="11.25" hidden="false" customHeight="false" outlineLevel="0" collapsed="false">
      <c r="T494" s="13"/>
    </row>
    <row r="495" customFormat="false" ht="11.25" hidden="false" customHeight="false" outlineLevel="0" collapsed="false">
      <c r="T495" s="13"/>
    </row>
    <row r="496" customFormat="false" ht="11.25" hidden="false" customHeight="false" outlineLevel="0" collapsed="false">
      <c r="T496" s="13"/>
    </row>
    <row r="497" customFormat="false" ht="11.25" hidden="false" customHeight="false" outlineLevel="0" collapsed="false">
      <c r="T497" s="13"/>
    </row>
    <row r="498" customFormat="false" ht="11.25" hidden="false" customHeight="false" outlineLevel="0" collapsed="false">
      <c r="T498" s="13"/>
    </row>
    <row r="499" customFormat="false" ht="11.25" hidden="false" customHeight="false" outlineLevel="0" collapsed="false">
      <c r="T499" s="13"/>
    </row>
    <row r="500" customFormat="false" ht="11.25" hidden="false" customHeight="false" outlineLevel="0" collapsed="false">
      <c r="T500" s="13"/>
    </row>
    <row r="501" customFormat="false" ht="11.25" hidden="false" customHeight="false" outlineLevel="0" collapsed="false">
      <c r="T501" s="13"/>
    </row>
    <row r="502" s="35" customFormat="true" ht="13.8" hidden="false" customHeight="false" outlineLevel="0" collapsed="false">
      <c r="A502" s="61" t="s">
        <v>155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3"/>
      <c r="U502" s="3"/>
      <c r="V502" s="3"/>
      <c r="W502" s="3"/>
      <c r="X502" s="15" t="s">
        <v>33</v>
      </c>
      <c r="Y502" s="3"/>
    </row>
    <row r="503" customFormat="false" ht="12.65" hidden="false" customHeight="false" outlineLevel="0" collapsed="false">
      <c r="A503" s="23" t="str">
        <f aca="false">CONCATENATE(A502,". State of Affairs - ",A5," 1970 to 2050")</f>
        <v> Gráfico 13. Situação Atual - BRISE 1970 a 2050</v>
      </c>
      <c r="T503" s="13"/>
      <c r="V503" s="3" t="s">
        <v>35</v>
      </c>
      <c r="AA503" s="52" t="s">
        <v>36</v>
      </c>
    </row>
    <row r="504" customFormat="false" ht="28.3" hidden="false" customHeight="false" outlineLevel="0" collapsed="false">
      <c r="T504" s="13"/>
      <c r="U504" s="55" t="s">
        <v>37</v>
      </c>
      <c r="V504" s="54" t="s">
        <v>38</v>
      </c>
      <c r="W504" s="54" t="s">
        <v>39</v>
      </c>
      <c r="X504" s="55"/>
      <c r="Y504" s="55"/>
      <c r="AB504" s="24" t="n">
        <v>1970</v>
      </c>
      <c r="AC504" s="24" t="n">
        <v>1975</v>
      </c>
      <c r="AD504" s="24" t="n">
        <v>1980</v>
      </c>
      <c r="AE504" s="24" t="n">
        <v>1985</v>
      </c>
      <c r="AF504" s="24" t="n">
        <v>1990</v>
      </c>
      <c r="AG504" s="24" t="n">
        <v>1995</v>
      </c>
      <c r="AH504" s="24" t="n">
        <v>2000</v>
      </c>
      <c r="AI504" s="24" t="n">
        <v>2005</v>
      </c>
      <c r="AJ504" s="24" t="n">
        <v>2010</v>
      </c>
      <c r="AK504" s="24" t="n">
        <v>2015</v>
      </c>
      <c r="AL504" s="24" t="n">
        <v>2020</v>
      </c>
      <c r="AM504" s="24" t="n">
        <v>2025</v>
      </c>
      <c r="AN504" s="24" t="n">
        <v>2030</v>
      </c>
      <c r="AO504" s="24" t="n">
        <v>2035</v>
      </c>
      <c r="AP504" s="24" t="n">
        <v>2040</v>
      </c>
      <c r="AQ504" s="24" t="n">
        <v>2045</v>
      </c>
      <c r="AR504" s="24" t="n">
        <v>2050</v>
      </c>
    </row>
    <row r="505" customFormat="false" ht="11.25" hidden="false" customHeight="false" outlineLevel="0" collapsed="false">
      <c r="T505" s="13"/>
      <c r="U505" s="15" t="str">
        <f aca="false">AA505</f>
        <v> População (0 - 3G pessoas)</v>
      </c>
      <c r="V505" s="25" t="n">
        <v>3000</v>
      </c>
      <c r="W505" s="70" t="n">
        <f aca="false">W510</f>
        <v>3000</v>
      </c>
      <c r="AA505" s="29" t="str">
        <f aca="false">CONCATENATE("Population (0 - ",W505/1000,"G persons)")</f>
        <v>População (0 - 3G pessoas)</v>
      </c>
      <c r="AB505" s="57" t="n">
        <f aca="false">B9/$W$505</f>
        <v>0.402266111</v>
      </c>
      <c r="AC505" s="57" t="n">
        <f aca="false">C9/$W$505</f>
        <v>0.448125491666667</v>
      </c>
      <c r="AD505" s="57" t="n">
        <f aca="false">D9/$W$505</f>
        <v>0.498766449</v>
      </c>
      <c r="AE505" s="57" t="n">
        <f aca="false">E9/$W$505</f>
        <v>0.553994570333333</v>
      </c>
      <c r="AF505" s="57" t="n">
        <f aca="false">F9/$W$505</f>
        <v>0.610137227333333</v>
      </c>
      <c r="AG505" s="57" t="n">
        <f aca="false">G9/$W$505</f>
        <v>0.662297338666667</v>
      </c>
      <c r="AH505" s="57" t="n">
        <f aca="false">H9/$W$505</f>
        <v>0.711431899</v>
      </c>
      <c r="AI505" s="57" t="n">
        <f aca="false">I9/$W$505</f>
        <v>0.758499288333334</v>
      </c>
      <c r="AJ505" s="57" t="n">
        <f aca="false">J9/$W$505</f>
        <v>0.803977014666667</v>
      </c>
      <c r="AK505" s="57" t="n">
        <f aca="false">K9/$W$505</f>
        <v>0.84065087558</v>
      </c>
      <c r="AL505" s="57" t="n">
        <f aca="false">L9/$W$505</f>
        <v>0.869777869495637</v>
      </c>
      <c r="AM505" s="57" t="n">
        <f aca="false">M9/$W$505</f>
        <v>0.892832305019584</v>
      </c>
      <c r="AN505" s="57" t="n">
        <f aca="false">N9/$W$505</f>
        <v>0.908265565083854</v>
      </c>
      <c r="AO505" s="57" t="n">
        <f aca="false">O9/$W$505</f>
        <v>0.91715320243032</v>
      </c>
      <c r="AP505" s="57" t="n">
        <f aca="false">P9/$W$505</f>
        <v>0.918587541468252</v>
      </c>
      <c r="AQ505" s="57" t="n">
        <f aca="false">Q9/$W$505</f>
        <v>0.911975006319108</v>
      </c>
      <c r="AR505" s="57" t="n">
        <f aca="false">R9/$W$505</f>
        <v>0.89840116997055</v>
      </c>
    </row>
    <row r="506" customFormat="false" ht="11.25" hidden="false" customHeight="false" outlineLevel="0" collapsed="false">
      <c r="T506" s="13"/>
      <c r="U506" s="15" t="str">
        <f aca="false">AA506</f>
        <v> PIB (0 - 50 trilhões de dólares por ano)</v>
      </c>
      <c r="V506" s="25" t="n">
        <v>50</v>
      </c>
      <c r="W506" s="70" t="n">
        <f aca="false">W511</f>
        <v>50</v>
      </c>
      <c r="AA506" s="29" t="str">
        <f aca="false">CONCATENATE("GDP (0 - ",W506," T$ per yr)")</f>
        <v> PIB (0 - 50 trilhões de dólares por ano)</v>
      </c>
      <c r="AB506" s="57" t="n">
        <f aca="false">B96/$W506</f>
        <v>0.0452576307469604</v>
      </c>
      <c r="AC506" s="57" t="n">
        <f aca="false">C96/$W506</f>
        <v>0.0613652171771611</v>
      </c>
      <c r="AD506" s="57" t="n">
        <f aca="false">D96/$W506</f>
        <v>0.0751204422975044</v>
      </c>
      <c r="AE506" s="57" t="n">
        <f aca="false">E96/$W506</f>
        <v>0.0847078744952432</v>
      </c>
      <c r="AF506" s="57" t="n">
        <f aca="false">F96/$W506</f>
        <v>0.145159669449308</v>
      </c>
      <c r="AG506" s="57" t="n">
        <f aca="false">G96/$W506</f>
        <v>0.158621039408192</v>
      </c>
      <c r="AH506" s="57" t="n">
        <f aca="false">H96/$W506</f>
        <v>0.183161964538978</v>
      </c>
      <c r="AI506" s="57" t="n">
        <f aca="false">I96/$W506</f>
        <v>0.237977768077993</v>
      </c>
      <c r="AJ506" s="57" t="n">
        <f aca="false">J96/$W506</f>
        <v>0.284290028654419</v>
      </c>
      <c r="AK506" s="57" t="n">
        <f aca="false">K96/$W506</f>
        <v>0.321736002852792</v>
      </c>
      <c r="AL506" s="57" t="n">
        <f aca="false">L96/$W506</f>
        <v>0.384838371339543</v>
      </c>
      <c r="AM506" s="57" t="n">
        <f aca="false">M96/$W506</f>
        <v>0.464472890920079</v>
      </c>
      <c r="AN506" s="57" t="n">
        <f aca="false">N96/$W506</f>
        <v>0.555624962868452</v>
      </c>
      <c r="AO506" s="57" t="n">
        <f aca="false">O96/$W506</f>
        <v>0.642655248395208</v>
      </c>
      <c r="AP506" s="57" t="n">
        <f aca="false">P96/$W506</f>
        <v>0.72493265865984</v>
      </c>
      <c r="AQ506" s="57" t="n">
        <f aca="false">Q96/$W506</f>
        <v>0.79</v>
      </c>
      <c r="AR506" s="57" t="n">
        <f aca="false">R96/$W506</f>
        <v>0.84</v>
      </c>
    </row>
    <row r="507" customFormat="false" ht="11.25" hidden="false" customHeight="false" outlineLevel="0" collapsed="false">
      <c r="S507" s="36"/>
      <c r="T507" s="13"/>
      <c r="U507" s="15" t="str">
        <f aca="false">AA507</f>
        <v> Temperatura (0 - 3 graus Celsius acima do nível pré-industrial)</v>
      </c>
      <c r="V507" s="25" t="n">
        <v>3</v>
      </c>
      <c r="W507" s="70" t="n">
        <v>3</v>
      </c>
      <c r="AA507" s="29" t="str">
        <f aca="false">CONCATENATE("Temperature (0 - ",W507," deg C above preindustrial level)")</f>
        <v> Temperatura (0 - 3 graus Celsius acima do nível pré-industrial)</v>
      </c>
      <c r="AB507" s="57" t="n">
        <f aca="false"> SumWorld!B396/$V507</f>
        <v>0.153451363139682</v>
      </c>
      <c r="AC507" s="57" t="n">
        <f aca="false"> SumWorld!C396/$V507</f>
        <v>0.121451363139682</v>
      </c>
      <c r="AD507" s="57" t="n">
        <f aca="false"> SumWorld!D396/$V507</f>
        <v>0.198118029806349</v>
      </c>
      <c r="AE507" s="57" t="n">
        <f aca="false"> SumWorld!E396/$V507</f>
        <v>0.176784696473016</v>
      </c>
      <c r="AF507" s="57" t="n">
        <f aca="false"> SumWorld!F396/$V507</f>
        <v>0.231784696473016</v>
      </c>
      <c r="AG507" s="57" t="n">
        <f aca="false"> SumWorld!G396/$V507</f>
        <v>0.235784696473016</v>
      </c>
      <c r="AH507" s="57" t="n">
        <f aca="false"> SumWorld!H396/$V507</f>
        <v>0.237157742182414</v>
      </c>
      <c r="AI507" s="57" t="n">
        <f aca="false"> SumWorld!I396/$V507</f>
        <v>0.291885077953339</v>
      </c>
      <c r="AJ507" s="57" t="n">
        <f aca="false"> SumWorld!J396/$V507</f>
        <v>0.323311269283295</v>
      </c>
      <c r="AK507" s="57" t="n">
        <f aca="false"> SumWorld!K396/$V507</f>
        <v>0.363716165224711</v>
      </c>
      <c r="AL507" s="57" t="n">
        <f aca="false"> SumWorld!L396/$V507</f>
        <v>0.407845457394918</v>
      </c>
      <c r="AM507" s="57" t="n">
        <f aca="false"> SumWorld!M396/$V507</f>
        <v>0.451553185780843</v>
      </c>
      <c r="AN507" s="57" t="n">
        <f aca="false"> SumWorld!N396/$V507</f>
        <v>0.494161645571391</v>
      </c>
      <c r="AO507" s="57" t="n">
        <f aca="false"> SumWorld!O396/$V507</f>
        <v>0.537767728169759</v>
      </c>
      <c r="AP507" s="57" t="n">
        <f aca="false"> SumWorld!P396/$V507</f>
        <v>0.581482330958049</v>
      </c>
      <c r="AQ507" s="57" t="n">
        <f aca="false"> SumWorld!Q396/$V507</f>
        <v>0.62560510635376</v>
      </c>
      <c r="AR507" s="57" t="n">
        <f aca="false"> SumWorld!R396/$V507</f>
        <v>0.669907410939535</v>
      </c>
    </row>
    <row r="508" customFormat="false" ht="11.25" hidden="false" customHeight="false" outlineLevel="0" collapsed="false">
      <c r="T508" s="13"/>
      <c r="U508" s="15" t="str">
        <f aca="false">AA508</f>
        <v> Emissões de CO2 (0 - 13 GtCO2 por ano)</v>
      </c>
      <c r="V508" s="25" t="n">
        <v>13000</v>
      </c>
      <c r="W508" s="70" t="n">
        <f aca="false">W512</f>
        <v>13000</v>
      </c>
      <c r="AA508" s="29" t="str">
        <f aca="false">CONCATENATE("CO2 Emissions (0 - ",W508/1000," GtCO2 per yr)")</f>
        <v> Emissões de CO2 (0 - 13 GtCO2 por ano)</v>
      </c>
      <c r="AB508" s="57" t="n">
        <f aca="false">B357/$W508</f>
        <v>0.269988794871795</v>
      </c>
      <c r="AC508" s="57" t="n">
        <f aca="false">C357/$W508</f>
        <v>0.318185435897436</v>
      </c>
      <c r="AD508" s="57" t="n">
        <f aca="false">D357/$W508</f>
        <v>0.399880461538462</v>
      </c>
      <c r="AE508" s="57" t="n">
        <f aca="false">E357/$W508</f>
        <v>0.441022435897436</v>
      </c>
      <c r="AF508" s="57" t="n">
        <f aca="false">F357/$W508</f>
        <v>0.472031153846154</v>
      </c>
      <c r="AG508" s="57" t="n">
        <f aca="false">G357/$W508</f>
        <v>0.385848128205128</v>
      </c>
      <c r="AH508" s="57" t="n">
        <f aca="false">H357/$W508</f>
        <v>0.409192810512821</v>
      </c>
      <c r="AI508" s="57" t="n">
        <f aca="false">I357/$W508</f>
        <v>0.473711897435897</v>
      </c>
      <c r="AJ508" s="57" t="n">
        <f aca="false">J357/$W508</f>
        <v>0.534878948717949</v>
      </c>
      <c r="AK508" s="57" t="n">
        <f aca="false">K357/$W508</f>
        <v>0.580301609509998</v>
      </c>
      <c r="AL508" s="57" t="n">
        <f aca="false">L357/$W508</f>
        <v>0.64958629420325</v>
      </c>
      <c r="AM508" s="57" t="n">
        <f aca="false">M357/$W508</f>
        <v>0.722023099295699</v>
      </c>
      <c r="AN508" s="57" t="n">
        <f aca="false">N357/$W508</f>
        <v>0.804025625734196</v>
      </c>
      <c r="AO508" s="57" t="n">
        <f aca="false">O357/$W508</f>
        <v>0.844697366059267</v>
      </c>
      <c r="AP508" s="57" t="n">
        <f aca="false">P357/$W508</f>
        <v>0.869345466194143</v>
      </c>
      <c r="AQ508" s="57" t="n">
        <f aca="false">Q357/$W508</f>
        <v>0.842430198043849</v>
      </c>
      <c r="AR508" s="57" t="n">
        <f aca="false">R357/$W508</f>
        <v>0.785441976188456</v>
      </c>
    </row>
    <row r="509" customFormat="false" ht="11.25" hidden="false" customHeight="false" outlineLevel="0" collapsed="false">
      <c r="T509" s="13"/>
      <c r="U509" s="15" t="str">
        <f aca="false">AA509</f>
        <v> Consumo (0 - 50 trilhões de dólares por ano)</v>
      </c>
      <c r="V509" s="25" t="n">
        <f aca="false">V506</f>
        <v>50</v>
      </c>
      <c r="W509" s="70" t="n">
        <f aca="false">W513</f>
        <v>50</v>
      </c>
      <c r="AA509" s="29" t="str">
        <f aca="false">CONCATENATE("Consumption (0 - ",W509," T$ per yr)")</f>
        <v> Consumo (0 - 50 trilhões de dólares por ano)</v>
      </c>
      <c r="AB509" s="57" t="n">
        <f aca="false">B136/$W509</f>
        <v>0.0356717306377914</v>
      </c>
      <c r="AC509" s="57" t="n">
        <f aca="false">C136/$W509</f>
        <v>0.0457685370671649</v>
      </c>
      <c r="AD509" s="57" t="n">
        <f aca="false">D136/$W509</f>
        <v>0.0563354881704414</v>
      </c>
      <c r="AE509" s="57" t="n">
        <f aca="false">E136/$W509</f>
        <v>0.0672957575324765</v>
      </c>
      <c r="AF509" s="57" t="n">
        <f aca="false">F136/$W509</f>
        <v>0.10481945072516</v>
      </c>
      <c r="AG509" s="57" t="n">
        <f aca="false">G136/$W509</f>
        <v>0.12185638648994</v>
      </c>
      <c r="AH509" s="57" t="n">
        <f aca="false">H136/$W509</f>
        <v>0.145403529446187</v>
      </c>
      <c r="AI509" s="57" t="n">
        <f aca="false">I136/$W509</f>
        <v>0.183105549202714</v>
      </c>
      <c r="AJ509" s="57" t="n">
        <f aca="false">J136/$W509</f>
        <v>0.215671244071513</v>
      </c>
      <c r="AK509" s="57" t="n">
        <f aca="false">K136/$W509</f>
        <v>0.243384692743342</v>
      </c>
      <c r="AL509" s="57" t="n">
        <f aca="false">L136/$W509</f>
        <v>0.284099218504754</v>
      </c>
      <c r="AM509" s="57" t="n">
        <f aca="false">M136/$W509</f>
        <v>0.336474601625951</v>
      </c>
      <c r="AN509" s="57" t="n">
        <f aca="false">N136/$W509</f>
        <v>0.394808683491991</v>
      </c>
      <c r="AO509" s="57" t="n">
        <f aca="false">O136/$W509</f>
        <v>0.447721936876437</v>
      </c>
      <c r="AP509" s="57" t="n">
        <f aca="false">P136/$W509</f>
        <v>0.494952381109796</v>
      </c>
      <c r="AQ509" s="57" t="n">
        <f aca="false">Q136/$W509</f>
        <v>0.523625641533026</v>
      </c>
      <c r="AR509" s="57" t="n">
        <f aca="false">R136/$W509</f>
        <v>0.537484878690894</v>
      </c>
    </row>
    <row r="510" customFormat="false" ht="11.25" hidden="false" customHeight="false" outlineLevel="0" collapsed="false">
      <c r="T510" s="13"/>
      <c r="U510" s="37" t="str">
        <f aca="false">AA511</f>
        <v> População (0 a 3 mil pessoas), Sua previsão</v>
      </c>
      <c r="W510" s="4" t="n">
        <v>3000</v>
      </c>
      <c r="AB510" s="24" t="n">
        <v>1970</v>
      </c>
      <c r="AC510" s="24" t="n">
        <v>1975</v>
      </c>
      <c r="AD510" s="24" t="n">
        <v>1980</v>
      </c>
      <c r="AE510" s="24" t="n">
        <v>1985</v>
      </c>
      <c r="AF510" s="24" t="n">
        <v>1990</v>
      </c>
      <c r="AG510" s="24" t="n">
        <v>1995</v>
      </c>
      <c r="AH510" s="24" t="n">
        <v>2000</v>
      </c>
      <c r="AI510" s="24" t="n">
        <v>2005</v>
      </c>
      <c r="AJ510" s="24" t="n">
        <v>2010</v>
      </c>
      <c r="AK510" s="24" t="n">
        <v>2015</v>
      </c>
      <c r="AL510" s="24" t="n">
        <v>2020</v>
      </c>
      <c r="AM510" s="24" t="n">
        <v>2025</v>
      </c>
      <c r="AN510" s="24" t="n">
        <v>2030</v>
      </c>
      <c r="AO510" s="24" t="n">
        <v>2035</v>
      </c>
      <c r="AP510" s="24" t="n">
        <v>2040</v>
      </c>
      <c r="AQ510" s="24" t="n">
        <v>2045</v>
      </c>
      <c r="AR510" s="24" t="n">
        <v>2050</v>
      </c>
    </row>
    <row r="511" customFormat="false" ht="11.25" hidden="false" customHeight="false" outlineLevel="0" collapsed="false">
      <c r="T511" s="13"/>
      <c r="U511" s="37" t="str">
        <f aca="false">AA512</f>
        <v> PIB (0 - 50 trilhões de dólares por ano), sua previsão</v>
      </c>
      <c r="W511" s="4" t="n">
        <v>50</v>
      </c>
      <c r="AA511" s="29" t="str">
        <f aca="false">CONCATENATE("Population (0 - ",W510/1000,"G persons), Your forecast")</f>
        <v> População (0 a 3 mil pessoas), Sua previsão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57" t="n">
        <f aca="false">K17/$W$505</f>
        <v>0.84065087558</v>
      </c>
      <c r="AL511" s="57" t="n">
        <f aca="false">L17/$W$505</f>
        <v>0.869195329617325</v>
      </c>
      <c r="AM511" s="57" t="n">
        <f aca="false">M17/$W$505</f>
        <v>0.891773544377006</v>
      </c>
      <c r="AN511" s="57" t="n">
        <f aca="false">N17/$W$505</f>
        <v>0.906880203816188</v>
      </c>
      <c r="AO511" s="57" t="n">
        <f aca="false">O17/$W$505</f>
        <v>0.915576803384084</v>
      </c>
      <c r="AP511" s="57" t="n">
        <f aca="false">P17/$W$505</f>
        <v>0.916980039612101</v>
      </c>
      <c r="AQ511" s="57" t="n">
        <f aca="false">Q17/$W$505</f>
        <v>0.910511095477892</v>
      </c>
      <c r="AR511" s="57" t="n">
        <f aca="false">R17/$W$505</f>
        <v>0.897230088928845</v>
      </c>
    </row>
    <row r="512" customFormat="false" ht="11.25" hidden="false" customHeight="false" outlineLevel="0" collapsed="false">
      <c r="T512" s="13"/>
      <c r="U512" s="37" t="str">
        <f aca="false">AA513</f>
        <v> Emissões de CO2 (0 - 13.000 toneladas por ano), sua previsão</v>
      </c>
      <c r="W512" s="4" t="n">
        <v>13000</v>
      </c>
      <c r="AA512" s="29" t="str">
        <f aca="false">CONCATENATE("GDP (0 - ",W511," T$ per yr), Your forecast")</f>
        <v> PIB (0 - 50 trilhões de dólares por ano), sua previsão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57" t="n">
        <f aca="false">K104/$W511</f>
        <v>0.321736002852792</v>
      </c>
      <c r="AL512" s="57" t="n">
        <f aca="false">L104/$W511</f>
        <v>0.374898691290363</v>
      </c>
      <c r="AM512" s="57" t="n">
        <f aca="false">M104/$W511</f>
        <v>0.449440298040255</v>
      </c>
      <c r="AN512" s="57" t="n">
        <f aca="false">N104/$W511</f>
        <v>0.533736299405108</v>
      </c>
      <c r="AO512" s="57" t="n">
        <f aca="false">O104/$W511</f>
        <v>0.613311937580915</v>
      </c>
      <c r="AP512" s="57" t="n">
        <f aca="false">P104/$W511</f>
        <v>0.687584508331401</v>
      </c>
      <c r="AQ512" s="57" t="n">
        <f aca="false">Q104/$W511</f>
        <v>0.745411035270572</v>
      </c>
      <c r="AR512" s="57" t="n">
        <f aca="false">R104/$W511</f>
        <v>0.788851964364027</v>
      </c>
    </row>
    <row r="513" customFormat="false" ht="11.25" hidden="false" customHeight="false" outlineLevel="0" collapsed="false">
      <c r="T513" s="13"/>
      <c r="U513" s="37" t="str">
        <f aca="false">AA514</f>
        <v> Consumo (0 - 50 trilhões de dólares por ano), Sua previsão</v>
      </c>
      <c r="W513" s="93" t="n">
        <f aca="false">W511</f>
        <v>50</v>
      </c>
      <c r="AA513" s="29" t="str">
        <f aca="false">CONCATENATE("CO2 Emissions (0 - ",W512," T$ per yr), Your forecast")</f>
        <v> Emissões de CO2 (0 - 13.000 toneladas por ano), sua previsão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57" t="n">
        <f aca="false">K368/$W512</f>
        <v>0.580301609509998</v>
      </c>
      <c r="AL513" s="57" t="n">
        <f aca="false">L368/$W512</f>
        <v>0.641242894875146</v>
      </c>
      <c r="AM513" s="57" t="n">
        <f aca="false">M368/$W512</f>
        <v>0.709424729633957</v>
      </c>
      <c r="AN513" s="57" t="n">
        <f aca="false">N368/$W512</f>
        <v>0.785612065687171</v>
      </c>
      <c r="AO513" s="57" t="n">
        <f aca="false">O368/$W512</f>
        <v>0.822094659562728</v>
      </c>
      <c r="AP513" s="57" t="n">
        <f aca="false">P368/$W512</f>
        <v>0.84298750818309</v>
      </c>
      <c r="AQ513" s="57" t="n">
        <f aca="false">Q368/$W512</f>
        <v>0.815526506960858</v>
      </c>
      <c r="AR513" s="57" t="n">
        <f aca="false">R368/$W512</f>
        <v>0.760019199668251</v>
      </c>
    </row>
    <row r="514" customFormat="false" ht="11.25" hidden="false" customHeight="false" outlineLevel="0" collapsed="false">
      <c r="T514" s="13"/>
      <c r="AA514" s="29" t="str">
        <f aca="false">CONCATENATE("Consumption (0 - ",W513," T$ per yr), Your forecast")</f>
        <v> Consumo (0 - 50 trilhões de dólares por ano), Sua previsão</v>
      </c>
      <c r="AB514" s="29"/>
      <c r="AC514" s="29"/>
      <c r="AD514" s="29"/>
      <c r="AE514" s="29"/>
      <c r="AF514" s="29"/>
      <c r="AG514" s="29"/>
      <c r="AH514" s="29"/>
      <c r="AI514" s="29"/>
      <c r="AJ514" s="29"/>
      <c r="AK514" s="57" t="n">
        <f aca="false">K147/$W513</f>
        <v>0.243384692743342</v>
      </c>
      <c r="AL514" s="57" t="n">
        <f aca="false">L147/$W513</f>
        <v>0.276918906271865</v>
      </c>
      <c r="AM514" s="57" t="n">
        <f aca="false">M147/$W513</f>
        <v>0.325899261681471</v>
      </c>
      <c r="AN514" s="57" t="n">
        <f aca="false">N147/$W513</f>
        <v>0.379778386266069</v>
      </c>
      <c r="AO514" s="57" t="n">
        <f aca="false">O147/$W513</f>
        <v>0.428051954669234</v>
      </c>
      <c r="AP514" s="57" t="n">
        <f aca="false">P147/$W513</f>
        <v>0.470511574193029</v>
      </c>
      <c r="AQ514" s="57" t="n">
        <f aca="false">Q147/$W513</f>
        <v>0.495517403167097</v>
      </c>
      <c r="AR514" s="57" t="n">
        <f aca="false">R147/$W513</f>
        <v>0.50665039039456</v>
      </c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customFormat="false" ht="11.25" hidden="false" customHeight="false" outlineLevel="0" collapsed="false">
      <c r="T523" s="13"/>
    </row>
    <row r="524" customFormat="false" ht="11.25" hidden="false" customHeight="false" outlineLevel="0" collapsed="false">
      <c r="T524" s="13"/>
    </row>
    <row r="525" customFormat="false" ht="11.25" hidden="false" customHeight="false" outlineLevel="0" collapsed="false">
      <c r="T525" s="13"/>
    </row>
    <row r="526" customFormat="false" ht="11.25" hidden="false" customHeight="false" outlineLevel="0" collapsed="false">
      <c r="T526" s="13"/>
    </row>
    <row r="527" customFormat="false" ht="11.25" hidden="false" customHeight="false" outlineLevel="0" collapsed="false">
      <c r="T527" s="13"/>
    </row>
    <row r="528" customFormat="false" ht="11.25" hidden="false" customHeight="false" outlineLevel="0" collapsed="false">
      <c r="T528" s="13"/>
    </row>
    <row r="529" customFormat="false" ht="11.25" hidden="false" customHeight="false" outlineLevel="0" collapsed="false">
      <c r="T529" s="13"/>
      <c r="X529" s="15" t="s">
        <v>33</v>
      </c>
    </row>
    <row r="530" customFormat="false" ht="12.65" hidden="false" customHeight="false" outlineLevel="0" collapsed="false">
      <c r="A530" s="61" t="s">
        <v>156</v>
      </c>
      <c r="T530" s="13"/>
      <c r="V530" s="3" t="s">
        <v>35</v>
      </c>
    </row>
    <row r="531" customFormat="false" ht="28.3" hidden="false" customHeight="false" outlineLevel="0" collapsed="false">
      <c r="A531" s="23" t="str">
        <f aca="false">CONCATENATE(A530,". Production - ",A5," 1970 to 2050")</f>
        <v> Gráfico 14. Produção - BRISE 1970 a 2050</v>
      </c>
      <c r="T531" s="13"/>
      <c r="U531" s="55" t="s">
        <v>37</v>
      </c>
      <c r="V531" s="54" t="s">
        <v>38</v>
      </c>
      <c r="W531" s="54" t="s">
        <v>39</v>
      </c>
      <c r="X531" s="55"/>
      <c r="Y531" s="55"/>
      <c r="AA531" s="52" t="s">
        <v>36</v>
      </c>
    </row>
    <row r="532" customFormat="false" ht="11.25" hidden="false" customHeight="false" outlineLevel="0" collapsed="false">
      <c r="T532" s="13"/>
      <c r="U532" s="15" t="str">
        <f aca="false">AA533</f>
        <v> Biocapacidade não utilizada (0 - 70%)</v>
      </c>
      <c r="V532" s="25" t="n">
        <v>70</v>
      </c>
      <c r="W532" s="70" t="n">
        <f aca="false">W537</f>
        <v>70</v>
      </c>
      <c r="AB532" s="24" t="n">
        <v>1970</v>
      </c>
      <c r="AC532" s="24" t="n">
        <v>1975</v>
      </c>
      <c r="AD532" s="24" t="n">
        <v>1980</v>
      </c>
      <c r="AE532" s="24" t="n">
        <v>1985</v>
      </c>
      <c r="AF532" s="24" t="n">
        <v>1990</v>
      </c>
      <c r="AG532" s="24" t="n">
        <v>1995</v>
      </c>
      <c r="AH532" s="24" t="n">
        <v>2000</v>
      </c>
      <c r="AI532" s="24" t="n">
        <v>2005</v>
      </c>
      <c r="AJ532" s="24" t="n">
        <v>2010</v>
      </c>
      <c r="AK532" s="24" t="n">
        <v>2015</v>
      </c>
      <c r="AL532" s="24" t="n">
        <v>2020</v>
      </c>
      <c r="AM532" s="24" t="n">
        <v>2025</v>
      </c>
      <c r="AN532" s="24" t="n">
        <v>2030</v>
      </c>
      <c r="AO532" s="24" t="n">
        <v>2035</v>
      </c>
      <c r="AP532" s="24" t="n">
        <v>2040</v>
      </c>
      <c r="AQ532" s="24" t="n">
        <v>2045</v>
      </c>
      <c r="AR532" s="24" t="n">
        <v>2050</v>
      </c>
    </row>
    <row r="533" customFormat="false" ht="11.25" hidden="false" customHeight="false" outlineLevel="0" collapsed="false">
      <c r="T533" s="13"/>
      <c r="U533" s="15" t="str">
        <f aca="false">AA534</f>
        <v> Percentagem do investimento no PIB (0 - 40%)</v>
      </c>
      <c r="V533" s="25" t="n">
        <v>40</v>
      </c>
      <c r="W533" s="70" t="n">
        <f aca="false">W538</f>
        <v>40</v>
      </c>
      <c r="AA533" s="29" t="str">
        <f aca="false">CONCATENATE("Unused bio-capacity (0 - ",W532," %)")</f>
        <v> Biocapacidade não utilizada (0 - 70%)</v>
      </c>
      <c r="AB533" s="57" t="n">
        <f aca="false">(100*B462/B457)/$W532</f>
        <v>0.765832710468577</v>
      </c>
      <c r="AC533" s="57" t="n">
        <f aca="false">(100*C462/C457)/$W532</f>
        <v>0.743159757775692</v>
      </c>
      <c r="AD533" s="57" t="n">
        <f aca="false">(100*D462/D457)/$W532</f>
        <v>0.712440316159062</v>
      </c>
      <c r="AE533" s="57" t="n">
        <f aca="false">(100*E462/E457)/$W532</f>
        <v>0.714311714288367</v>
      </c>
      <c r="AF533" s="57" t="n">
        <f aca="false">(100*F462/F457)/$W532</f>
        <v>0.670701236059348</v>
      </c>
      <c r="AG533" s="57" t="n">
        <f aca="false">(100*G462/G457)/$W532</f>
        <v>0.696163637173959</v>
      </c>
      <c r="AH533" s="57" t="n">
        <f aca="false">(100*H462/H457)/$W532</f>
        <v>0.692993431248214</v>
      </c>
      <c r="AI533" s="57" t="n">
        <f aca="false">(100*I462/I457)/$W532</f>
        <v>0.687021488363376</v>
      </c>
      <c r="AJ533" s="57" t="n">
        <f aca="false">(100*J462/J457)/$W532</f>
        <v>0.66065898750613</v>
      </c>
      <c r="AK533" s="57" t="n">
        <f aca="false">(100*K462/K457)/$W532</f>
        <v>0.659376894711537</v>
      </c>
      <c r="AL533" s="57" t="n">
        <f aca="false">(100*L462/L457)/$W532</f>
        <v>0.650632258732161</v>
      </c>
      <c r="AM533" s="57" t="n">
        <f aca="false">(100*M462/M457)/$W532</f>
        <v>0.645983297047836</v>
      </c>
      <c r="AN533" s="57" t="n">
        <f aca="false">(100*N462/N457)/$W532</f>
        <v>0.646387713691715</v>
      </c>
      <c r="AO533" s="57" t="n">
        <f aca="false">(100*O462/O457)/$W532</f>
        <v>0.650581387254961</v>
      </c>
      <c r="AP533" s="57" t="n">
        <f aca="false">(100*P462/P457)/$W532</f>
        <v>0.650459077454275</v>
      </c>
      <c r="AQ533" s="57" t="n">
        <f aca="false">(100*Q462/Q457)/$W532</f>
        <v>0.646204213965172</v>
      </c>
      <c r="AR533" s="57" t="n">
        <f aca="false">(100*R462/R457)/$W532</f>
        <v>0.636310027695707</v>
      </c>
    </row>
    <row r="534" s="3" customFormat="true" ht="11.25" hidden="false" customHeight="false" outlineLevel="0" collapsed="false">
      <c r="T534" s="13"/>
      <c r="U534" s="15" t="str">
        <f aca="false">AA535</f>
        <v> Consumo de energia (0 - 6 Mtoe por ano)</v>
      </c>
      <c r="V534" s="25" t="n">
        <v>6000</v>
      </c>
      <c r="W534" s="70" t="n">
        <f aca="false">W539</f>
        <v>6000</v>
      </c>
      <c r="AA534" s="29" t="str">
        <f aca="false">CONCATENATE("Investment share of GDP (0 - ",W533," %)")</f>
        <v> Percentagem do investimento no PIB (0 - 40%)</v>
      </c>
      <c r="AB534" s="57" t="n">
        <f aca="false">B137/$W533</f>
        <v>0.529518445340448</v>
      </c>
      <c r="AC534" s="57" t="n">
        <f aca="false">C137/$W533</f>
        <v>0.635403931879224</v>
      </c>
      <c r="AD534" s="57" t="n">
        <f aca="false">D137/$W533</f>
        <v>0.625161192896993</v>
      </c>
      <c r="AE534" s="57" t="n">
        <f aca="false">E137/$W533</f>
        <v>0.513887199582151</v>
      </c>
      <c r="AF534" s="57" t="n">
        <f aca="false">F137/$W533</f>
        <v>0.694755969016509</v>
      </c>
      <c r="AG534" s="57" t="n">
        <f aca="false">G137/$W533</f>
        <v>0.579441621606743</v>
      </c>
      <c r="AH534" s="57" t="n">
        <f aca="false">H137/$W533</f>
        <v>0.515369487161665</v>
      </c>
      <c r="AI534" s="57" t="n">
        <f aca="false">I137/$W533</f>
        <v>0.57644270007289</v>
      </c>
      <c r="AJ534" s="57" t="n">
        <f aca="false">J137/$W533</f>
        <v>0.603422365072806</v>
      </c>
      <c r="AK534" s="57" t="n">
        <f aca="false">K137/$W533</f>
        <v>0.608816773804605</v>
      </c>
      <c r="AL534" s="57" t="n">
        <f aca="false">L137/$W533</f>
        <v>0.654425080353454</v>
      </c>
      <c r="AM534" s="57" t="n">
        <f aca="false">M137/$W533</f>
        <v>0.68894381026509</v>
      </c>
      <c r="AN534" s="57" t="n">
        <f aca="false">N137/$W533</f>
        <v>0.723582857698818</v>
      </c>
      <c r="AO534" s="57" t="n">
        <f aca="false">O137/$W533</f>
        <v>0.758312143274113</v>
      </c>
      <c r="AP534" s="57" t="n">
        <f aca="false">P137/$W533</f>
        <v>0.793109107455585</v>
      </c>
      <c r="AQ534" s="57" t="n">
        <f aca="false">Q137/$W533</f>
        <v>0.842956830591689</v>
      </c>
      <c r="AR534" s="57" t="n">
        <f aca="false">R137/$W533</f>
        <v>0.900342622943766</v>
      </c>
    </row>
    <row r="535" s="3" customFormat="true" ht="11.25" hidden="false" customHeight="false" outlineLevel="0" collapsed="false">
      <c r="T535" s="13"/>
      <c r="U535" s="15" t="str">
        <f aca="false">AA536</f>
        <v>Produção de alimentos (0 - 4 Gt por ano)</v>
      </c>
      <c r="V535" s="25" t="n">
        <v>4000</v>
      </c>
      <c r="W535" s="70" t="n">
        <f aca="false">W540</f>
        <v>4000</v>
      </c>
      <c r="AA535" s="29" t="str">
        <f aca="false">CONCATENATE("Energy use (0 - ",W534/1000," Mtoe per yr)")</f>
        <v> Consumo de energia (0 - 6 Mtoe por ano)</v>
      </c>
      <c r="AB535" s="57" t="n">
        <f aca="false">B250/$W534</f>
        <v>0.162376215954787</v>
      </c>
      <c r="AC535" s="57" t="n">
        <f aca="false">C250/$W534</f>
        <v>0.208759136036593</v>
      </c>
      <c r="AD535" s="57" t="n">
        <f aca="false">D250/$W534</f>
        <v>0.252240485270985</v>
      </c>
      <c r="AE535" s="57" t="n">
        <f aca="false">E250/$W534</f>
        <v>0.292510542971734</v>
      </c>
      <c r="AF535" s="57" t="n">
        <f aca="false">F250/$W534</f>
        <v>0.335793281105586</v>
      </c>
      <c r="AG535" s="57" t="n">
        <f aca="false">G250/$W534</f>
        <v>0.319381173985093</v>
      </c>
      <c r="AH535" s="57" t="n">
        <f aca="false">H250/$W534</f>
        <v>0.351331714281269</v>
      </c>
      <c r="AI535" s="57" t="n">
        <f aca="false">I250/$W534</f>
        <v>0.407687925638948</v>
      </c>
      <c r="AJ535" s="57" t="n">
        <f aca="false">J250/$W534</f>
        <v>0.478144056456744</v>
      </c>
      <c r="AK535" s="57" t="n">
        <f aca="false">K250/$W534</f>
        <v>0.514067800155783</v>
      </c>
      <c r="AL535" s="57" t="n">
        <f aca="false">L250/$W534</f>
        <v>0.584147756406178</v>
      </c>
      <c r="AM535" s="57" t="n">
        <f aca="false">M250/$W534</f>
        <v>0.669774057062299</v>
      </c>
      <c r="AN535" s="57" t="n">
        <f aca="false">N250/$W534</f>
        <v>0.761155350974079</v>
      </c>
      <c r="AO535" s="57" t="n">
        <f aca="false">O250/$W534</f>
        <v>0.836359933670277</v>
      </c>
      <c r="AP535" s="57" t="n">
        <f aca="false">P250/$W534</f>
        <v>0.896264988475349</v>
      </c>
      <c r="AQ535" s="57" t="n">
        <f aca="false">Q250/$W534</f>
        <v>0.927874976820951</v>
      </c>
      <c r="AR535" s="57" t="n">
        <f aca="false">R250/$W534</f>
        <v>0.937271179117871</v>
      </c>
    </row>
    <row r="536" s="3" customFormat="true" ht="11.25" hidden="false" customHeight="false" outlineLevel="0" collapsed="false">
      <c r="T536" s="13"/>
      <c r="U536" s="15" t="str">
        <f aca="false">AA537</f>
        <v> Fração renovável (0 - 50%)</v>
      </c>
      <c r="V536" s="25" t="n">
        <v>50</v>
      </c>
      <c r="W536" s="70" t="n">
        <f aca="false">W541</f>
        <v>50</v>
      </c>
      <c r="AA536" s="29" t="str">
        <f aca="false">CONCATENATE("Food production (0 - ",W535/1000," Gt per year)")</f>
        <v> Produção de alimentos (0 - 4 Gt por ano)</v>
      </c>
      <c r="AB536" s="57" t="n">
        <f aca="false">B412/$W535</f>
        <v>0.24277899725</v>
      </c>
      <c r="AC536" s="57" t="n">
        <f aca="false">C412/$W535</f>
        <v>0.25016078425</v>
      </c>
      <c r="AD536" s="57" t="n">
        <f aca="false">D412/$W535</f>
        <v>0.28642460475</v>
      </c>
      <c r="AE536" s="57" t="n">
        <f aca="false">E412/$W535</f>
        <v>0.33037693325</v>
      </c>
      <c r="AF536" s="57" t="n">
        <f aca="false">F412/$W535</f>
        <v>0.3627868</v>
      </c>
      <c r="AG536" s="57" t="n">
        <f aca="false">G412/$W535</f>
        <v>0.34350526875</v>
      </c>
      <c r="AH536" s="57" t="n">
        <f aca="false">H412/$W535</f>
        <v>0.37820926875</v>
      </c>
      <c r="AI536" s="57" t="n">
        <f aca="false">I412/$W535</f>
        <v>0.4325797925</v>
      </c>
      <c r="AJ536" s="57" t="n">
        <f aca="false">J412/$W535</f>
        <v>0.47422452625</v>
      </c>
      <c r="AK536" s="57" t="n">
        <f aca="false">K412/$W535</f>
        <v>0.5381875</v>
      </c>
      <c r="AL536" s="57" t="n">
        <f aca="false">L412/$W535</f>
        <v>0.609</v>
      </c>
      <c r="AM536" s="57" t="n">
        <f aca="false">M412/$W535</f>
        <v>0.6975</v>
      </c>
      <c r="AN536" s="57" t="n">
        <f aca="false">N412/$W535</f>
        <v>0.78</v>
      </c>
      <c r="AO536" s="57" t="n">
        <f aca="false">O412/$W535</f>
        <v>0.873375</v>
      </c>
      <c r="AP536" s="57" t="n">
        <f aca="false">P412/$W535</f>
        <v>0.905625</v>
      </c>
      <c r="AQ536" s="57" t="n">
        <f aca="false">Q412/$W535</f>
        <v>0.896125</v>
      </c>
      <c r="AR536" s="57" t="n">
        <f aca="false">R412/$W535</f>
        <v>0.885625</v>
      </c>
    </row>
    <row r="537" s="3" customFormat="true" ht="11.25" hidden="false" customHeight="false" outlineLevel="0" collapsed="false">
      <c r="T537" s="13"/>
      <c r="U537" s="37" t="str">
        <f aca="false">AA540</f>
        <v> Biocapacidade não utilizada (0 - 70%), Sua previsão</v>
      </c>
      <c r="W537" s="4" t="n">
        <v>70</v>
      </c>
      <c r="AA537" s="29" t="str">
        <f aca="false">CONCATENATE("Fraction renewable (0 - ",W536," %)")</f>
        <v> Fração renovável (0 - 50%)</v>
      </c>
      <c r="AB537" s="120" t="n">
        <f aca="false">B255/$W536</f>
        <v>0.102470926091541</v>
      </c>
      <c r="AC537" s="120" t="n">
        <f aca="false">C255/$W536</f>
        <v>0.103887582044457</v>
      </c>
      <c r="AD537" s="120" t="n">
        <f aca="false">D255/$W536</f>
        <v>0.122679628942898</v>
      </c>
      <c r="AE537" s="120" t="n">
        <f aca="false">E255/$W536</f>
        <v>0.127994707199136</v>
      </c>
      <c r="AF537" s="120" t="n">
        <f aca="false">F255/$W536</f>
        <v>0.132024065398835</v>
      </c>
      <c r="AG537" s="120" t="n">
        <f aca="false">G255/$W536</f>
        <v>0.167229596677886</v>
      </c>
      <c r="AH537" s="120" t="n">
        <f aca="false">H255/$W536</f>
        <v>0.172007234738871</v>
      </c>
      <c r="AI537" s="120" t="n">
        <f aca="false">I255/$W536</f>
        <v>0.172049864223158</v>
      </c>
      <c r="AJ537" s="120" t="n">
        <f aca="false">J255/$W536</f>
        <v>0.17602199775086</v>
      </c>
      <c r="AK537" s="120" t="n">
        <f aca="false">K255/$W536</f>
        <v>0.21</v>
      </c>
      <c r="AL537" s="120" t="n">
        <f aca="false">L255/$W536</f>
        <v>0.24</v>
      </c>
      <c r="AM537" s="120" t="n">
        <f aca="false">M255/$W536</f>
        <v>0.3</v>
      </c>
      <c r="AN537" s="120" t="n">
        <f aca="false">N255/$W536</f>
        <v>0.36</v>
      </c>
      <c r="AO537" s="120" t="n">
        <f aca="false">O255/$W536</f>
        <v>0.44</v>
      </c>
      <c r="AP537" s="120" t="n">
        <f aca="false">P255/$W536</f>
        <v>0.52</v>
      </c>
      <c r="AQ537" s="120" t="n">
        <f aca="false">Q255/$W536</f>
        <v>0.62</v>
      </c>
      <c r="AR537" s="120" t="n">
        <f aca="false">R255/$W536</f>
        <v>0.74</v>
      </c>
    </row>
    <row r="538" s="3" customFormat="true" ht="11.25" hidden="false" customHeight="false" outlineLevel="0" collapsed="false">
      <c r="T538" s="13"/>
      <c r="U538" s="37" t="str">
        <f aca="false">AA541</f>
        <v> Participação do investimento no PIB (0 - 40%), Sua previsão</v>
      </c>
      <c r="W538" s="4" t="n">
        <v>40</v>
      </c>
      <c r="AA538" s="29" t="str">
        <f aca="false">CONCATENATE("Sea level rise (0 - ",W565/1000," m)")</f>
        <v> Aumento do nível do mar (0 - 0,8 m)</v>
      </c>
      <c r="AB538" s="29"/>
      <c r="AC538" s="29"/>
      <c r="AD538" s="29"/>
      <c r="AE538" s="29"/>
      <c r="AF538" s="29"/>
      <c r="AG538" s="29"/>
      <c r="AH538" s="29"/>
      <c r="AI538" s="57" t="n">
        <f aca="false"> SumWorld!I403/$V$565</f>
        <v>0.0234931063652039</v>
      </c>
      <c r="AJ538" s="57" t="n">
        <f aca="false"> SumWorld!J403/$V$565</f>
        <v>0.0558284044265747</v>
      </c>
      <c r="AK538" s="57" t="n">
        <f aca="false"> SumWorld!K403/$V$565</f>
        <v>0.0902567386627197</v>
      </c>
      <c r="AL538" s="57" t="n">
        <f aca="false"> SumWorld!L403/$V$565</f>
        <v>0.128428058624268</v>
      </c>
      <c r="AM538" s="57" t="n">
        <f aca="false"> SumWorld!M403/$V$565</f>
        <v>0.171287422180176</v>
      </c>
      <c r="AN538" s="57" t="n">
        <f aca="false"> SumWorld!N403/$V$565</f>
        <v>0.218884449005127</v>
      </c>
      <c r="AO538" s="57" t="n">
        <f aca="false"> SumWorld!O403/$V$565</f>
        <v>0.270819759368896</v>
      </c>
      <c r="AP538" s="57" t="n">
        <f aca="false"> SumWorld!P403/$V$565</f>
        <v>0.327321701049805</v>
      </c>
      <c r="AQ538" s="57" t="n">
        <f aca="false"> SumWorld!Q403/$V$565</f>
        <v>0.388355827331543</v>
      </c>
      <c r="AR538" s="57" t="n">
        <f aca="false"> SumWorld!R403/$V$565</f>
        <v>0.454001922607422</v>
      </c>
    </row>
    <row r="539" s="3" customFormat="true" ht="11.25" hidden="false" customHeight="false" outlineLevel="0" collapsed="false">
      <c r="T539" s="13"/>
      <c r="U539" s="37" t="str">
        <f aca="false">AA542</f>
        <v> Consumo de energia (0 a 6 Mtoe por ano), sua previsão</v>
      </c>
      <c r="W539" s="4" t="n">
        <v>6000</v>
      </c>
      <c r="AB539" s="24" t="n">
        <v>1970</v>
      </c>
      <c r="AC539" s="24" t="n">
        <v>1975</v>
      </c>
      <c r="AD539" s="24" t="n">
        <v>1980</v>
      </c>
      <c r="AE539" s="24" t="n">
        <v>1985</v>
      </c>
      <c r="AF539" s="24" t="n">
        <v>1990</v>
      </c>
      <c r="AG539" s="24" t="n">
        <v>1995</v>
      </c>
      <c r="AH539" s="24" t="n">
        <v>2000</v>
      </c>
      <c r="AI539" s="24" t="n">
        <v>2005</v>
      </c>
      <c r="AJ539" s="24" t="n">
        <v>2010</v>
      </c>
      <c r="AK539" s="24" t="n">
        <v>2015</v>
      </c>
      <c r="AL539" s="24" t="n">
        <v>2020</v>
      </c>
      <c r="AM539" s="24" t="n">
        <v>2025</v>
      </c>
      <c r="AN539" s="24" t="n">
        <v>2030</v>
      </c>
      <c r="AO539" s="24" t="n">
        <v>2035</v>
      </c>
      <c r="AP539" s="24" t="n">
        <v>2040</v>
      </c>
      <c r="AQ539" s="24" t="n">
        <v>2045</v>
      </c>
      <c r="AR539" s="24" t="n">
        <v>2050</v>
      </c>
    </row>
    <row r="540" s="3" customFormat="true" ht="11.25" hidden="false" customHeight="false" outlineLevel="0" collapsed="false">
      <c r="T540" s="13"/>
      <c r="U540" s="37" t="str">
        <f aca="false">AA543</f>
        <v> Produção de alimentos (0 a 4 Gt por ano), sua previsão</v>
      </c>
      <c r="W540" s="4" t="n">
        <v>4000</v>
      </c>
      <c r="AA540" s="29" t="str">
        <f aca="false">CONCATENATE("Unused bio-capacity (0 - ",W537," %), Your forecast")</f>
        <v> Biocapacidade não utilizada (0 - 70%), Sua previsão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57" t="n">
        <f aca="false">(100*K471/K466)/$W537</f>
        <v>0.659376894711537</v>
      </c>
      <c r="AL540" s="57" t="n">
        <f aca="false">(100*L471/L466)/$W537</f>
        <v>0.634922418078484</v>
      </c>
      <c r="AM540" s="57" t="n">
        <f aca="false">(100*M471/M466)/$W537</f>
        <v>0.630266184986022</v>
      </c>
      <c r="AN540" s="57" t="n">
        <f aca="false">(100*N471/N466)/$W537</f>
        <v>0.630665739801664</v>
      </c>
      <c r="AO540" s="57" t="n">
        <f aca="false">(100*O471/O466)/$W537</f>
        <v>0.634855851828304</v>
      </c>
      <c r="AP540" s="57" t="n">
        <f aca="false">(100*P471/P466)/$W537</f>
        <v>0.634554894831934</v>
      </c>
      <c r="AQ540" s="57" t="n">
        <f aca="false">(100*Q471/Q466)/$W537</f>
        <v>0.629935981893604</v>
      </c>
      <c r="AR540" s="57" t="n">
        <f aca="false">(100*R471/R466)/$W537</f>
        <v>0.619469414187161</v>
      </c>
    </row>
    <row r="541" s="3" customFormat="true" ht="11.25" hidden="false" customHeight="false" outlineLevel="0" collapsed="false">
      <c r="T541" s="13"/>
      <c r="U541" s="37" t="str">
        <f aca="false">AA544</f>
        <v> Fração renovável (0 - 50%), Sua previsão</v>
      </c>
      <c r="W541" s="4" t="n">
        <v>50</v>
      </c>
      <c r="AA541" s="29" t="str">
        <f aca="false">CONCATENATE("Investment share of GDP (0 - ",W538," %), Your forecast")</f>
        <v> Participação do investimento no PIB (0 - 40%), Sua previsão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57" t="n">
        <f aca="false">K148/$W538</f>
        <v>0.608816773804605</v>
      </c>
      <c r="AL541" s="57" t="n">
        <f aca="false">L148/$W538</f>
        <v>0.653375080353454</v>
      </c>
      <c r="AM541" s="57" t="n">
        <f aca="false">M148/$W538</f>
        <v>0.68719381026509</v>
      </c>
      <c r="AN541" s="57" t="n">
        <f aca="false">N148/$W538</f>
        <v>0.721132857698818</v>
      </c>
      <c r="AO541" s="57" t="n">
        <f aca="false">O148/$W538</f>
        <v>0.755162143274113</v>
      </c>
      <c r="AP541" s="57" t="n">
        <f aca="false">P148/$W538</f>
        <v>0.789259107455585</v>
      </c>
      <c r="AQ541" s="57" t="n">
        <f aca="false">Q148/$W538</f>
        <v>0.838106830591689</v>
      </c>
      <c r="AR541" s="57" t="n">
        <f aca="false">R148/$W538</f>
        <v>0.894342622943767</v>
      </c>
    </row>
    <row r="542" s="3" customFormat="true" ht="11.25" hidden="false" customHeight="false" outlineLevel="0" collapsed="false">
      <c r="T542" s="13"/>
      <c r="AA542" s="29" t="str">
        <f aca="false">CONCATENATE("Energy use (0 - ",W539/1000," Mtoe per yr), Your forecast")</f>
        <v> Consumo de energia (0 a 6 Mtoe por ano), sua previsão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57" t="n">
        <f aca="false">K266/$W539</f>
        <v>0.514067800155783</v>
      </c>
      <c r="AL542" s="57" t="n">
        <f aca="false">L266/$W539</f>
        <v>0.569659285742554</v>
      </c>
      <c r="AM542" s="57" t="n">
        <f aca="false">M266/$W539</f>
        <v>0.649462056558211</v>
      </c>
      <c r="AN542" s="57" t="n">
        <f aca="false">N266/$W539</f>
        <v>0.733481274042288</v>
      </c>
      <c r="AO542" s="57" t="n">
        <f aca="false">O266/$W539</f>
        <v>0.801538200778688</v>
      </c>
      <c r="AP542" s="57" t="n">
        <f aca="false">P266/$W539</f>
        <v>0.854573472878524</v>
      </c>
      <c r="AQ542" s="57" t="n">
        <f aca="false">Q266/$W539</f>
        <v>0.881048181617327</v>
      </c>
      <c r="AR542" s="57" t="n">
        <f aca="false">R266/$W539</f>
        <v>0.886706454082241</v>
      </c>
    </row>
    <row r="543" s="3" customFormat="true" ht="11.25" hidden="false" customHeight="false" outlineLevel="0" collapsed="false">
      <c r="T543" s="13"/>
      <c r="AA543" s="29" t="str">
        <f aca="false">CONCATENATE("Food production (0 - ",W540/1000," Gt per year), Your forecast")</f>
        <v> Produção de alimentos (0 a 4 Gt por ano), sua previsão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57" t="n">
        <f aca="false">K420/$W540</f>
        <v>0.5381875</v>
      </c>
      <c r="AL543" s="57" t="n">
        <f aca="false">L420/$W540</f>
        <v>0.5848836</v>
      </c>
      <c r="AM543" s="57" t="n">
        <f aca="false">M420/$W540</f>
        <v>0.669879</v>
      </c>
      <c r="AN543" s="57" t="n">
        <f aca="false">N420/$W540</f>
        <v>0.749112</v>
      </c>
      <c r="AO543" s="57" t="n">
        <f aca="false">O420/$W540</f>
        <v>0.83878935</v>
      </c>
      <c r="AP543" s="57" t="n">
        <f aca="false">P420/$W540</f>
        <v>0.86976225</v>
      </c>
      <c r="AQ543" s="57" t="n">
        <f aca="false">Q420/$W540</f>
        <v>0.86063845</v>
      </c>
      <c r="AR543" s="57" t="n">
        <f aca="false">R420/$W540</f>
        <v>0.85055425</v>
      </c>
    </row>
    <row r="544" s="3" customFormat="true" ht="11.25" hidden="false" customHeight="false" outlineLevel="0" collapsed="false">
      <c r="T544" s="13"/>
      <c r="AA544" s="29" t="str">
        <f aca="false">CONCATENATE("Fraction renewable (0 - ",W541," %), Your forecast")</f>
        <v> Fração renovável (0 - 50%), Sua previsão</v>
      </c>
      <c r="AB544" s="29"/>
      <c r="AC544" s="29"/>
      <c r="AD544" s="29"/>
      <c r="AE544" s="29"/>
      <c r="AF544" s="29"/>
      <c r="AG544" s="29"/>
      <c r="AH544" s="29"/>
      <c r="AI544" s="29"/>
      <c r="AJ544" s="29"/>
      <c r="AK544" s="120" t="n">
        <f aca="false">K271/$W541</f>
        <v>0.21</v>
      </c>
      <c r="AL544" s="120" t="n">
        <f aca="false">L271/$W541</f>
        <v>0.2352</v>
      </c>
      <c r="AM544" s="120" t="n">
        <f aca="false">M271/$W541</f>
        <v>0.294</v>
      </c>
      <c r="AN544" s="120" t="n">
        <f aca="false">N271/$W541</f>
        <v>0.3528</v>
      </c>
      <c r="AO544" s="120" t="n">
        <f aca="false">O271/$W541</f>
        <v>0.4312</v>
      </c>
      <c r="AP544" s="120" t="n">
        <f aca="false">P271/$W541</f>
        <v>0.5096</v>
      </c>
      <c r="AQ544" s="120" t="n">
        <f aca="false">Q271/$W541</f>
        <v>0.6076</v>
      </c>
      <c r="AR544" s="120" t="n">
        <f aca="false">R271/$W541</f>
        <v>0.7252</v>
      </c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</row>
    <row r="551" customFormat="false" ht="11.25" hidden="false" customHeight="false" outlineLevel="0" collapsed="false">
      <c r="T551" s="13"/>
    </row>
    <row r="552" customFormat="false" ht="11.25" hidden="false" customHeight="false" outlineLevel="0" collapsed="false">
      <c r="T552" s="13"/>
    </row>
    <row r="553" customFormat="false" ht="11.25" hidden="false" customHeight="false" outlineLevel="0" collapsed="false">
      <c r="T553" s="13"/>
    </row>
    <row r="554" customFormat="false" ht="11.25" hidden="false" customHeight="false" outlineLevel="0" collapsed="false">
      <c r="T554" s="13"/>
    </row>
    <row r="555" customFormat="false" ht="11.25" hidden="false" customHeight="false" outlineLevel="0" collapsed="false">
      <c r="T555" s="13"/>
    </row>
    <row r="556" customFormat="false" ht="11.25" hidden="false" customHeight="false" outlineLevel="0" collapsed="false">
      <c r="T556" s="13"/>
    </row>
    <row r="557" customFormat="false" ht="11.25" hidden="false" customHeight="false" outlineLevel="0" collapsed="false">
      <c r="T557" s="13"/>
    </row>
    <row r="558" customFormat="false" ht="11.25" hidden="false" customHeight="false" outlineLevel="0" collapsed="false">
      <c r="T558" s="13"/>
      <c r="X558" s="15" t="s">
        <v>33</v>
      </c>
    </row>
    <row r="559" customFormat="false" ht="12.65" hidden="false" customHeight="false" outlineLevel="0" collapsed="false">
      <c r="A559" s="61" t="s">
        <v>157</v>
      </c>
      <c r="T559" s="13"/>
      <c r="V559" s="3" t="s">
        <v>35</v>
      </c>
    </row>
    <row r="560" customFormat="false" ht="28.3" hidden="false" customHeight="false" outlineLevel="0" collapsed="false">
      <c r="A560" s="23" t="str">
        <f aca="false">CONCATENATE(A559,". Standard of Living - ",A5," 1970 to 2050")</f>
        <v> Gráfico 15. Padrão de Vida - BRISE 1970 a 2050</v>
      </c>
      <c r="T560" s="13"/>
      <c r="U560" s="55" t="s">
        <v>37</v>
      </c>
      <c r="V560" s="54" t="s">
        <v>38</v>
      </c>
      <c r="W560" s="54" t="s">
        <v>39</v>
      </c>
      <c r="X560" s="55"/>
      <c r="Y560" s="55"/>
      <c r="AA560" s="52" t="s">
        <v>36</v>
      </c>
    </row>
    <row r="561" customFormat="false" ht="11.25" hidden="false" customHeight="false" outlineLevel="0" collapsed="false">
      <c r="S561" s="154"/>
      <c r="T561" s="13"/>
      <c r="U561" s="15" t="str">
        <f aca="false">AA562</f>
        <v> PIB per capita (0 - 18.000 dólares por pessoa-ano)</v>
      </c>
      <c r="V561" s="25" t="n">
        <v>18</v>
      </c>
      <c r="W561" s="56" t="n">
        <f aca="false">W566</f>
        <v>18</v>
      </c>
      <c r="AB561" s="24" t="n">
        <v>1970</v>
      </c>
      <c r="AC561" s="24" t="n">
        <v>1975</v>
      </c>
      <c r="AD561" s="24" t="n">
        <v>1980</v>
      </c>
      <c r="AE561" s="24" t="n">
        <v>1985</v>
      </c>
      <c r="AF561" s="24" t="n">
        <v>1990</v>
      </c>
      <c r="AG561" s="24" t="n">
        <v>1995</v>
      </c>
      <c r="AH561" s="24" t="n">
        <v>2000</v>
      </c>
      <c r="AI561" s="24" t="n">
        <v>2005</v>
      </c>
      <c r="AJ561" s="24" t="n">
        <v>2010</v>
      </c>
      <c r="AK561" s="24" t="n">
        <v>2015</v>
      </c>
      <c r="AL561" s="24" t="n">
        <v>2020</v>
      </c>
      <c r="AM561" s="24" t="n">
        <v>2025</v>
      </c>
      <c r="AN561" s="24" t="n">
        <v>2030</v>
      </c>
      <c r="AO561" s="24" t="n">
        <v>2035</v>
      </c>
      <c r="AP561" s="24" t="n">
        <v>2040</v>
      </c>
      <c r="AQ561" s="24" t="n">
        <v>2045</v>
      </c>
      <c r="AR561" s="24" t="n">
        <v>2050</v>
      </c>
    </row>
    <row r="562" customFormat="false" ht="11.25" hidden="false" customHeight="false" outlineLevel="0" collapsed="false">
      <c r="S562" s="154"/>
      <c r="T562" s="13"/>
      <c r="U562" s="15" t="str">
        <f aca="false">AA563</f>
        <v> Consumo por pessoa (0 - 18.000 dólares por pessoa-ano)</v>
      </c>
      <c r="V562" s="25" t="n">
        <v>18</v>
      </c>
      <c r="W562" s="56" t="n">
        <f aca="false">W567</f>
        <v>18</v>
      </c>
      <c r="AA562" s="29" t="str">
        <f aca="false">CONCATENATE("GDP per person (0 - ",W561," 000 $ per person-yr)")</f>
        <v> PIB per capita (0 - 18.000 dólares por pessoa-ano)</v>
      </c>
      <c r="AB562" s="120" t="n">
        <f aca="false">B96/B9*1000/$W$561</f>
        <v>0.104172865942945</v>
      </c>
      <c r="AC562" s="120" t="n">
        <f aca="false">C96/C9*1000/$W$561</f>
        <v>0.126794048968482</v>
      </c>
      <c r="AD562" s="120" t="n">
        <f aca="false">D96/D9*1000/$W$561</f>
        <v>0.139455982313441</v>
      </c>
      <c r="AE562" s="120" t="n">
        <f aca="false">E96/E9*1000/$W$561</f>
        <v>0.141577591776816</v>
      </c>
      <c r="AF562" s="120" t="n">
        <f aca="false">F96/F9*1000/$W$561</f>
        <v>0.220289953342777</v>
      </c>
      <c r="AG562" s="120" t="n">
        <f aca="false">G96/G9*1000/$W$561</f>
        <v>0.221760415164952</v>
      </c>
      <c r="AH562" s="120" t="n">
        <f aca="false">H96/H9*1000/$W$561</f>
        <v>0.238384604132243</v>
      </c>
      <c r="AI562" s="120" t="n">
        <f aca="false">I96/I9*1000/$W$561</f>
        <v>0.290507570206928</v>
      </c>
      <c r="AJ562" s="120" t="n">
        <f aca="false">J96/J9*1000/$W$561</f>
        <v>0.327411733434305</v>
      </c>
      <c r="AK562" s="120" t="n">
        <f aca="false">K96/K9*1000/$W$561</f>
        <v>0.354372683118473</v>
      </c>
      <c r="AL562" s="120" t="n">
        <f aca="false">L96/L9*1000/$W$561</f>
        <v>0.409681411555136</v>
      </c>
      <c r="AM562" s="120" t="n">
        <f aca="false">M96/M9*1000/$W$561</f>
        <v>0.481688990390231</v>
      </c>
      <c r="AN562" s="120" t="n">
        <f aca="false">N96/N9*1000/$W$561</f>
        <v>0.566428562293928</v>
      </c>
      <c r="AO562" s="120" t="n">
        <f aca="false">O96/O9*1000/$W$561</f>
        <v>0.648802353134341</v>
      </c>
      <c r="AP562" s="120" t="n">
        <f aca="false">P96/P9*1000/$W$561</f>
        <v>0.730723978828048</v>
      </c>
      <c r="AQ562" s="120" t="n">
        <f aca="false">Q96/Q9*1000/$W$561</f>
        <v>0.80208500936212</v>
      </c>
      <c r="AR562" s="120" t="n">
        <f aca="false">R96/R9*1000/$W$561</f>
        <v>0.865735490753283</v>
      </c>
    </row>
    <row r="563" customFormat="false" ht="11.25" hidden="false" customHeight="false" outlineLevel="0" collapsed="false">
      <c r="S563" s="154"/>
      <c r="T563" s="13"/>
      <c r="U563" s="15" t="str">
        <f aca="false">AA564</f>
        <v> Alimentos por pessoa (0 - 1,5 t por pessoa-ano)</v>
      </c>
      <c r="V563" s="25" t="n">
        <v>1.5</v>
      </c>
      <c r="W563" s="56" t="n">
        <f aca="false">W568</f>
        <v>1.5</v>
      </c>
      <c r="AA563" s="29" t="str">
        <f aca="false">CONCATENATE("Consumption per person (0 - ",W562," 000 $ per person-yr)")</f>
        <v>Consumo por pessoa (0 - 18.000 dólares por pessoa-ano)</v>
      </c>
      <c r="AB563" s="120" t="n">
        <f aca="false">B136/B9*1000/$W$562</f>
        <v>0.0821082843346384</v>
      </c>
      <c r="AC563" s="120" t="n">
        <f aca="false">C136/C9*1000/$W$562</f>
        <v>0.094567874067098</v>
      </c>
      <c r="AD563" s="120" t="n">
        <f aca="false">D136/D9*1000/$W$562</f>
        <v>0.104582995009564</v>
      </c>
      <c r="AE563" s="120" t="n">
        <f aca="false">E136/E9*1000/$W$562</f>
        <v>0.112475626912107</v>
      </c>
      <c r="AF563" s="120" t="n">
        <f aca="false">F136/F9*1000/$W$562</f>
        <v>0.159070849343072</v>
      </c>
      <c r="AG563" s="120" t="n">
        <f aca="false">G136/G9*1000/$W$562</f>
        <v>0.170361529336406</v>
      </c>
      <c r="AH563" s="120" t="n">
        <f aca="false">H136/H9*1000/$W$562</f>
        <v>0.189242143660695</v>
      </c>
      <c r="AI563" s="120" t="n">
        <f aca="false">I136/I9*1000/$W$562</f>
        <v>0.22352318294225</v>
      </c>
      <c r="AJ563" s="120" t="n">
        <f aca="false">J136/J9*1000/$W$562</f>
        <v>0.248384708417699</v>
      </c>
      <c r="AK563" s="120" t="n">
        <f aca="false">K136/K9*1000/$W$562</f>
        <v>0.268073469654205</v>
      </c>
      <c r="AL563" s="120" t="n">
        <f aca="false">L136/L9*1000/$W$562</f>
        <v>0.302439095284621</v>
      </c>
      <c r="AM563" s="120" t="n">
        <f aca="false">M136/M9*1000/$W$562</f>
        <v>0.348946331029355</v>
      </c>
      <c r="AN563" s="120" t="n">
        <f aca="false">N136/N9*1000/$W$562</f>
        <v>0.402485363179179</v>
      </c>
      <c r="AO563" s="120" t="n">
        <f aca="false">O136/O9*1000/$W$562</f>
        <v>0.452004471947705</v>
      </c>
      <c r="AP563" s="120" t="n">
        <f aca="false">P136/P9*1000/$W$562</f>
        <v>0.498906441770165</v>
      </c>
      <c r="AQ563" s="120" t="n">
        <f aca="false">Q136/Q9*1000/$W$562</f>
        <v>0.531635794419321</v>
      </c>
      <c r="AR563" s="120" t="n">
        <f aca="false">R136/R9*1000/$W$562</f>
        <v>0.553952065745155</v>
      </c>
    </row>
    <row r="564" customFormat="false" ht="11.25" hidden="false" customHeight="false" outlineLevel="0" collapsed="false">
      <c r="S564" s="154"/>
      <c r="T564" s="13"/>
      <c r="U564" s="15" t="str">
        <f aca="false">AA565</f>
        <v> Consumo de energia por pessoa (0 - 2,5 toe por pessoa-ano)</v>
      </c>
      <c r="V564" s="25" t="n">
        <v>2.5</v>
      </c>
      <c r="W564" s="56" t="n">
        <f aca="false">W569</f>
        <v>2.5</v>
      </c>
      <c r="AA564" s="29" t="str">
        <f aca="false">CONCATENATE("Food per person (0 - ",W563," t per person-yr)")</f>
        <v> Alimentos por pessoa (0 - 1,5 t por pessoa-ano)</v>
      </c>
      <c r="AB564" s="120" t="n">
        <f aca="false">B412/B9/$W$563</f>
        <v>0.536469633434051</v>
      </c>
      <c r="AC564" s="120" t="n">
        <f aca="false">C412/C9/$W$563</f>
        <v>0.496211765879544</v>
      </c>
      <c r="AD564" s="120" t="n">
        <f aca="false">D412/D9/$W$563</f>
        <v>0.510458650891866</v>
      </c>
      <c r="AE564" s="120" t="n">
        <f aca="false">E412/E9/$W$563</f>
        <v>0.53009253309904</v>
      </c>
      <c r="AF564" s="120" t="n">
        <f aca="false">F412/F9/$W$563</f>
        <v>0.528532174581405</v>
      </c>
      <c r="AG564" s="120" t="n">
        <f aca="false">G412/G9/$W$563</f>
        <v>0.461028602774354</v>
      </c>
      <c r="AH564" s="120" t="n">
        <f aca="false">H412/H9/$W$563</f>
        <v>0.472548415581611</v>
      </c>
      <c r="AI564" s="120" t="n">
        <f aca="false">I412/I9/$W$563</f>
        <v>0.506942296486546</v>
      </c>
      <c r="AJ564" s="120" t="n">
        <f aca="false">J412/J9/$W$563</f>
        <v>0.524309656286619</v>
      </c>
      <c r="AK564" s="120" t="n">
        <f aca="false">K412/K9/$W$563</f>
        <v>0.569069637331703</v>
      </c>
      <c r="AL564" s="120" t="n">
        <f aca="false">L412/L9/$W$563</f>
        <v>0.622381130077774</v>
      </c>
      <c r="AM564" s="120" t="n">
        <f aca="false">M412/M9/$W$563</f>
        <v>0.694419317619114</v>
      </c>
      <c r="AN564" s="120" t="n">
        <f aca="false">N412/N9/$W$563</f>
        <v>0.7633597044597</v>
      </c>
      <c r="AO564" s="120" t="n">
        <f aca="false">O412/O9/$W$563</f>
        <v>0.846459818573565</v>
      </c>
      <c r="AP564" s="120" t="n">
        <f aca="false">P412/P9/$W$563</f>
        <v>0.8763454365093</v>
      </c>
      <c r="AQ564" s="120" t="n">
        <f aca="false">Q412/Q9/$W$563</f>
        <v>0.873440116270943</v>
      </c>
      <c r="AR564" s="120" t="n">
        <f aca="false">R412/R9/$W$563</f>
        <v>0.876247993141001</v>
      </c>
    </row>
    <row r="565" customFormat="false" ht="11.25" hidden="false" customHeight="false" outlineLevel="0" collapsed="false">
      <c r="S565" s="154"/>
      <c r="T565" s="13"/>
      <c r="U565" s="15" t="str">
        <f aca="false">AA538</f>
        <v> Aumento do nível do mar (0 - 0,8 m)</v>
      </c>
      <c r="V565" s="25" t="n">
        <v>800</v>
      </c>
      <c r="W565" s="70" t="n">
        <v>800</v>
      </c>
      <c r="AA565" s="29" t="str">
        <f aca="false">CONCATENATE("Energy use per person (0 - ",W564," toe per person-yr)")</f>
        <v> Consumo de energia por pessoa (0 - 2,5 toe por pessoa-ano)</v>
      </c>
      <c r="AB565" s="120" t="n">
        <f aca="false">B250/B9/$W564</f>
        <v>0.322922983596373</v>
      </c>
      <c r="AC565" s="120" t="n">
        <f aca="false">C250/C9/$W564</f>
        <v>0.372679778175844</v>
      </c>
      <c r="AD565" s="120" t="n">
        <f aca="false">D250/D9/$W564</f>
        <v>0.404582923773984</v>
      </c>
      <c r="AE565" s="120" t="n">
        <f aca="false">E250/E9/$W564</f>
        <v>0.422402035883829</v>
      </c>
      <c r="AF565" s="120" t="n">
        <f aca="false">F250/F9/$W564</f>
        <v>0.440285583062295</v>
      </c>
      <c r="AG565" s="120" t="n">
        <f aca="false">G250/G9/$W564</f>
        <v>0.385785846131369</v>
      </c>
      <c r="AH565" s="120" t="n">
        <f aca="false">H250/H9/$W564</f>
        <v>0.395069959359547</v>
      </c>
      <c r="AI565" s="120" t="n">
        <f aca="false">I250/I9/$W564</f>
        <v>0.429994260413632</v>
      </c>
      <c r="AJ565" s="120" t="n">
        <f aca="false">J250/J9/$W564</f>
        <v>0.475778832214485</v>
      </c>
      <c r="AK565" s="120" t="n">
        <f aca="false">K250/K9/$W564</f>
        <v>0.489209316341799</v>
      </c>
      <c r="AL565" s="120" t="n">
        <f aca="false">L250/L9/$W564</f>
        <v>0.537284543001685</v>
      </c>
      <c r="AM565" s="120" t="n">
        <f aca="false">M250/M9/$W564</f>
        <v>0.600134249889274</v>
      </c>
      <c r="AN565" s="120" t="n">
        <f aca="false">N250/N9/$W564</f>
        <v>0.670425373577875</v>
      </c>
      <c r="AO565" s="120" t="n">
        <f aca="false">O250/O9/$W564</f>
        <v>0.72952691563769</v>
      </c>
      <c r="AP565" s="120" t="n">
        <f aca="false">P250/P9/$W564</f>
        <v>0.780559237320181</v>
      </c>
      <c r="AQ565" s="120" t="n">
        <f aca="false">Q250/Q9/$W564</f>
        <v>0.813947724787781</v>
      </c>
      <c r="AR565" s="120" t="n">
        <f aca="false">R250/R9/$W564</f>
        <v>0.834612607771733</v>
      </c>
    </row>
    <row r="566" customFormat="false" ht="11.25" hidden="false" customHeight="false" outlineLevel="0" collapsed="false">
      <c r="S566" s="154"/>
      <c r="T566" s="13"/>
      <c r="U566" s="37" t="str">
        <f aca="false">AA567</f>
        <v> PIB per capita (0 - 18.000 dólares por pessoa-ano), sua previsão</v>
      </c>
      <c r="W566" s="4" t="n">
        <v>18</v>
      </c>
      <c r="AA566" s="29"/>
      <c r="AB566" s="24" t="n">
        <v>1970</v>
      </c>
      <c r="AC566" s="24" t="n">
        <v>1975</v>
      </c>
      <c r="AD566" s="24" t="n">
        <v>1980</v>
      </c>
      <c r="AE566" s="24" t="n">
        <v>1985</v>
      </c>
      <c r="AF566" s="24" t="n">
        <v>1990</v>
      </c>
      <c r="AG566" s="24" t="n">
        <v>1995</v>
      </c>
      <c r="AH566" s="24" t="n">
        <v>2000</v>
      </c>
      <c r="AI566" s="24" t="n">
        <v>2005</v>
      </c>
      <c r="AJ566" s="24" t="n">
        <v>2010</v>
      </c>
      <c r="AK566" s="24" t="n">
        <v>2015</v>
      </c>
      <c r="AL566" s="24" t="n">
        <v>2020</v>
      </c>
      <c r="AM566" s="24" t="n">
        <v>2025</v>
      </c>
      <c r="AN566" s="24" t="n">
        <v>2030</v>
      </c>
      <c r="AO566" s="24" t="n">
        <v>2035</v>
      </c>
      <c r="AP566" s="24" t="n">
        <v>2040</v>
      </c>
      <c r="AQ566" s="24" t="n">
        <v>2045</v>
      </c>
      <c r="AR566" s="24" t="n">
        <v>2050</v>
      </c>
    </row>
    <row r="567" customFormat="false" ht="11.25" hidden="false" customHeight="false" outlineLevel="0" collapsed="false">
      <c r="S567" s="154"/>
      <c r="T567" s="13"/>
      <c r="U567" s="37" t="str">
        <f aca="false">AA568</f>
        <v> Consumo por pessoa (0 - 18.000 dólares por pessoa-ano), Sua previsão</v>
      </c>
      <c r="W567" s="155" t="n">
        <f aca="false">W566</f>
        <v>18</v>
      </c>
      <c r="AA567" s="29" t="str">
        <f aca="false">CONCATENATE("GDP per person (0 - ",W566," 000$ per person-yr), Your forecast")</f>
        <v> PIB per capita (0 - 18.000 dólares por pessoa-ano), sua previsão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120" t="n">
        <f aca="false">K104/K17*1000/$W566</f>
        <v>0.354372683118473</v>
      </c>
      <c r="AL567" s="120" t="n">
        <f aca="false">L104/L17*1000/$W566</f>
        <v>0.399367559895053</v>
      </c>
      <c r="AM567" s="120" t="n">
        <f aca="false">M104/M17*1000/$W566</f>
        <v>0.46665257871276</v>
      </c>
      <c r="AN567" s="120" t="n">
        <f aca="false">N104/N17*1000/$W566</f>
        <v>0.544945490206246</v>
      </c>
      <c r="AO567" s="120" t="n">
        <f aca="false">O104/O17*1000/$W566</f>
        <v>0.62024444217795</v>
      </c>
      <c r="AP567" s="120" t="n">
        <f aca="false">P104/P17*1000/$W566</f>
        <v>0.694292454608271</v>
      </c>
      <c r="AQ567" s="120" t="n">
        <f aca="false">Q104/Q17*1000/$W566</f>
        <v>0.758030743893407</v>
      </c>
      <c r="AR567" s="120" t="n">
        <f aca="false">R104/R17*1000/$W566</f>
        <v>0.814081576771745</v>
      </c>
    </row>
    <row r="568" customFormat="false" ht="11.25" hidden="false" customHeight="false" outlineLevel="0" collapsed="false">
      <c r="S568" s="154"/>
      <c r="T568" s="13"/>
      <c r="U568" s="37" t="str">
        <f aca="false">AA569</f>
        <v> Alimentos por pessoa (0 - 1,5 t por pessoa-ano), Sua previsão</v>
      </c>
      <c r="W568" s="4" t="n">
        <v>1.5</v>
      </c>
      <c r="AA568" s="29" t="str">
        <f aca="false">CONCATENATE("Consumption per person (0 - ",W567," 000$ per person-yr), Your forecast")</f>
        <v> Consumo por pessoa (0 - 18.000 dólares por pessoa-ano), Sua previsão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120" t="n">
        <f aca="false">K147/K17*1000/$W567</f>
        <v>0.268073469654205</v>
      </c>
      <c r="AL568" s="120" t="n">
        <f aca="false">L147/L17*1000/$W567</f>
        <v>0.294992835280256</v>
      </c>
      <c r="AM568" s="120" t="n">
        <f aca="false">M147/M17*1000/$W567</f>
        <v>0.338380273258499</v>
      </c>
      <c r="AN568" s="120" t="n">
        <f aca="false">N147/N17*1000/$W567</f>
        <v>0.38775425074924</v>
      </c>
      <c r="AO568" s="120" t="n">
        <f aca="false">O147/O17*1000/$W567</f>
        <v>0.432890393254367</v>
      </c>
      <c r="AP568" s="120" t="n">
        <f aca="false">P147/P17*1000/$W567</f>
        <v>0.475101797393362</v>
      </c>
      <c r="AQ568" s="120" t="n">
        <f aca="false">Q147/Q17*1000/$W567</f>
        <v>0.503906446191182</v>
      </c>
      <c r="AR568" s="120" t="n">
        <f aca="false">R147/R17*1000/$W567</f>
        <v>0.522854435707649</v>
      </c>
    </row>
    <row r="569" customFormat="false" ht="11.25" hidden="false" customHeight="false" outlineLevel="0" collapsed="false">
      <c r="S569" s="154"/>
      <c r="T569" s="13"/>
      <c r="U569" s="37" t="str">
        <f aca="false">AA570</f>
        <v> Consumo de energia por pessoa (0 - 2,5 toneladas equivalentes de petróleo por pessoa-ano), Sua previsão</v>
      </c>
      <c r="W569" s="4" t="n">
        <v>2.5</v>
      </c>
      <c r="AA569" s="29" t="str">
        <f aca="false">CONCATENATE("Food per person (0 - ",W568," t per person-yr), Your forecast")</f>
        <v> Alimentos por pessoa (0 - 1,5 t por pessoa-ano), Sua previsão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120" t="n">
        <f aca="false">K420/K17/$W568</f>
        <v>0.569069637331703</v>
      </c>
      <c r="AL569" s="120" t="n">
        <f aca="false">L420/L17/$W568</f>
        <v>0.598135442768917</v>
      </c>
      <c r="AM569" s="120" t="n">
        <f aca="false">M420/M17/$W568</f>
        <v>0.667712115653735</v>
      </c>
      <c r="AN569" s="120" t="n">
        <f aca="false">N420/N17/$W568</f>
        <v>0.734250599507295</v>
      </c>
      <c r="AO569" s="120" t="n">
        <f aca="false">O420/O17/$W568</f>
        <v>0.81433969337967</v>
      </c>
      <c r="AP569" s="120" t="n">
        <f aca="false">P420/P17/$W568</f>
        <v>0.843117588826736</v>
      </c>
      <c r="AQ569" s="120" t="n">
        <f aca="false">Q420/Q17/$W568</f>
        <v>0.84020058553381</v>
      </c>
      <c r="AR569" s="120" t="n">
        <f aca="false">R420/R17/$W568</f>
        <v>0.842646977125821</v>
      </c>
    </row>
    <row r="570" s="3" customFormat="true" ht="11.25" hidden="false" customHeight="false" outlineLevel="0" collapsed="false">
      <c r="S570" s="154"/>
      <c r="T570" s="13"/>
      <c r="AA570" s="29" t="str">
        <f aca="false">CONCATENATE("Energy use per person (0 - ",W569," toe per person-yr), Your forecast")</f>
        <v> Consumo de energia por pessoa (0 - 2,5 toneladas equivalentes de petróleo por pessoa-ano), Sua previsão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120" t="n">
        <f aca="false">K266/K17/$W569</f>
        <v>0.489209316341799</v>
      </c>
      <c r="AL570" s="120" t="n">
        <f aca="false">L266/L17/$W569</f>
        <v>0.52430956893738</v>
      </c>
      <c r="AM570" s="120" t="n">
        <f aca="false">M266/M17/$W569</f>
        <v>0.58262509414264</v>
      </c>
      <c r="AN570" s="120" t="n">
        <f aca="false">N266/N17/$W569</f>
        <v>0.647036970003994</v>
      </c>
      <c r="AO570" s="120" t="n">
        <f aca="false">O266/O17/$W569</f>
        <v>0.700356931557117</v>
      </c>
      <c r="AP570" s="120" t="n">
        <f aca="false">P266/P17/$W569</f>
        <v>0.745554699960556</v>
      </c>
      <c r="AQ570" s="120" t="n">
        <f aca="false">Q266/Q17/$W569</f>
        <v>0.774113076484718</v>
      </c>
      <c r="AR570" s="120" t="n">
        <f aca="false">R266/R17/$W569</f>
        <v>0.790616779373356</v>
      </c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1.25" hidden="false" customHeight="false" outlineLevel="0" collapsed="false">
      <c r="T580" s="13"/>
    </row>
    <row r="581" customFormat="false" ht="11.25" hidden="false" customHeight="false" outlineLevel="0" collapsed="false">
      <c r="T581" s="13"/>
    </row>
    <row r="582" customFormat="false" ht="11.25" hidden="false" customHeight="false" outlineLevel="0" collapsed="false">
      <c r="T582" s="13"/>
    </row>
    <row r="583" customFormat="false" ht="11.25" hidden="false" customHeight="false" outlineLevel="0" collapsed="false">
      <c r="T583" s="13"/>
    </row>
    <row r="584" customFormat="false" ht="11.25" hidden="false" customHeight="false" outlineLevel="0" collapsed="false">
      <c r="T584" s="13"/>
    </row>
    <row r="585" customFormat="false" ht="11.25" hidden="false" customHeight="false" outlineLevel="0" collapsed="false">
      <c r="T585" s="13"/>
    </row>
    <row r="586" customFormat="false" ht="11.25" hidden="false" customHeight="false" outlineLevel="0" collapsed="false">
      <c r="T586" s="13"/>
    </row>
    <row r="587" customFormat="false" ht="11.25" hidden="false" customHeight="false" outlineLevel="0" collapsed="false">
      <c r="T587" s="13"/>
    </row>
    <row r="588" customFormat="false" ht="11.25" hidden="false" customHeight="false" outlineLevel="0" collapsed="false">
      <c r="T588" s="13"/>
    </row>
    <row r="589" customFormat="false" ht="11.25" hidden="false" customHeight="false" outlineLevel="0" collapsed="false">
      <c r="T589" s="13"/>
    </row>
  </sheetData>
  <sheetProtection sheet="true" password="dbc0" objects="true" scenarios="true"/>
  <mergeCells count="1">
    <mergeCell ref="D6:E6"/>
  </mergeCells>
  <conditionalFormatting sqref="K273:R273">
    <cfRule type="cellIs" priority="2" operator="lessThan" aboveAverage="0" equalAverage="0" bottom="0" percent="0" rank="0" text="" dxfId="6">
      <formula>0</formula>
    </cfRule>
  </conditionalFormatting>
  <conditionalFormatting sqref="K257:R257">
    <cfRule type="cellIs" priority="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8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1.86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tr">
        <f aca="false"> SumWorld!A1</f>
        <v> Prezado(a) usuário(a): Esta é a versão de 7 de novembro de 2014, às 11h, da planilha de 2052 de Ulrich Goluke (2052@blue-way.net)</v>
      </c>
      <c r="T1" s="13"/>
    </row>
    <row r="2" customFormat="false" ht="15" hidden="false" customHeight="false" outlineLevel="0" collapsed="false">
      <c r="A2" s="1" t="str">
        <f aca="false"> SumWorld!A2</f>
        <v>Prezado(a) usuário(a): O lado esquerdo desta planilha contém os dados numéricos e os gráficos que você também encontra no livro de 2052.</v>
      </c>
      <c r="T2" s="13"/>
      <c r="U2" s="1" t="str">
        <f aca="false"> SumWorld!U2</f>
        <v> Prezado(a) usuário(a): Os cálculos nesta parte à direita da planilha garantem o dimensionamento correto dos gráficos.</v>
      </c>
    </row>
    <row r="3" customFormat="false" ht="15" hidden="false" customHeight="false" outlineLevel="0" collapsed="false">
      <c r="A3" s="14"/>
      <c r="T3" s="13"/>
      <c r="U3" s="1" t="str">
        <f aca="false"> SumWorld!U3</f>
        <v> Contém também a fonte dos dados históricos.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U4" s="16"/>
    </row>
    <row r="5" customFormat="false" ht="17.35" hidden="false" customHeight="false" outlineLevel="0" collapsed="false">
      <c r="A5" s="17" t="s">
        <v>185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U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 Gráfico 1. População - LINHA DE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186</v>
      </c>
      <c r="B9" s="62" t="n">
        <v>862.938343</v>
      </c>
      <c r="C9" s="62" t="n">
        <v>968.748853</v>
      </c>
      <c r="D9" s="62" t="n">
        <v>1093.929237</v>
      </c>
      <c r="E9" s="62" t="n">
        <v>1236.604539</v>
      </c>
      <c r="F9" s="62" t="n">
        <v>1393.971278</v>
      </c>
      <c r="G9" s="62" t="n">
        <v>1557.649007</v>
      </c>
      <c r="H9" s="62" t="n">
        <v>1722.909784</v>
      </c>
      <c r="I9" s="62" t="n">
        <v>1896.025782</v>
      </c>
      <c r="J9" s="62" t="n">
        <v>2083.646852</v>
      </c>
      <c r="K9" s="27" t="n">
        <f aca="false">J9+(J10-J11)*5</f>
        <v>2280.58451228</v>
      </c>
      <c r="L9" s="27" t="n">
        <f aca="false">K9+(K10-K11)*5</f>
        <v>2463.0312732624</v>
      </c>
      <c r="M9" s="27" t="n">
        <f aca="false">L9+(L10-L11)*5</f>
        <v>2624.35982166109</v>
      </c>
      <c r="N9" s="27" t="n">
        <f aca="false">M9+(M10-M11)*5</f>
        <v>2771.32397167411</v>
      </c>
      <c r="O9" s="27" t="n">
        <f aca="false">N9+(N10-N11)*5</f>
        <v>2896.03355039944</v>
      </c>
      <c r="P9" s="27" t="n">
        <f aca="false">O9+(O10-O11)*5</f>
        <v>2994.49869111302</v>
      </c>
      <c r="Q9" s="27" t="n">
        <f aca="false">P9+(P10-P11)*5</f>
        <v>3063.37216100862</v>
      </c>
      <c r="R9" s="27" t="n">
        <f aca="false">Q9+(Q10-Q11)*5</f>
        <v>3100.13262694073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187</v>
      </c>
      <c r="B10" s="30" t="n">
        <v>38.3069966</v>
      </c>
      <c r="C10" s="30" t="n">
        <v>42.0320336</v>
      </c>
      <c r="D10" s="30" t="n">
        <v>46.5932554</v>
      </c>
      <c r="E10" s="30" t="n">
        <v>50.536062</v>
      </c>
      <c r="F10" s="30" t="n">
        <v>53.1365878</v>
      </c>
      <c r="G10" s="30" t="n">
        <v>55.2084106</v>
      </c>
      <c r="H10" s="30" t="n">
        <v>57.3724752</v>
      </c>
      <c r="I10" s="30" t="n">
        <v>60.1737836</v>
      </c>
      <c r="J10" s="31" t="n">
        <f aca="false">J9*J12/100</f>
        <v>58.342111856</v>
      </c>
      <c r="K10" s="31" t="n">
        <f aca="false">K9*K12/100</f>
        <v>57.014612807</v>
      </c>
      <c r="L10" s="31" t="n">
        <f aca="false">L9*L12/100</f>
        <v>54.1866880117728</v>
      </c>
      <c r="M10" s="31" t="n">
        <f aca="false">M9*M12/100</f>
        <v>52.4871964332217</v>
      </c>
      <c r="N10" s="31" t="n">
        <f aca="false">N9*N12/100</f>
        <v>49.883831490134</v>
      </c>
      <c r="O10" s="31" t="n">
        <f aca="false">O9*O12/100</f>
        <v>46.3365368063911</v>
      </c>
      <c r="P10" s="31" t="n">
        <f aca="false">P9*P12/100</f>
        <v>41.9229816755823</v>
      </c>
      <c r="Q10" s="31" t="n">
        <f aca="false">Q9*Q12/100</f>
        <v>36.7604659321035</v>
      </c>
      <c r="R10" s="31" t="n">
        <f aca="false">R9*R12/100</f>
        <v>31.0013262694073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188</v>
      </c>
      <c r="B11" s="30" t="n">
        <v>14.5822758</v>
      </c>
      <c r="C11" s="30" t="n">
        <v>14.4872374</v>
      </c>
      <c r="D11" s="30" t="n">
        <v>15.1087732</v>
      </c>
      <c r="E11" s="30" t="n">
        <v>15.8694514</v>
      </c>
      <c r="F11" s="30" t="n">
        <v>17.0521754</v>
      </c>
      <c r="G11" s="30" t="n">
        <v>18.039106</v>
      </c>
      <c r="H11" s="30" t="n">
        <v>18.4012266</v>
      </c>
      <c r="I11" s="30" t="n">
        <v>18.7570888</v>
      </c>
      <c r="J11" s="31" t="n">
        <f aca="false">J9*J13/100</f>
        <v>18.9545798</v>
      </c>
      <c r="K11" s="31" t="n">
        <f aca="false">K9*K13/100</f>
        <v>20.52526061052</v>
      </c>
      <c r="L11" s="31" t="n">
        <f aca="false">L9*L13/100</f>
        <v>21.9209783320354</v>
      </c>
      <c r="M11" s="31" t="n">
        <f aca="false">M9*M13/100</f>
        <v>23.0943664306176</v>
      </c>
      <c r="N11" s="31" t="n">
        <f aca="false">N9*N13/100</f>
        <v>24.941915745067</v>
      </c>
      <c r="O11" s="31" t="n">
        <f aca="false">O9*O13/100</f>
        <v>26.6435086636749</v>
      </c>
      <c r="P11" s="31" t="n">
        <f aca="false">P9*P13/100</f>
        <v>28.1482876964624</v>
      </c>
      <c r="Q11" s="31" t="n">
        <f aca="false">Q9*Q13/100</f>
        <v>29.4083727456828</v>
      </c>
      <c r="R11" s="31" t="n">
        <f aca="false">R9*R13/100</f>
        <v>30.3812997440191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4.43913483631124</v>
      </c>
      <c r="C12" s="32" t="n">
        <f aca="false">C10/C9*100</f>
        <v>4.3387957022954</v>
      </c>
      <c r="D12" s="32" t="n">
        <f aca="false">D10/D9*100</f>
        <v>4.2592567987101</v>
      </c>
      <c r="E12" s="32" t="n">
        <f aca="false">E10/E9*100</f>
        <v>4.08667932279036</v>
      </c>
      <c r="F12" s="32" t="n">
        <f aca="false">F10/F9*100</f>
        <v>3.81188541246257</v>
      </c>
      <c r="G12" s="32" t="n">
        <f aca="false">G10/G9*100</f>
        <v>3.54434216899289</v>
      </c>
      <c r="H12" s="32" t="n">
        <f aca="false">H10/H9*100</f>
        <v>3.32997558739268</v>
      </c>
      <c r="I12" s="32" t="n">
        <f aca="false">I10/I9*100</f>
        <v>3.17367960769639</v>
      </c>
      <c r="J12" s="33" t="n">
        <v>2.8</v>
      </c>
      <c r="K12" s="33" t="n">
        <v>2.5</v>
      </c>
      <c r="L12" s="33" t="n">
        <v>2.2</v>
      </c>
      <c r="M12" s="33" t="n">
        <v>2</v>
      </c>
      <c r="N12" s="33" t="n">
        <v>1.8</v>
      </c>
      <c r="O12" s="33" t="n">
        <v>1.6</v>
      </c>
      <c r="P12" s="33" t="n">
        <v>1.4</v>
      </c>
      <c r="Q12" s="33" t="n">
        <v>1.2</v>
      </c>
      <c r="R12" s="33" t="n">
        <v>1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1.68983982671402</v>
      </c>
      <c r="C13" s="32" t="n">
        <f aca="false">C11/C9*100</f>
        <v>1.49545853449387</v>
      </c>
      <c r="D13" s="32" t="n">
        <f aca="false">D11/D9*100</f>
        <v>1.38114721583221</v>
      </c>
      <c r="E13" s="32" t="n">
        <f aca="false">E11/E9*100</f>
        <v>1.28330851937783</v>
      </c>
      <c r="F13" s="32" t="n">
        <f aca="false">F11/F9*100</f>
        <v>1.22328025470264</v>
      </c>
      <c r="G13" s="32" t="n">
        <f aca="false">G11/G9*100</f>
        <v>1.15809825698428</v>
      </c>
      <c r="H13" s="32" t="n">
        <f aca="false">H11/H9*100</f>
        <v>1.06803192894283</v>
      </c>
      <c r="I13" s="32" t="n">
        <f aca="false">I11/I9*100</f>
        <v>0.98928448009891</v>
      </c>
      <c r="J13" s="33" t="n">
        <v>0.909682933161458</v>
      </c>
      <c r="K13" s="33" t="n">
        <v>0.9</v>
      </c>
      <c r="L13" s="33" t="n">
        <v>0.89</v>
      </c>
      <c r="M13" s="33" t="n">
        <v>0.88</v>
      </c>
      <c r="N13" s="33" t="n">
        <v>0.9</v>
      </c>
      <c r="O13" s="33" t="n">
        <v>0.92</v>
      </c>
      <c r="P13" s="33" t="n">
        <v>0.94</v>
      </c>
      <c r="Q13" s="33" t="n">
        <v>0.96</v>
      </c>
      <c r="R13" s="33" t="n">
        <v>0.98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5"/>
      <c r="I15" s="38" t="s">
        <v>7</v>
      </c>
      <c r="J15" s="39" t="n">
        <f aca="false">J12</f>
        <v>2.8</v>
      </c>
      <c r="K15" s="39" t="n">
        <f aca="false">K12*0.98</f>
        <v>2.45</v>
      </c>
      <c r="L15" s="39" t="n">
        <f aca="false">L12*0.98</f>
        <v>2.156</v>
      </c>
      <c r="M15" s="39" t="n">
        <f aca="false">M12*0.98</f>
        <v>1.96</v>
      </c>
      <c r="N15" s="39" t="n">
        <f aca="false">N12*0.98</f>
        <v>1.764</v>
      </c>
      <c r="O15" s="39" t="n">
        <f aca="false">O12*0.98</f>
        <v>1.568</v>
      </c>
      <c r="P15" s="39" t="n">
        <f aca="false">P12*0.98</f>
        <v>1.372</v>
      </c>
      <c r="Q15" s="39" t="n">
        <f aca="false">Q12*0.98</f>
        <v>1.176</v>
      </c>
      <c r="R15" s="39" t="n">
        <f aca="false">R12*0.98</f>
        <v>0.98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5"/>
      <c r="I16" s="38" t="s">
        <v>7</v>
      </c>
      <c r="J16" s="39" t="n">
        <f aca="false">J13</f>
        <v>0.909682933161458</v>
      </c>
      <c r="K16" s="39" t="n">
        <f aca="false">K13*0.98</f>
        <v>0.882</v>
      </c>
      <c r="L16" s="39" t="n">
        <f aca="false">L13*0.98</f>
        <v>0.8722</v>
      </c>
      <c r="M16" s="39" t="n">
        <f aca="false">M13*0.98</f>
        <v>0.8624</v>
      </c>
      <c r="N16" s="39" t="n">
        <f aca="false">N13*0.98</f>
        <v>0.882</v>
      </c>
      <c r="O16" s="39" t="n">
        <f aca="false">O13*0.98</f>
        <v>0.9016</v>
      </c>
      <c r="P16" s="39" t="n">
        <f aca="false">P13*0.98</f>
        <v>0.9212</v>
      </c>
      <c r="Q16" s="39" t="n">
        <f aca="false">Q13*0.98</f>
        <v>0.9408</v>
      </c>
      <c r="R16" s="39" t="n">
        <f aca="false">R13*0.98</f>
        <v>0.9604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186</v>
      </c>
      <c r="J17" s="43"/>
      <c r="K17" s="44" t="n">
        <f aca="false">J9+(J18-J19)*5</f>
        <v>2280.58451228</v>
      </c>
      <c r="L17" s="44" t="n">
        <f aca="false">K17+(K18-K19)*5</f>
        <v>2459.38233804275</v>
      </c>
      <c r="M17" s="44" t="n">
        <f aca="false">L17+(L18-L19)*5</f>
        <v>2617.25009032172</v>
      </c>
      <c r="N17" s="44" t="n">
        <f aca="false">M17+(M18-M19)*5</f>
        <v>2760.88477527857</v>
      </c>
      <c r="O17" s="44" t="n">
        <f aca="false">N17+(N18-N19)*5</f>
        <v>2882.63979386836</v>
      </c>
      <c r="P17" s="44" t="n">
        <f aca="false">O17+(O18-O19)*5</f>
        <v>2978.68935180005</v>
      </c>
      <c r="Q17" s="44" t="n">
        <f aca="false">P17+(P18-P19)*5</f>
        <v>3045.82900978962</v>
      </c>
      <c r="R17" s="44" t="n">
        <f aca="false">Q17+(Q18-Q19)*5</f>
        <v>3081.64795894475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187</v>
      </c>
      <c r="J18" s="45" t="n">
        <f aca="false">J9*J15/100</f>
        <v>58.342111856</v>
      </c>
      <c r="K18" s="45" t="n">
        <f aca="false">K17*K15/100</f>
        <v>55.87432055086</v>
      </c>
      <c r="L18" s="45" t="n">
        <f aca="false">L17*L15/100</f>
        <v>53.0242832082017</v>
      </c>
      <c r="M18" s="45" t="n">
        <f aca="false">M17*M15/100</f>
        <v>51.2981017703056</v>
      </c>
      <c r="N18" s="45" t="n">
        <f aca="false">N17*N15/100</f>
        <v>48.702007435914</v>
      </c>
      <c r="O18" s="45" t="n">
        <f aca="false">O17*O15/100</f>
        <v>45.1997919678558</v>
      </c>
      <c r="P18" s="45" t="n">
        <f aca="false">P17*P15/100</f>
        <v>40.8676179066967</v>
      </c>
      <c r="Q18" s="45" t="n">
        <f aca="false">Q17*Q15/100</f>
        <v>35.818949155126</v>
      </c>
      <c r="R18" s="45" t="n">
        <f aca="false">R17*R15/100</f>
        <v>30.2001499976585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188</v>
      </c>
      <c r="J19" s="45" t="n">
        <f aca="false">J9*J16/100</f>
        <v>18.9545798</v>
      </c>
      <c r="K19" s="45" t="n">
        <f aca="false">K17*K16/100</f>
        <v>20.1147553983096</v>
      </c>
      <c r="L19" s="45" t="n">
        <f aca="false">L17*L16/100</f>
        <v>21.4507327524089</v>
      </c>
      <c r="M19" s="45" t="n">
        <f aca="false">M17*M16/100</f>
        <v>22.5711647789345</v>
      </c>
      <c r="N19" s="45" t="n">
        <f aca="false">N17*N16/100</f>
        <v>24.351003717957</v>
      </c>
      <c r="O19" s="45" t="n">
        <f aca="false">O17*O16/100</f>
        <v>25.9898803815171</v>
      </c>
      <c r="P19" s="45" t="n">
        <f aca="false">P17*P16/100</f>
        <v>27.4396863087821</v>
      </c>
      <c r="Q19" s="45" t="n">
        <f aca="false">Q17*Q16/100</f>
        <v>28.6551593241008</v>
      </c>
      <c r="R19" s="45" t="n">
        <f aca="false">R17*R16/100</f>
        <v>29.5961469977054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28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47" t="n">
        <v>2354.25275781402</v>
      </c>
      <c r="L21" s="47" t="n">
        <v>2531.58586316366</v>
      </c>
      <c r="M21" s="47" t="n">
        <v>2697.96092886772</v>
      </c>
      <c r="N21" s="47" t="n">
        <v>2860.20397596725</v>
      </c>
      <c r="O21" s="47" t="n">
        <v>3014.62132162816</v>
      </c>
      <c r="P21" s="47" t="n">
        <v>3156.24875212192</v>
      </c>
      <c r="Q21" s="47" t="n">
        <v>3280.58094518304</v>
      </c>
      <c r="R21" s="47" t="n">
        <v>3385.57707407265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49" t="n">
        <v>58.555203</v>
      </c>
      <c r="K22" s="49" t="n">
        <v>57.475136</v>
      </c>
      <c r="L22" s="49" t="n">
        <v>56.0426194</v>
      </c>
      <c r="M22" s="49" t="n">
        <v>56.1766282</v>
      </c>
      <c r="N22" s="49" t="n">
        <v>55.7891064</v>
      </c>
      <c r="O22" s="49" t="n">
        <v>54.6876322</v>
      </c>
      <c r="P22" s="49" t="n">
        <v>52.9505474</v>
      </c>
      <c r="Q22" s="49" t="n">
        <v>51.0252634</v>
      </c>
      <c r="R22" s="49" t="n">
        <v>49.2422844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49" t="n">
        <v>18.9545798</v>
      </c>
      <c r="K23" s="49" t="n">
        <v>19.5104202</v>
      </c>
      <c r="L23" s="49" t="n">
        <v>20.296099</v>
      </c>
      <c r="M23" s="49" t="n">
        <v>21.3358758</v>
      </c>
      <c r="N23" s="49" t="n">
        <v>22.6380144</v>
      </c>
      <c r="O23" s="49" t="n">
        <v>24.1974744</v>
      </c>
      <c r="P23" s="49" t="n">
        <v>25.9882096</v>
      </c>
      <c r="Q23" s="49" t="n">
        <v>27.9921278</v>
      </c>
      <c r="R23" s="49" t="n">
        <v>30.205929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2.8102268358861</v>
      </c>
      <c r="K24" s="32" t="n">
        <f aca="false">K22/K21*100</f>
        <v>2.44133242742241</v>
      </c>
      <c r="L24" s="32" t="n">
        <f aca="false">L22/L21*100</f>
        <v>2.21373567515364</v>
      </c>
      <c r="M24" s="32" t="n">
        <f aca="false">M22/M21*100</f>
        <v>2.08218835191124</v>
      </c>
      <c r="N24" s="32" t="n">
        <f aca="false">N22/N21*100</f>
        <v>1.95052894369652</v>
      </c>
      <c r="O24" s="32" t="n">
        <f aca="false">O22/O21*100</f>
        <v>1.81407965928085</v>
      </c>
      <c r="P24" s="32" t="n">
        <f aca="false">P22/P21*100</f>
        <v>1.67764176902729</v>
      </c>
      <c r="Q24" s="32" t="n">
        <f aca="false">Q22/Q21*100</f>
        <v>1.55537279075286</v>
      </c>
      <c r="R24" s="32" t="n">
        <f aca="false">R22/R21*100</f>
        <v>1.45447240817839</v>
      </c>
      <c r="S24" s="28" t="s">
        <v>25</v>
      </c>
      <c r="T24" s="13"/>
      <c r="V24" s="50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0.909682933161458</v>
      </c>
      <c r="K25" s="32" t="n">
        <f aca="false">K23/K21*100</f>
        <v>0.828730905602331</v>
      </c>
      <c r="L25" s="32" t="n">
        <f aca="false">L23/L21*100</f>
        <v>0.801714818182643</v>
      </c>
      <c r="M25" s="32" t="n">
        <f aca="false">M23/M21*100</f>
        <v>0.790814854718976</v>
      </c>
      <c r="N25" s="32" t="n">
        <f aca="false">N23/N21*100</f>
        <v>0.791482516289574</v>
      </c>
      <c r="O25" s="32" t="n">
        <f aca="false">O23/O21*100</f>
        <v>0.802670445750422</v>
      </c>
      <c r="P25" s="32" t="n">
        <f aca="false">P23/P21*100</f>
        <v>0.823389144551055</v>
      </c>
      <c r="Q25" s="32" t="n">
        <f aca="false">Q23/Q21*100</f>
        <v>0.85326740195518</v>
      </c>
      <c r="R25" s="32" t="n">
        <f aca="false">R23/R21*100</f>
        <v>0.892194398152161</v>
      </c>
      <c r="S25" s="28" t="s">
        <v>25</v>
      </c>
      <c r="T25" s="13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28.3" hidden="false" customHeight="false" outlineLevel="0" collapsed="false">
      <c r="T27" s="13"/>
      <c r="U27" s="53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População, Resto do Mundo (0 - 3,5 Gp)</v>
      </c>
      <c r="V28" s="25" t="n">
        <v>3500</v>
      </c>
      <c r="W28" s="56" t="n">
        <f aca="false">W38</f>
        <v>3500</v>
      </c>
      <c r="AA28" s="29" t="str">
        <f aca="false">CONCATENATE(A9," (0 - ",W28/1000," Gp)")</f>
        <v> População, Resto do Mundo (0 - 3,5 Gp)</v>
      </c>
      <c r="AB28" s="57" t="n">
        <f aca="false">B9/$W28</f>
        <v>0.246553812285714</v>
      </c>
      <c r="AC28" s="57" t="n">
        <f aca="false">C9/$W28</f>
        <v>0.276785386571429</v>
      </c>
      <c r="AD28" s="57" t="n">
        <f aca="false">D9/$W28</f>
        <v>0.312551210571429</v>
      </c>
      <c r="AE28" s="57" t="n">
        <f aca="false">E9/$W28</f>
        <v>0.353315582571429</v>
      </c>
      <c r="AF28" s="57" t="n">
        <f aca="false">F9/$W28</f>
        <v>0.398277508</v>
      </c>
      <c r="AG28" s="57" t="n">
        <f aca="false">G9/$W28</f>
        <v>0.445042573428571</v>
      </c>
      <c r="AH28" s="57" t="n">
        <f aca="false">H9/$W28</f>
        <v>0.492259938285714</v>
      </c>
      <c r="AI28" s="57" t="n">
        <f aca="false">I9/$W28</f>
        <v>0.541721652</v>
      </c>
      <c r="AJ28" s="57" t="n">
        <f aca="false">J9/$W28</f>
        <v>0.595327672</v>
      </c>
      <c r="AK28" s="57" t="n">
        <f aca="false">K9/$W28</f>
        <v>0.651595574937143</v>
      </c>
      <c r="AL28" s="57" t="n">
        <f aca="false">L9/$W28</f>
        <v>0.703723220932114</v>
      </c>
      <c r="AM28" s="57" t="n">
        <f aca="false">M9/$W28</f>
        <v>0.749817091903168</v>
      </c>
      <c r="AN28" s="57" t="n">
        <f aca="false">N9/$W28</f>
        <v>0.791806849049745</v>
      </c>
      <c r="AO28" s="57" t="n">
        <f aca="false">O9/$W28</f>
        <v>0.827438157256984</v>
      </c>
      <c r="AP28" s="57" t="n">
        <f aca="false">P9/$W28</f>
        <v>0.855571054603721</v>
      </c>
      <c r="AQ28" s="57" t="n">
        <f aca="false">Q9/$W28</f>
        <v>0.875249188859607</v>
      </c>
      <c r="AR28" s="57" t="n">
        <f aca="false">R9/$W28</f>
        <v>0.885752179125922</v>
      </c>
    </row>
    <row r="29" customFormat="false" ht="11.25" hidden="false" customHeight="false" outlineLevel="0" collapsed="false">
      <c r="T29" s="13"/>
      <c r="U29" s="15" t="str">
        <f aca="false">AA29</f>
        <v> Nascimentos, ROW (0 - 65 milhões/ano)</v>
      </c>
      <c r="V29" s="25" t="n">
        <v>65</v>
      </c>
      <c r="W29" s="56" t="n">
        <f aca="false">W39</f>
        <v>65</v>
      </c>
      <c r="AA29" s="29" t="str">
        <f aca="false">CONCATENATE(A10," (0 - ",W29," Mp / yr)")</f>
        <v> Nascimentos, ROW (0 - 65 milhões/ano)</v>
      </c>
      <c r="AB29" s="57" t="n">
        <f aca="false">B10/$W29</f>
        <v>0.589338409230769</v>
      </c>
      <c r="AC29" s="57" t="n">
        <f aca="false">C10/$W29</f>
        <v>0.646646670769231</v>
      </c>
      <c r="AD29" s="57" t="n">
        <f aca="false">D10/$W29</f>
        <v>0.716819313846154</v>
      </c>
      <c r="AE29" s="57" t="n">
        <f aca="false">E10/$W29</f>
        <v>0.777477876923077</v>
      </c>
      <c r="AF29" s="57" t="n">
        <f aca="false">F10/$W29</f>
        <v>0.817485966153846</v>
      </c>
      <c r="AG29" s="57" t="n">
        <f aca="false">G10/$W29</f>
        <v>0.849360163076923</v>
      </c>
      <c r="AH29" s="57" t="n">
        <f aca="false">H10/$W29</f>
        <v>0.882653464615385</v>
      </c>
      <c r="AI29" s="57" t="n">
        <f aca="false">I10/$W29</f>
        <v>0.925750516923077</v>
      </c>
      <c r="AJ29" s="57" t="n">
        <f aca="false">J10/$W29</f>
        <v>0.897570951630769</v>
      </c>
      <c r="AK29" s="57" t="n">
        <f aca="false">K10/$W29</f>
        <v>0.877147889338461</v>
      </c>
      <c r="AL29" s="57" t="n">
        <f aca="false">L10/$W29</f>
        <v>0.833641354027274</v>
      </c>
      <c r="AM29" s="57" t="n">
        <f aca="false">M10/$W29</f>
        <v>0.807495329741873</v>
      </c>
      <c r="AN29" s="57" t="n">
        <f aca="false">N10/$W29</f>
        <v>0.767443561386676</v>
      </c>
      <c r="AO29" s="57" t="n">
        <f aca="false">O10/$W29</f>
        <v>0.712869797021401</v>
      </c>
      <c r="AP29" s="57" t="n">
        <f aca="false">P10/$W29</f>
        <v>0.644968948855113</v>
      </c>
      <c r="AQ29" s="57" t="n">
        <f aca="false">Q10/$W29</f>
        <v>0.565545629724669</v>
      </c>
      <c r="AR29" s="57" t="n">
        <f aca="false">R10/$W29</f>
        <v>0.476943481067804</v>
      </c>
    </row>
    <row r="30" customFormat="false" ht="11.25" hidden="false" customHeight="false" outlineLevel="0" collapsed="false">
      <c r="T30" s="13"/>
      <c r="U30" s="15" t="str">
        <f aca="false">AA30</f>
        <v> Mortes, Resto do Mundo (0 - 35 milhões/ano)</v>
      </c>
      <c r="V30" s="25" t="n">
        <v>35</v>
      </c>
      <c r="W30" s="56" t="n">
        <f aca="false">W40</f>
        <v>35</v>
      </c>
      <c r="AA30" s="29" t="str">
        <f aca="false">CONCATENATE(A11," (0 - ",W30," Mp / yr)")</f>
        <v> Mortes, Resto do Mundo (0 - 35 milhões/ano)</v>
      </c>
      <c r="AB30" s="57" t="n">
        <f aca="false">B11/$W30</f>
        <v>0.416636451428572</v>
      </c>
      <c r="AC30" s="57" t="n">
        <f aca="false">C11/$W30</f>
        <v>0.413921068571429</v>
      </c>
      <c r="AD30" s="57" t="n">
        <f aca="false">D11/$W30</f>
        <v>0.431679234285715</v>
      </c>
      <c r="AE30" s="57" t="n">
        <f aca="false">E11/$W30</f>
        <v>0.453412897142857</v>
      </c>
      <c r="AF30" s="57" t="n">
        <f aca="false">F11/$W30</f>
        <v>0.487205011428572</v>
      </c>
      <c r="AG30" s="57" t="n">
        <f aca="false">G11/$W30</f>
        <v>0.515403028571429</v>
      </c>
      <c r="AH30" s="57" t="n">
        <f aca="false">H11/$W30</f>
        <v>0.525749331428572</v>
      </c>
      <c r="AI30" s="57" t="n">
        <f aca="false">I11/$W30</f>
        <v>0.535916822857143</v>
      </c>
      <c r="AJ30" s="57" t="n">
        <f aca="false">J11/$W30</f>
        <v>0.541559422857143</v>
      </c>
      <c r="AK30" s="57" t="n">
        <f aca="false">K11/$W30</f>
        <v>0.586436017443429</v>
      </c>
      <c r="AL30" s="57" t="n">
        <f aca="false">L11/$W30</f>
        <v>0.626313666629582</v>
      </c>
      <c r="AM30" s="57" t="n">
        <f aca="false">M11/$W30</f>
        <v>0.659839040874788</v>
      </c>
      <c r="AN30" s="57" t="n">
        <f aca="false">N11/$W30</f>
        <v>0.712626164144771</v>
      </c>
      <c r="AO30" s="57" t="n">
        <f aca="false">O11/$W30</f>
        <v>0.761243104676425</v>
      </c>
      <c r="AP30" s="57" t="n">
        <f aca="false">P11/$W30</f>
        <v>0.804236791327498</v>
      </c>
      <c r="AQ30" s="57" t="n">
        <f aca="false">Q11/$W30</f>
        <v>0.840239221305222</v>
      </c>
      <c r="AR30" s="57" t="n">
        <f aca="false">R11/$W30</f>
        <v>0.868037135543404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(0 - 5 % / ano)</v>
      </c>
      <c r="V31" s="25" t="n">
        <v>5</v>
      </c>
      <c r="W31" s="56" t="n">
        <f aca="false">W41</f>
        <v>5</v>
      </c>
      <c r="AA31" s="29" t="str">
        <f aca="false">CONCATENATE(A12," (0 - ",W31," % / yr)")</f>
        <v> Taxa bruta de natalidade (0 - 5 % / ano)</v>
      </c>
      <c r="AB31" s="57" t="n">
        <f aca="false">B12/$W31</f>
        <v>0.887826967262248</v>
      </c>
      <c r="AC31" s="57" t="n">
        <f aca="false">C12/$W31</f>
        <v>0.86775914045908</v>
      </c>
      <c r="AD31" s="57" t="n">
        <f aca="false">D12/$W31</f>
        <v>0.851851359742019</v>
      </c>
      <c r="AE31" s="57" t="n">
        <f aca="false">E12/$W31</f>
        <v>0.817335864558071</v>
      </c>
      <c r="AF31" s="57" t="n">
        <f aca="false">F12/$W31</f>
        <v>0.762377082492513</v>
      </c>
      <c r="AG31" s="57" t="n">
        <f aca="false">G12/$W31</f>
        <v>0.708868433798578</v>
      </c>
      <c r="AH31" s="57" t="n">
        <f aca="false">H12/$W31</f>
        <v>0.665995117478537</v>
      </c>
      <c r="AI31" s="57" t="n">
        <f aca="false">I12/$W31</f>
        <v>0.634735921539278</v>
      </c>
      <c r="AJ31" s="57" t="n">
        <f aca="false">J12/$W31</f>
        <v>0.56</v>
      </c>
      <c r="AK31" s="57" t="n">
        <f aca="false">K12/$W31</f>
        <v>0.5</v>
      </c>
      <c r="AL31" s="57" t="n">
        <f aca="false">L12/$W31</f>
        <v>0.44</v>
      </c>
      <c r="AM31" s="57" t="n">
        <f aca="false">M12/$W31</f>
        <v>0.4</v>
      </c>
      <c r="AN31" s="57" t="n">
        <f aca="false">N12/$W31</f>
        <v>0.36</v>
      </c>
      <c r="AO31" s="57" t="n">
        <f aca="false">O12/$W31</f>
        <v>0.32</v>
      </c>
      <c r="AP31" s="57" t="n">
        <f aca="false">P12/$W31</f>
        <v>0.28</v>
      </c>
      <c r="AQ31" s="57" t="n">
        <f aca="false">Q12/$W31</f>
        <v>0.24</v>
      </c>
      <c r="AR31" s="57" t="n">
        <f aca="false">R12/$W31</f>
        <v>0.2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0.844919913357009</v>
      </c>
      <c r="AC32" s="57" t="n">
        <f aca="false">C13/$W32</f>
        <v>0.747729267246936</v>
      </c>
      <c r="AD32" s="57" t="n">
        <f aca="false">D13/$W32</f>
        <v>0.690573607916103</v>
      </c>
      <c r="AE32" s="57" t="n">
        <f aca="false">E13/$W32</f>
        <v>0.641654259688917</v>
      </c>
      <c r="AF32" s="57" t="n">
        <f aca="false">F13/$W32</f>
        <v>0.611640127351318</v>
      </c>
      <c r="AG32" s="57" t="n">
        <f aca="false">G13/$W32</f>
        <v>0.579049128492142</v>
      </c>
      <c r="AH32" s="57" t="n">
        <f aca="false">H13/$W32</f>
        <v>0.534015964471417</v>
      </c>
      <c r="AI32" s="57" t="n">
        <f aca="false">I13/$W32</f>
        <v>0.494642240049455</v>
      </c>
      <c r="AJ32" s="57" t="n">
        <f aca="false">J13/$W32</f>
        <v>0.454841466580729</v>
      </c>
      <c r="AK32" s="57" t="n">
        <f aca="false">K13/$W32</f>
        <v>0.45</v>
      </c>
      <c r="AL32" s="57" t="n">
        <f aca="false">L13/$W32</f>
        <v>0.445</v>
      </c>
      <c r="AM32" s="57" t="n">
        <f aca="false">M13/$W32</f>
        <v>0.44</v>
      </c>
      <c r="AN32" s="57" t="n">
        <f aca="false">N13/$W32</f>
        <v>0.45</v>
      </c>
      <c r="AO32" s="57" t="n">
        <f aca="false">O13/$W32</f>
        <v>0.46</v>
      </c>
      <c r="AP32" s="57" t="n">
        <f aca="false">P13/$W32</f>
        <v>0.47</v>
      </c>
      <c r="AQ32" s="57" t="n">
        <f aca="false">Q13/$W32</f>
        <v>0.48</v>
      </c>
      <c r="AR32" s="57" t="n">
        <f aca="false">R13/$W32</f>
        <v>0.49</v>
      </c>
    </row>
    <row r="33" customFormat="false" ht="11.25" hidden="false" customHeight="false" outlineLevel="0" collapsed="false">
      <c r="T33" s="13"/>
      <c r="U33" s="58" t="str">
        <f aca="false">AA33</f>
        <v> Previsão de baixa populacional da ONU (0 - 3,5 Gp)</v>
      </c>
      <c r="V33" s="28"/>
      <c r="W33" s="59" t="n">
        <f aca="false">W28</f>
        <v>3500</v>
      </c>
      <c r="AA33" s="29" t="str">
        <f aca="false">CONCATENATE(A21," (0 - ",W33/1000," Gp)")</f>
        <v> Previsão de baixa populacional da ONU (0 - 3,5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0.67264364508972</v>
      </c>
      <c r="AL33" s="57" t="n">
        <f aca="false">L21/$W33</f>
        <v>0.723310246618188</v>
      </c>
      <c r="AM33" s="57" t="n">
        <f aca="false">M21/$W33</f>
        <v>0.770845979676491</v>
      </c>
      <c r="AN33" s="57" t="n">
        <f aca="false">N21/$W33</f>
        <v>0.817201135990643</v>
      </c>
      <c r="AO33" s="57" t="n">
        <f aca="false">O21/$W33</f>
        <v>0.861320377608044</v>
      </c>
      <c r="AP33" s="57" t="n">
        <f aca="false">P21/$W33</f>
        <v>0.901785357749119</v>
      </c>
      <c r="AQ33" s="57" t="n">
        <f aca="false">Q21/$W33</f>
        <v>0.937308841480868</v>
      </c>
      <c r="AR33" s="57" t="n">
        <f aca="false">R21/$W33</f>
        <v>0.967307735449329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(0 - 65 milhões/ano)</v>
      </c>
      <c r="V34" s="28"/>
      <c r="W34" s="59" t="n">
        <f aca="false">W29</f>
        <v>65</v>
      </c>
      <c r="AA34" s="29" t="str">
        <f aca="false">CONCATENATE(A22," (0 - ",W34," Mp / yr)")</f>
        <v> Nascimentos: Previsão baixa da ONU (0 - 65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0.900849276923077</v>
      </c>
      <c r="AK34" s="57" t="n">
        <f aca="false">K22/$W34</f>
        <v>0.884232861538462</v>
      </c>
      <c r="AL34" s="57" t="n">
        <f aca="false">L22/$W34</f>
        <v>0.862194144615385</v>
      </c>
      <c r="AM34" s="57" t="n">
        <f aca="false">M22/$W34</f>
        <v>0.864255818461538</v>
      </c>
      <c r="AN34" s="57" t="n">
        <f aca="false">N22/$W34</f>
        <v>0.858293944615384</v>
      </c>
      <c r="AO34" s="57" t="n">
        <f aca="false">O22/$W34</f>
        <v>0.841348187692308</v>
      </c>
      <c r="AP34" s="57" t="n">
        <f aca="false">P22/$W34</f>
        <v>0.814623806153846</v>
      </c>
      <c r="AQ34" s="57" t="n">
        <f aca="false">Q22/$W34</f>
        <v>0.785004052307692</v>
      </c>
      <c r="AR34" s="57" t="n">
        <f aca="false">R22/$W34</f>
        <v>0.757573606153846</v>
      </c>
    </row>
    <row r="35" s="3" customFormat="true" ht="11.25" hidden="false" customHeight="false" outlineLevel="0" collapsed="false">
      <c r="T35" s="13"/>
      <c r="U35" s="58" t="str">
        <f aca="false">AA35</f>
        <v> Mortes: Previsão mínima da ONU (0 - 35 milhões/ano)</v>
      </c>
      <c r="V35" s="28"/>
      <c r="W35" s="59" t="n">
        <f aca="false">W30</f>
        <v>35</v>
      </c>
      <c r="AA35" s="29" t="str">
        <f aca="false">CONCATENATE(A23," (0 - ",W35," Mp / yr)")</f>
        <v> Mortes: Previsão mínima da ONU (0 - 35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0.541559422857143</v>
      </c>
      <c r="AK35" s="57" t="n">
        <f aca="false">K23/$W35</f>
        <v>0.557440577142857</v>
      </c>
      <c r="AL35" s="57" t="n">
        <f aca="false">L23/$W35</f>
        <v>0.579888542857143</v>
      </c>
      <c r="AM35" s="57" t="n">
        <f aca="false">M23/$W35</f>
        <v>0.609596451428571</v>
      </c>
      <c r="AN35" s="57" t="n">
        <f aca="false">N23/$W35</f>
        <v>0.646800411428572</v>
      </c>
      <c r="AO35" s="57" t="n">
        <f aca="false">O23/$W35</f>
        <v>0.691356411428571</v>
      </c>
      <c r="AP35" s="57" t="n">
        <f aca="false">P23/$W35</f>
        <v>0.742520274285714</v>
      </c>
      <c r="AQ35" s="57" t="n">
        <f aca="false">Q23/$W35</f>
        <v>0.79977508</v>
      </c>
      <c r="AR35" s="57" t="n">
        <f aca="false">R23/$W35</f>
        <v>0.863026542857143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(0 - 5% / ano)</v>
      </c>
      <c r="V36" s="28"/>
      <c r="W36" s="59" t="n">
        <f aca="false">W31</f>
        <v>5</v>
      </c>
      <c r="AA36" s="29" t="str">
        <f aca="false">CONCATENATE(A24," (0 - ",W36," % / yr)")</f>
        <v>Baixa taxa de natalidade da ONU (0 - 5%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0.562045367177221</v>
      </c>
      <c r="AK36" s="57" t="n">
        <f aca="false">K24/$W36</f>
        <v>0.488266485484482</v>
      </c>
      <c r="AL36" s="57" t="n">
        <f aca="false">L24/$W36</f>
        <v>0.442747135030727</v>
      </c>
      <c r="AM36" s="57" t="n">
        <f aca="false">M24/$W36</f>
        <v>0.416437670382248</v>
      </c>
      <c r="AN36" s="57" t="n">
        <f aca="false">N24/$W36</f>
        <v>0.390105788739305</v>
      </c>
      <c r="AO36" s="57" t="n">
        <f aca="false">O24/$W36</f>
        <v>0.362815931856171</v>
      </c>
      <c r="AP36" s="57" t="n">
        <f aca="false">P24/$W36</f>
        <v>0.335528353805459</v>
      </c>
      <c r="AQ36" s="57" t="n">
        <f aca="false">Q24/$W36</f>
        <v>0.311074558150572</v>
      </c>
      <c r="AR36" s="57" t="n">
        <f aca="false">R24/$W36</f>
        <v>0.290894481635678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0.454841466580729</v>
      </c>
      <c r="AK37" s="57" t="n">
        <f aca="false">K25/$W37</f>
        <v>0.414365452801166</v>
      </c>
      <c r="AL37" s="57" t="n">
        <f aca="false">L25/$W37</f>
        <v>0.400857409091321</v>
      </c>
      <c r="AM37" s="57" t="n">
        <f aca="false">M25/$W37</f>
        <v>0.395407427359488</v>
      </c>
      <c r="AN37" s="57" t="n">
        <f aca="false">N25/$W37</f>
        <v>0.395741258144787</v>
      </c>
      <c r="AO37" s="57" t="n">
        <f aca="false">O25/$W37</f>
        <v>0.401335222875211</v>
      </c>
      <c r="AP37" s="57" t="n">
        <f aca="false">P25/$W37</f>
        <v>0.411694572275528</v>
      </c>
      <c r="AQ37" s="57" t="n">
        <f aca="false">Q25/$W37</f>
        <v>0.42663370097759</v>
      </c>
      <c r="AR37" s="57" t="n">
        <f aca="false">R25/$W37</f>
        <v>0.44609719907608</v>
      </c>
    </row>
    <row r="38" s="3" customFormat="true" ht="11.25" hidden="false" customHeight="false" outlineLevel="0" collapsed="false">
      <c r="T38" s="13"/>
      <c r="U38" s="37" t="str">
        <f aca="false">AA38</f>
        <v> População, Resto do Mundo Sua previsão (0 - 3,5 Gp)</v>
      </c>
      <c r="V38" s="28"/>
      <c r="W38" s="60" t="n">
        <v>3500</v>
      </c>
      <c r="AA38" s="29" t="str">
        <f aca="false">CONCATENATE(A9," Your forecast (0 - ",W38/1000," Gp)")</f>
        <v> População, Resto do Mundo Sua previsão (0 - 3,5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0.651595574937143</v>
      </c>
      <c r="AL38" s="57" t="n">
        <f aca="false">L17/$W38</f>
        <v>0.702680668012215</v>
      </c>
      <c r="AM38" s="57" t="n">
        <f aca="false">M17/$W38</f>
        <v>0.747785740091919</v>
      </c>
      <c r="AN38" s="57" t="n">
        <f aca="false">N17/$W38</f>
        <v>0.788824221508163</v>
      </c>
      <c r="AO38" s="57" t="n">
        <f aca="false">O17/$W38</f>
        <v>0.823611369676673</v>
      </c>
      <c r="AP38" s="57" t="n">
        <f aca="false">P17/$W38</f>
        <v>0.8510541005143</v>
      </c>
      <c r="AQ38" s="57" t="n">
        <f aca="false">Q17/$W38</f>
        <v>0.870236859939892</v>
      </c>
      <c r="AR38" s="57" t="n">
        <f aca="false">R17/$W38</f>
        <v>0.880470845412786</v>
      </c>
    </row>
    <row r="39" s="3" customFormat="true" ht="11.25" hidden="false" customHeight="false" outlineLevel="0" collapsed="false">
      <c r="T39" s="13"/>
      <c r="U39" s="37" t="str">
        <f aca="false">AA39</f>
        <v> Nascimentos, Resto do Mundo Sua previsão (0 - 65 milhões/ano)</v>
      </c>
      <c r="V39" s="28"/>
      <c r="W39" s="60" t="n">
        <v>65</v>
      </c>
      <c r="AA39" s="29" t="str">
        <f aca="false">CONCATENATE(A10," Your forecast (0 - ",W39," Mp / yr)")</f>
        <v> Nascimentos, Resto do Mundo Sua previsão (0 - 65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0.897570951630769</v>
      </c>
      <c r="AK39" s="57" t="n">
        <f aca="false">K18/$W39</f>
        <v>0.859604931551692</v>
      </c>
      <c r="AL39" s="57" t="n">
        <f aca="false">L18/$W39</f>
        <v>0.815758203203104</v>
      </c>
      <c r="AM39" s="57" t="n">
        <f aca="false">M18/$W39</f>
        <v>0.78920156569701</v>
      </c>
      <c r="AN39" s="57" t="n">
        <f aca="false">N18/$W39</f>
        <v>0.749261652860216</v>
      </c>
      <c r="AO39" s="57" t="n">
        <f aca="false">O18/$W39</f>
        <v>0.69538141489009</v>
      </c>
      <c r="AP39" s="57" t="n">
        <f aca="false">P18/$W39</f>
        <v>0.628732583179949</v>
      </c>
      <c r="AQ39" s="57" t="n">
        <f aca="false">Q18/$W39</f>
        <v>0.551060756232707</v>
      </c>
      <c r="AR39" s="57" t="n">
        <f aca="false">R18/$W39</f>
        <v>0.46461769227167</v>
      </c>
    </row>
    <row r="40" s="3" customFormat="true" ht="11.25" hidden="false" customHeight="false" outlineLevel="0" collapsed="false">
      <c r="T40" s="13"/>
      <c r="U40" s="37" t="str">
        <f aca="false">AA40</f>
        <v> Mortes, Resto do Mundo Sua previsão (0 - 35 milhões/ano)</v>
      </c>
      <c r="V40" s="28"/>
      <c r="W40" s="60" t="n">
        <v>35</v>
      </c>
      <c r="AA40" s="29" t="str">
        <f aca="false">CONCATENATE(A11," Your forecast (0 - ",W40," Mp / yr)")</f>
        <v> Mortes, Resto do Mundo Sua previsão (0 - 35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0.541559422857143</v>
      </c>
      <c r="AK40" s="57" t="n">
        <f aca="false">K19/$W40</f>
        <v>0.57470729709456</v>
      </c>
      <c r="AL40" s="57" t="n">
        <f aca="false">L19/$W40</f>
        <v>0.612878078640254</v>
      </c>
      <c r="AM40" s="57" t="n">
        <f aca="false">M19/$W40</f>
        <v>0.644890422255271</v>
      </c>
      <c r="AN40" s="57" t="n">
        <f aca="false">N19/$W40</f>
        <v>0.6957429633702</v>
      </c>
      <c r="AO40" s="57" t="n">
        <f aca="false">O19/$W40</f>
        <v>0.742568010900489</v>
      </c>
      <c r="AP40" s="57" t="n">
        <f aca="false">P19/$W40</f>
        <v>0.783991037393773</v>
      </c>
      <c r="AQ40" s="57" t="n">
        <f aca="false">Q19/$W40</f>
        <v>0.818718837831451</v>
      </c>
      <c r="AR40" s="57" t="n">
        <f aca="false">R19/$W40</f>
        <v>0.845604199934439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(0 - 5%/ano)</v>
      </c>
      <c r="V41" s="28"/>
      <c r="W41" s="60" t="n">
        <v>5</v>
      </c>
      <c r="AA41" s="29" t="str">
        <f aca="false">CONCATENATE(A12," Your forecast (0 - ",W41," % / yr)")</f>
        <v> Taxa bruta de natalidade: Sua previsão (0 - 5%/ano)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0.56</v>
      </c>
      <c r="AK41" s="57" t="n">
        <f aca="false">K15/$W41</f>
        <v>0.49</v>
      </c>
      <c r="AL41" s="57" t="n">
        <f aca="false">L15/$W41</f>
        <v>0.4312</v>
      </c>
      <c r="AM41" s="57" t="n">
        <f aca="false">M15/$W41</f>
        <v>0.392</v>
      </c>
      <c r="AN41" s="57" t="n">
        <f aca="false">N15/$W41</f>
        <v>0.3528</v>
      </c>
      <c r="AO41" s="57" t="n">
        <f aca="false">O15/$W41</f>
        <v>0.3136</v>
      </c>
      <c r="AP41" s="57" t="n">
        <f aca="false">P15/$W41</f>
        <v>0.2744</v>
      </c>
      <c r="AQ41" s="57" t="n">
        <f aca="false">Q15/$W41</f>
        <v>0.2352</v>
      </c>
      <c r="AR41" s="57" t="n">
        <f aca="false">R15/$W41</f>
        <v>0.196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0.454841466580729</v>
      </c>
      <c r="AK42" s="57" t="n">
        <f aca="false">K16/$W42</f>
        <v>0.441</v>
      </c>
      <c r="AL42" s="57" t="n">
        <f aca="false">L16/$W42</f>
        <v>0.4361</v>
      </c>
      <c r="AM42" s="57" t="n">
        <f aca="false">M16/$W42</f>
        <v>0.4312</v>
      </c>
      <c r="AN42" s="57" t="n">
        <f aca="false">N16/$W42</f>
        <v>0.441</v>
      </c>
      <c r="AO42" s="57" t="n">
        <f aca="false">O16/$W42</f>
        <v>0.4508</v>
      </c>
      <c r="AP42" s="57" t="n">
        <f aca="false">P16/$W42</f>
        <v>0.4606</v>
      </c>
      <c r="AQ42" s="57" t="n">
        <f aca="false">Q16/$W42</f>
        <v>0.4704</v>
      </c>
      <c r="AR42" s="57" t="n">
        <f aca="false">R16/$W42</f>
        <v>0.4802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Resto do Mundo,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186</v>
      </c>
      <c r="B55" s="26" t="n">
        <f aca="false">B9</f>
        <v>862.938343</v>
      </c>
      <c r="C55" s="26" t="n">
        <f aca="false">C9</f>
        <v>968.748853</v>
      </c>
      <c r="D55" s="26" t="n">
        <f aca="false">D9</f>
        <v>1093.929237</v>
      </c>
      <c r="E55" s="26" t="n">
        <f aca="false">E9</f>
        <v>1236.604539</v>
      </c>
      <c r="F55" s="26" t="n">
        <f aca="false">F9</f>
        <v>1393.971278</v>
      </c>
      <c r="G55" s="26" t="n">
        <f aca="false">G9</f>
        <v>1557.649007</v>
      </c>
      <c r="H55" s="26" t="n">
        <f aca="false">H9</f>
        <v>1722.909784</v>
      </c>
      <c r="I55" s="26" t="n">
        <f aca="false">I9</f>
        <v>1896.025782</v>
      </c>
      <c r="J55" s="26" t="n">
        <f aca="false">J9</f>
        <v>2083.646852</v>
      </c>
      <c r="K55" s="27" t="n">
        <f aca="false">K9</f>
        <v>2280.58451228</v>
      </c>
      <c r="L55" s="27" t="n">
        <f aca="false">L9</f>
        <v>2463.0312732624</v>
      </c>
      <c r="M55" s="27" t="n">
        <f aca="false">M9</f>
        <v>2624.35982166109</v>
      </c>
      <c r="N55" s="27" t="n">
        <f aca="false">N9</f>
        <v>2771.32397167411</v>
      </c>
      <c r="O55" s="27" t="n">
        <f aca="false">O9</f>
        <v>2896.03355039944</v>
      </c>
      <c r="P55" s="27" t="n">
        <f aca="false">P9</f>
        <v>2994.49869111302</v>
      </c>
      <c r="Q55" s="27" t="n">
        <f aca="false">Q9</f>
        <v>3063.37216100862</v>
      </c>
      <c r="R55" s="27" t="n">
        <f aca="false">R9</f>
        <v>3100.13262694073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189</v>
      </c>
      <c r="B56" s="62" t="n">
        <v>462.956346</v>
      </c>
      <c r="C56" s="62" t="n">
        <v>520.93692</v>
      </c>
      <c r="D56" s="62" t="n">
        <v>593.540897</v>
      </c>
      <c r="E56" s="62" t="n">
        <v>676.277514</v>
      </c>
      <c r="F56" s="62" t="n">
        <v>767.539011</v>
      </c>
      <c r="G56" s="62" t="n">
        <v>869.023578</v>
      </c>
      <c r="H56" s="62" t="n">
        <v>983.153306</v>
      </c>
      <c r="I56" s="62" t="n">
        <v>1108.343186</v>
      </c>
      <c r="J56" s="62" t="n">
        <v>1245.150792</v>
      </c>
      <c r="K56" s="27" t="n">
        <f aca="false">K57</f>
        <v>1452.885571</v>
      </c>
      <c r="L56" s="27" t="n">
        <f aca="false">L57</f>
        <v>1600.973764</v>
      </c>
      <c r="M56" s="27" t="n">
        <f aca="false">M57</f>
        <v>1752.4278</v>
      </c>
      <c r="N56" s="27" t="n">
        <f aca="false">N57</f>
        <v>1885.532976</v>
      </c>
      <c r="O56" s="27" t="n">
        <f aca="false">O57</f>
        <v>2003.43901</v>
      </c>
      <c r="P56" s="27" t="n">
        <f aca="false">P57</f>
        <v>2103.460158</v>
      </c>
      <c r="Q56" s="27" t="n">
        <f aca="false">Q57</f>
        <v>2188.792437</v>
      </c>
      <c r="R56" s="27" t="n">
        <f aca="false">R57</f>
        <v>2254.028987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64" t="n">
        <v>1452.885571</v>
      </c>
      <c r="L57" s="64" t="n">
        <v>1600.973764</v>
      </c>
      <c r="M57" s="64" t="n">
        <v>1752.4278</v>
      </c>
      <c r="N57" s="64" t="n">
        <v>1885.532976</v>
      </c>
      <c r="O57" s="64" t="n">
        <v>2003.43901</v>
      </c>
      <c r="P57" s="64" t="n">
        <v>2103.460158</v>
      </c>
      <c r="Q57" s="64" t="n">
        <v>2188.792437</v>
      </c>
      <c r="R57" s="64" t="n">
        <v>2254.028987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53.648832475161</v>
      </c>
      <c r="C58" s="65" t="n">
        <f aca="false">C56/C55*100</f>
        <v>53.774197346069</v>
      </c>
      <c r="D58" s="65" t="n">
        <f aca="false">D56/D55*100</f>
        <v>54.2577048793148</v>
      </c>
      <c r="E58" s="65" t="n">
        <f aca="false">E56/E55*100</f>
        <v>54.6882606905909</v>
      </c>
      <c r="F58" s="65" t="n">
        <f aca="false">F56/F55*100</f>
        <v>55.0613217871481</v>
      </c>
      <c r="G58" s="65" t="n">
        <f aca="false">G56/G55*100</f>
        <v>55.7907188393951</v>
      </c>
      <c r="H58" s="65" t="n">
        <f aca="false">H56/H55*100</f>
        <v>57.0635395497876</v>
      </c>
      <c r="I58" s="65" t="n">
        <f aca="false">I56/I55*100</f>
        <v>58.4561242005305</v>
      </c>
      <c r="J58" s="65" t="n">
        <f aca="false">J56/J55*100</f>
        <v>59.7582450598495</v>
      </c>
      <c r="K58" s="65" t="n">
        <f aca="false">K56/K55*100</f>
        <v>63.7067191843501</v>
      </c>
      <c r="L58" s="65" t="n">
        <f aca="false">L56/L55*100</f>
        <v>65.0001395183032</v>
      </c>
      <c r="M58" s="65" t="n">
        <f aca="false">M56/M55*100</f>
        <v>66.7754393104068</v>
      </c>
      <c r="N58" s="65" t="n">
        <f aca="false">N56/N55*100</f>
        <v>68.0372628848941</v>
      </c>
      <c r="O58" s="65" t="n">
        <f aca="false">O56/O55*100</f>
        <v>69.1787223847483</v>
      </c>
      <c r="P58" s="65" t="n">
        <f aca="false">P56/P55*100</f>
        <v>70.2441501892314</v>
      </c>
      <c r="Q58" s="65" t="n">
        <f aca="false">Q56/Q55*100</f>
        <v>71.4504252816391</v>
      </c>
      <c r="R58" s="65" t="n">
        <f aca="false">R56/R55*100</f>
        <v>72.7075018472458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1.86397346198166</v>
      </c>
      <c r="C59" s="32" t="n">
        <f aca="false">C55/C56</f>
        <v>1.85962794305307</v>
      </c>
      <c r="D59" s="32" t="n">
        <f aca="false">D55/D56</f>
        <v>1.8430562115082</v>
      </c>
      <c r="E59" s="32" t="n">
        <f aca="false">E55/E56</f>
        <v>1.82854599391575</v>
      </c>
      <c r="F59" s="32" t="n">
        <f aca="false">F55/F56</f>
        <v>1.81615690931962</v>
      </c>
      <c r="G59" s="32" t="n">
        <f aca="false">G55/G56</f>
        <v>1.79241282565063</v>
      </c>
      <c r="H59" s="32" t="n">
        <f aca="false">H55/H56</f>
        <v>1.7524324777076</v>
      </c>
      <c r="I59" s="32" t="n">
        <f aca="false">I55/I56</f>
        <v>1.71068474633993</v>
      </c>
      <c r="J59" s="32" t="n">
        <f aca="false">J55/J56</f>
        <v>1.67340924921485</v>
      </c>
      <c r="K59" s="32" t="n">
        <f aca="false">K55/K56</f>
        <v>1.56969313881361</v>
      </c>
      <c r="L59" s="32" t="n">
        <f aca="false">L55/L56</f>
        <v>1.53845823626027</v>
      </c>
      <c r="M59" s="32" t="n">
        <f aca="false">M55/M56</f>
        <v>1.49755660213852</v>
      </c>
      <c r="N59" s="32" t="n">
        <f aca="false">N55/N56</f>
        <v>1.46978281841203</v>
      </c>
      <c r="O59" s="32" t="n">
        <f aca="false">O55/O56</f>
        <v>1.44553117711302</v>
      </c>
      <c r="P59" s="32" t="n">
        <f aca="false">P55/P56</f>
        <v>1.42360609005318</v>
      </c>
      <c r="Q59" s="32" t="n">
        <f aca="false">Q55/Q56</f>
        <v>1.39957179549073</v>
      </c>
      <c r="R59" s="32" t="n">
        <f aca="false">R55/R56</f>
        <v>1.37537389484367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6"/>
      <c r="G61" s="66"/>
      <c r="H61" s="67" t="s">
        <v>42</v>
      </c>
      <c r="I61" s="39"/>
      <c r="J61" s="38" t="s">
        <v>7</v>
      </c>
      <c r="K61" s="68" t="n">
        <f aca="false">K57</f>
        <v>1452.885571</v>
      </c>
      <c r="L61" s="68" t="n">
        <f aca="false">L57*0.98</f>
        <v>1568.95428872</v>
      </c>
      <c r="M61" s="68" t="n">
        <f aca="false">M57*0.98</f>
        <v>1717.379244</v>
      </c>
      <c r="N61" s="68" t="n">
        <f aca="false">N57*0.98</f>
        <v>1847.82231648</v>
      </c>
      <c r="O61" s="68" t="n">
        <f aca="false">O57*0.98</f>
        <v>1963.3702298</v>
      </c>
      <c r="P61" s="68" t="n">
        <f aca="false">P57*0.98</f>
        <v>2061.39095484</v>
      </c>
      <c r="Q61" s="68" t="n">
        <f aca="false">Q57*0.98</f>
        <v>2145.01658826</v>
      </c>
      <c r="R61" s="68" t="n">
        <f aca="false">R57*0.98</f>
        <v>2208.94840726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63.7067191843501</v>
      </c>
      <c r="L62" s="45" t="n">
        <f aca="false">L61/L17*100</f>
        <v>63.7946473165543</v>
      </c>
      <c r="M62" s="45" t="n">
        <f aca="false">M61/M17*100</f>
        <v>65.6176973820984</v>
      </c>
      <c r="N62" s="45" t="n">
        <f aca="false">N61/N17*100</f>
        <v>66.9286285695699</v>
      </c>
      <c r="O62" s="45" t="n">
        <f aca="false">O61/O17*100</f>
        <v>68.1101479961621</v>
      </c>
      <c r="P62" s="45" t="n">
        <f aca="false">P61/P17*100</f>
        <v>69.2046303383158</v>
      </c>
      <c r="Q62" s="45" t="n">
        <f aca="false">Q61/Q17*100</f>
        <v>70.424721196288</v>
      </c>
      <c r="R62" s="45" t="n">
        <f aca="false">R61/R17*100</f>
        <v>71.6807512307931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1.56969313881361</v>
      </c>
      <c r="L63" s="43" t="n">
        <f aca="false">L17/L61</f>
        <v>1.56752963150328</v>
      </c>
      <c r="M63" s="43" t="n">
        <f aca="false">M17/M61</f>
        <v>1.52397910913713</v>
      </c>
      <c r="N63" s="43" t="n">
        <f aca="false">N17/N61</f>
        <v>1.49412892714593</v>
      </c>
      <c r="O63" s="43" t="n">
        <f aca="false">O17/O61</f>
        <v>1.46820999428213</v>
      </c>
      <c r="P63" s="43" t="n">
        <f aca="false">P17/P61</f>
        <v>1.44499001744735</v>
      </c>
      <c r="Q63" s="43" t="n">
        <f aca="false">Q17/Q61</f>
        <v>1.41995592316624</v>
      </c>
      <c r="R63" s="43" t="n">
        <f aca="false">R17/R61</f>
        <v>1.39507466485705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47" t="n">
        <f aca="false">K21</f>
        <v>2354.25275781402</v>
      </c>
      <c r="L65" s="47" t="n">
        <f aca="false">L21</f>
        <v>2531.58586316366</v>
      </c>
      <c r="M65" s="47" t="n">
        <f aca="false">M21</f>
        <v>2697.96092886772</v>
      </c>
      <c r="N65" s="47" t="n">
        <f aca="false">N21</f>
        <v>2860.20397596725</v>
      </c>
      <c r="O65" s="47" t="n">
        <f aca="false">O21</f>
        <v>3014.62132162816</v>
      </c>
      <c r="P65" s="47" t="n">
        <f aca="false">P21</f>
        <v>3156.24875212192</v>
      </c>
      <c r="Q65" s="47" t="n">
        <f aca="false">Q21</f>
        <v>3280.58094518304</v>
      </c>
      <c r="R65" s="47" t="n">
        <f aca="false">R21</f>
        <v>3385.57707407265</v>
      </c>
      <c r="S65" s="28" t="s">
        <v>17</v>
      </c>
      <c r="T65" s="13"/>
    </row>
    <row r="66" customFormat="false" ht="11.25" hidden="false" customHeight="false" outlineLevel="0" collapsed="false">
      <c r="A66" s="11" t="s">
        <v>190</v>
      </c>
      <c r="B66" s="41"/>
      <c r="C66" s="41"/>
      <c r="D66" s="41"/>
      <c r="E66" s="41"/>
      <c r="F66" s="41"/>
      <c r="G66" s="41"/>
      <c r="H66" s="41"/>
      <c r="I66" s="41"/>
      <c r="J66" s="48"/>
      <c r="K66" s="47" t="n">
        <v>1452.885571</v>
      </c>
      <c r="L66" s="47" t="n">
        <v>1600.973764</v>
      </c>
      <c r="M66" s="47" t="n">
        <v>1752.4278</v>
      </c>
      <c r="N66" s="47" t="n">
        <v>1885.532976</v>
      </c>
      <c r="O66" s="47" t="n">
        <v>2003.43901</v>
      </c>
      <c r="P66" s="47" t="n">
        <v>2103.460158</v>
      </c>
      <c r="Q66" s="47" t="n">
        <v>2188.792437</v>
      </c>
      <c r="R66" s="47" t="n">
        <v>2254.028987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48" t="n">
        <f aca="false">K65/K66</f>
        <v>1.62039792039068</v>
      </c>
      <c r="L67" s="48" t="n">
        <f aca="false">L65/L66</f>
        <v>1.58127879424991</v>
      </c>
      <c r="M67" s="48" t="n">
        <f aca="false">M65/M66</f>
        <v>1.5395561111663</v>
      </c>
      <c r="N67" s="48" t="n">
        <f aca="false">N65/N66</f>
        <v>1.51692068628518</v>
      </c>
      <c r="O67" s="48" t="n">
        <f aca="false">O65/O66</f>
        <v>1.50472328160774</v>
      </c>
      <c r="P67" s="48" t="n">
        <f aca="false">P65/P66</f>
        <v>1.50050322565792</v>
      </c>
      <c r="Q67" s="48" t="n">
        <f aca="false">Q65/Q66</f>
        <v>1.4988086077634</v>
      </c>
      <c r="R67" s="48" t="n">
        <f aca="false">R65/R66</f>
        <v>1.50201132886879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3" t="s">
        <v>37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 Pessoas ROW Idade 15-64 (0 - 3 Gp)</v>
      </c>
      <c r="V70" s="25" t="n">
        <v>3000</v>
      </c>
      <c r="W70" s="70" t="n">
        <f aca="false">W74</f>
        <v>3000</v>
      </c>
      <c r="AA70" s="29" t="str">
        <f aca="false">CONCATENATE(A55," (0 - ",V28/1000," Gp)")</f>
        <v> População, Resto do Mundo (0 - 3,5 Gp)</v>
      </c>
      <c r="AB70" s="57" t="n">
        <f aca="false">B55/$V28</f>
        <v>0.246553812285714</v>
      </c>
      <c r="AC70" s="57" t="n">
        <f aca="false">C55/$V28</f>
        <v>0.276785386571429</v>
      </c>
      <c r="AD70" s="57" t="n">
        <f aca="false">D55/$V28</f>
        <v>0.312551210571429</v>
      </c>
      <c r="AE70" s="57" t="n">
        <f aca="false">E55/$V28</f>
        <v>0.353315582571429</v>
      </c>
      <c r="AF70" s="57" t="n">
        <f aca="false">F55/$V28</f>
        <v>0.398277508</v>
      </c>
      <c r="AG70" s="57" t="n">
        <f aca="false">G55/$V28</f>
        <v>0.445042573428571</v>
      </c>
      <c r="AH70" s="57" t="n">
        <f aca="false">H55/$V28</f>
        <v>0.492259938285714</v>
      </c>
      <c r="AI70" s="57" t="n">
        <f aca="false">I55/$V28</f>
        <v>0.541721652</v>
      </c>
      <c r="AJ70" s="57" t="n">
        <f aca="false">J55/$V28</f>
        <v>0.595327672</v>
      </c>
      <c r="AK70" s="57" t="n">
        <f aca="false">K55/$V28</f>
        <v>0.651595574937143</v>
      </c>
      <c r="AL70" s="57" t="n">
        <f aca="false">L55/$V28</f>
        <v>0.703723220932114</v>
      </c>
      <c r="AM70" s="57" t="n">
        <f aca="false">M55/$V28</f>
        <v>0.749817091903168</v>
      </c>
      <c r="AN70" s="57" t="n">
        <f aca="false">N55/$V28</f>
        <v>0.791806849049745</v>
      </c>
      <c r="AO70" s="57" t="n">
        <f aca="false">O55/$V28</f>
        <v>0.827438157256984</v>
      </c>
      <c r="AP70" s="57" t="n">
        <f aca="false">P55/$V28</f>
        <v>0.855571054603721</v>
      </c>
      <c r="AQ70" s="57" t="n">
        <f aca="false">Q55/$V28</f>
        <v>0.875249188859607</v>
      </c>
      <c r="AR70" s="57" t="n">
        <f aca="false">R55/$V28</f>
        <v>0.885752179125922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 Sobrecarga de apoio (população/idade 15-64) (0 - 1,9)</v>
      </c>
      <c r="V71" s="25" t="n">
        <v>1.9</v>
      </c>
      <c r="W71" s="70" t="n">
        <f aca="false">W75</f>
        <v>1.9</v>
      </c>
      <c r="AA71" s="29" t="str">
        <f aca="false">CONCATENATE(A56," (0 - ",W70/1000," Gp)")</f>
        <v> Pessoas ROW Idade 15-64 (0 - 3 Gp)</v>
      </c>
      <c r="AB71" s="57" t="n">
        <f aca="false">B56/$W70</f>
        <v>0.154318782</v>
      </c>
      <c r="AC71" s="57" t="n">
        <f aca="false">C56/$W70</f>
        <v>0.17364564</v>
      </c>
      <c r="AD71" s="57" t="n">
        <f aca="false">D56/$W70</f>
        <v>0.197846965666667</v>
      </c>
      <c r="AE71" s="57" t="n">
        <f aca="false">E56/$W70</f>
        <v>0.225425838</v>
      </c>
      <c r="AF71" s="57" t="n">
        <f aca="false">F56/$W70</f>
        <v>0.255846337</v>
      </c>
      <c r="AG71" s="57" t="n">
        <f aca="false">G56/$W70</f>
        <v>0.289674526</v>
      </c>
      <c r="AH71" s="57" t="n">
        <f aca="false">H56/$W70</f>
        <v>0.327717768666667</v>
      </c>
      <c r="AI71" s="57" t="n">
        <f aca="false">I56/$W70</f>
        <v>0.369447728666667</v>
      </c>
      <c r="AJ71" s="57" t="n">
        <f aca="false">J56/$W70</f>
        <v>0.415050264</v>
      </c>
      <c r="AK71" s="57" t="n">
        <f aca="false">K56/$W70</f>
        <v>0.484295190333333</v>
      </c>
      <c r="AL71" s="57" t="n">
        <f aca="false">L56/$W70</f>
        <v>0.533657921333334</v>
      </c>
      <c r="AM71" s="57" t="n">
        <f aca="false">M56/$W70</f>
        <v>0.5841426</v>
      </c>
      <c r="AN71" s="57" t="n">
        <f aca="false">N56/$W70</f>
        <v>0.628510992</v>
      </c>
      <c r="AO71" s="57" t="n">
        <f aca="false">O56/$W70</f>
        <v>0.667813003333333</v>
      </c>
      <c r="AP71" s="57" t="n">
        <f aca="false">P56/$W70</f>
        <v>0.701153386</v>
      </c>
      <c r="AQ71" s="57" t="n">
        <f aca="false">Q56/$W70</f>
        <v>0.729597479</v>
      </c>
      <c r="AR71" s="57" t="n">
        <f aca="false">R56/$W70</f>
        <v>0.751342995666667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Pessoas ROW Idade 15-64 ONU Previsão Baixa (Mp) (0 - 3 Gp)</v>
      </c>
      <c r="W72" s="71" t="n">
        <f aca="false">W70</f>
        <v>3000</v>
      </c>
      <c r="AA72" s="29" t="str">
        <f aca="false">CONCATENATE(A59," (0 - ",W71,")")</f>
        <v> Sobrecarga de apoio (população/idade 15-64) (0 - 1,9)</v>
      </c>
      <c r="AB72" s="57" t="n">
        <f aca="false">B59/$W71</f>
        <v>0.981038664200875</v>
      </c>
      <c r="AC72" s="57" t="n">
        <f aca="false">C59/$W71</f>
        <v>0.978751548975299</v>
      </c>
      <c r="AD72" s="57" t="n">
        <f aca="false">D59/$W71</f>
        <v>0.970029585004317</v>
      </c>
      <c r="AE72" s="57" t="n">
        <f aca="false">E59/$W71</f>
        <v>0.962392628376709</v>
      </c>
      <c r="AF72" s="57" t="n">
        <f aca="false">F59/$W71</f>
        <v>0.955872057536643</v>
      </c>
      <c r="AG72" s="57" t="n">
        <f aca="false">G59/$W71</f>
        <v>0.943375171395068</v>
      </c>
      <c r="AH72" s="57" t="n">
        <f aca="false">H59/$W71</f>
        <v>0.922332883004001</v>
      </c>
      <c r="AI72" s="57" t="n">
        <f aca="false">I59/$W71</f>
        <v>0.90036039281049</v>
      </c>
      <c r="AJ72" s="57" t="n">
        <f aca="false">J59/$W71</f>
        <v>0.880741710113081</v>
      </c>
      <c r="AK72" s="57" t="n">
        <f aca="false">K59/$W71</f>
        <v>0.826154283586113</v>
      </c>
      <c r="AL72" s="57" t="n">
        <f aca="false">L59/$W71</f>
        <v>0.809714861189614</v>
      </c>
      <c r="AM72" s="57" t="n">
        <f aca="false">M59/$W71</f>
        <v>0.788187685336065</v>
      </c>
      <c r="AN72" s="57" t="n">
        <f aca="false">N59/$W71</f>
        <v>0.773569904427386</v>
      </c>
      <c r="AO72" s="57" t="n">
        <f aca="false">O59/$W71</f>
        <v>0.760805882691063</v>
      </c>
      <c r="AP72" s="57" t="n">
        <f aca="false">P59/$W71</f>
        <v>0.749266363185884</v>
      </c>
      <c r="AQ72" s="57" t="n">
        <f aca="false">Q59/$W71</f>
        <v>0.736616734468806</v>
      </c>
      <c r="AR72" s="57" t="n">
        <f aca="false">R59/$W71</f>
        <v>0.723880997286143</v>
      </c>
    </row>
    <row r="73" s="3" customFormat="true" ht="11.25" hidden="false" customHeight="false" outlineLevel="0" collapsed="false">
      <c r="T73" s="13"/>
      <c r="U73" s="58" t="str">
        <f aca="false">AA74</f>
        <v>Sobrecarga de apoio ONU Baixa (população/idade 15-64) (0 - 1,9)</v>
      </c>
      <c r="W73" s="71" t="n">
        <f aca="false">W71</f>
        <v>1.9</v>
      </c>
      <c r="Y73" s="72"/>
      <c r="AA73" s="29" t="str">
        <f aca="false">CONCATENATE(A66," (0 - ",W72/1000," Gp)")</f>
        <v> Pessoas ROW Idade 15-64 ONU Previsão Baixa (Mp) (0 - 3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0.484295190333333</v>
      </c>
      <c r="AL73" s="57" t="n">
        <f aca="false">L66/$W72</f>
        <v>0.533657921333334</v>
      </c>
      <c r="AM73" s="57" t="n">
        <f aca="false">M66/$W72</f>
        <v>0.5841426</v>
      </c>
      <c r="AN73" s="57" t="n">
        <f aca="false">N66/$W72</f>
        <v>0.628510992</v>
      </c>
      <c r="AO73" s="57" t="n">
        <f aca="false">O66/$W72</f>
        <v>0.667813003333333</v>
      </c>
      <c r="AP73" s="57" t="n">
        <f aca="false">P66/$W72</f>
        <v>0.701153386</v>
      </c>
      <c r="AQ73" s="57" t="n">
        <f aca="false">Q66/$W72</f>
        <v>0.729597479</v>
      </c>
      <c r="AR73" s="57" t="n">
        <f aca="false">R66/$W72</f>
        <v>0.751342995666667</v>
      </c>
    </row>
    <row r="74" s="3" customFormat="true" ht="11.25" hidden="false" customHeight="false" outlineLevel="0" collapsed="false">
      <c r="T74" s="13"/>
      <c r="U74" s="37" t="str">
        <f aca="false">AA75</f>
        <v> Pessoas ROW Idade 15-64 (0 - 3 Gp) Sua previsão</v>
      </c>
      <c r="W74" s="4" t="n">
        <v>3000</v>
      </c>
      <c r="Y74" s="72"/>
      <c r="AA74" s="29" t="str">
        <f aca="false">CONCATENATE(A67," (0 - ",W73,")")</f>
        <v> Sobrecarga de apoio ONU Baixa (população/idade 15-64) (0 - 1,9)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0.852841010731935</v>
      </c>
      <c r="AL74" s="57" t="n">
        <f aca="false">L67/$W73</f>
        <v>0.832251996973636</v>
      </c>
      <c r="AM74" s="57" t="n">
        <f aca="false">M67/$W73</f>
        <v>0.810292690087528</v>
      </c>
      <c r="AN74" s="57" t="n">
        <f aca="false">N67/$W73</f>
        <v>0.798379308571145</v>
      </c>
      <c r="AO74" s="57" t="n">
        <f aca="false">O67/$W73</f>
        <v>0.791959621898809</v>
      </c>
      <c r="AP74" s="57" t="n">
        <f aca="false">P67/$W73</f>
        <v>0.789738539819958</v>
      </c>
      <c r="AQ74" s="57" t="n">
        <f aca="false">Q67/$W73</f>
        <v>0.78884663566495</v>
      </c>
      <c r="AR74" s="57" t="n">
        <f aca="false">R67/$W73</f>
        <v>0.790532278351997</v>
      </c>
    </row>
    <row r="75" s="3" customFormat="true" ht="11.25" hidden="false" customHeight="false" outlineLevel="0" collapsed="false">
      <c r="T75" s="13"/>
      <c r="U75" s="37" t="str">
        <f aca="false">AA76</f>
        <v> Sobrecarga de apoio (população/idade 15-64) (0 - 1,9) Sua previsão</v>
      </c>
      <c r="W75" s="4" t="n">
        <v>1.9</v>
      </c>
      <c r="AA75" s="29" t="str">
        <f aca="false">CONCATENATE(AA71," Your forecast")</f>
        <v> Pessoas ROW Idade 15-64 (0 - 3 Gp) Sua previsão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0.484295190333333</v>
      </c>
      <c r="AL75" s="57" t="n">
        <f aca="false">L61/$W74</f>
        <v>0.522984762906667</v>
      </c>
      <c r="AM75" s="57" t="n">
        <f aca="false">M61/$W74</f>
        <v>0.572459748</v>
      </c>
      <c r="AN75" s="57" t="n">
        <f aca="false">N61/$W74</f>
        <v>0.61594077216</v>
      </c>
      <c r="AO75" s="57" t="n">
        <f aca="false">O61/$W74</f>
        <v>0.654456743266667</v>
      </c>
      <c r="AP75" s="57" t="n">
        <f aca="false">P61/$W74</f>
        <v>0.68713031828</v>
      </c>
      <c r="AQ75" s="57" t="n">
        <f aca="false">Q61/$W74</f>
        <v>0.71500552942</v>
      </c>
      <c r="AR75" s="57" t="n">
        <f aca="false">R61/$W74</f>
        <v>0.736316135753333</v>
      </c>
    </row>
    <row r="76" s="3" customFormat="true" ht="11.25" hidden="false" customHeight="false" outlineLevel="0" collapsed="false">
      <c r="T76" s="13"/>
      <c r="AA76" s="29" t="str">
        <f aca="false">CONCATENATE(AA72," Your forecast ")</f>
        <v> Sobrecarga de apoio (população/idade 15-64) (0 - 1,9)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0.826154283586113</v>
      </c>
      <c r="AL76" s="57" t="n">
        <f aca="false">L63/$W75</f>
        <v>0.825015595528042</v>
      </c>
      <c r="AM76" s="57" t="n">
        <f aca="false">M63/$W75</f>
        <v>0.80209426796691</v>
      </c>
      <c r="AN76" s="57" t="n">
        <f aca="false">N63/$W75</f>
        <v>0.78638364586628</v>
      </c>
      <c r="AO76" s="57" t="n">
        <f aca="false">O63/$W75</f>
        <v>0.772742102253751</v>
      </c>
      <c r="AP76" s="57" t="n">
        <f aca="false">P63/$W75</f>
        <v>0.760521061814392</v>
      </c>
      <c r="AQ76" s="57" t="n">
        <f aca="false">Q63/$W75</f>
        <v>0.747345222719073</v>
      </c>
      <c r="AR76" s="57" t="n">
        <f aca="false">R63/$W75</f>
        <v>0.734249823608972</v>
      </c>
    </row>
    <row r="77" customFormat="false" ht="11.25" hidden="false" customHeight="false" outlineLevel="0" collapsed="false">
      <c r="T77" s="13"/>
    </row>
    <row r="78" customFormat="false" ht="11.25" hidden="false" customHeight="false" outlineLevel="0" collapsed="false"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Resto do Mundo,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191</v>
      </c>
      <c r="B96" s="74" t="n">
        <v>1.71672962325827</v>
      </c>
      <c r="C96" s="74" t="n">
        <v>2.21270221461053</v>
      </c>
      <c r="D96" s="74" t="n">
        <v>2.77716752329947</v>
      </c>
      <c r="E96" s="74" t="n">
        <v>3.21073261902302</v>
      </c>
      <c r="F96" s="74" t="n">
        <v>3.94327149646139</v>
      </c>
      <c r="G96" s="74" t="n">
        <v>4.80654804023953</v>
      </c>
      <c r="H96" s="74" t="n">
        <v>5.39158078488393</v>
      </c>
      <c r="I96" s="74" t="n">
        <v>6.93342703650082</v>
      </c>
      <c r="J96" s="74" t="n">
        <v>8.28178136623534</v>
      </c>
      <c r="K96" s="75" t="n">
        <f aca="false">K97*K98/1000000</f>
        <v>10.2432810307611</v>
      </c>
      <c r="L96" s="75" t="n">
        <f aca="false">L97*L98/1000000</f>
        <v>11.9645882550919</v>
      </c>
      <c r="M96" s="75" t="n">
        <f aca="false">M97*M98/1000000</f>
        <v>13.8822397955318</v>
      </c>
      <c r="N96" s="75" t="n">
        <f aca="false">N97*N98/1000000</f>
        <v>15.8328612283642</v>
      </c>
      <c r="O96" s="75" t="n">
        <f aca="false">O97*O98/1000000</f>
        <v>17.8322959939103</v>
      </c>
      <c r="P96" s="75" t="n">
        <f aca="false">P97*P98/1000000</f>
        <v>19.8459226356906</v>
      </c>
      <c r="Q96" s="75" t="n">
        <f aca="false">Q97*Q98/1000000</f>
        <v>21.8900850189072</v>
      </c>
      <c r="R96" s="75" t="n">
        <f aca="false">R97*R98/1000000</f>
        <v>23.8950658116432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189</v>
      </c>
      <c r="B97" s="26" t="n">
        <f aca="false">B56</f>
        <v>462.956346</v>
      </c>
      <c r="C97" s="26" t="n">
        <f aca="false">C56</f>
        <v>520.93692</v>
      </c>
      <c r="D97" s="26" t="n">
        <f aca="false">D56</f>
        <v>593.540897</v>
      </c>
      <c r="E97" s="26" t="n">
        <f aca="false">E56</f>
        <v>676.277514</v>
      </c>
      <c r="F97" s="26" t="n">
        <f aca="false">F56</f>
        <v>767.539011</v>
      </c>
      <c r="G97" s="26" t="n">
        <f aca="false">G56</f>
        <v>869.023578</v>
      </c>
      <c r="H97" s="26" t="n">
        <f aca="false">H56</f>
        <v>983.153306</v>
      </c>
      <c r="I97" s="26" t="n">
        <f aca="false">I56</f>
        <v>1108.343186</v>
      </c>
      <c r="J97" s="26" t="n">
        <f aca="false">J56</f>
        <v>1245.150792</v>
      </c>
      <c r="K97" s="27" t="n">
        <f aca="false">K56</f>
        <v>1452.885571</v>
      </c>
      <c r="L97" s="27" t="n">
        <f aca="false">L56</f>
        <v>1600.973764</v>
      </c>
      <c r="M97" s="27" t="n">
        <f aca="false">M56</f>
        <v>1752.4278</v>
      </c>
      <c r="N97" s="27" t="n">
        <f aca="false">N56</f>
        <v>1885.532976</v>
      </c>
      <c r="O97" s="27" t="n">
        <f aca="false">O56</f>
        <v>2003.43901</v>
      </c>
      <c r="P97" s="27" t="n">
        <f aca="false">P56</f>
        <v>2103.460158</v>
      </c>
      <c r="Q97" s="27" t="n">
        <f aca="false">Q56</f>
        <v>2188.792437</v>
      </c>
      <c r="R97" s="27" t="n">
        <f aca="false">R56</f>
        <v>2254.028987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3708.1889860481</v>
      </c>
      <c r="C98" s="27" t="n">
        <f aca="false">C96/C97*1000000</f>
        <v>4247.54347342194</v>
      </c>
      <c r="D98" s="27" t="n">
        <f aca="false">D96/D97*1000000</f>
        <v>4678.98258963522</v>
      </c>
      <c r="E98" s="27" t="n">
        <f aca="false">E96/E97*1000000</f>
        <v>4747.65544108128</v>
      </c>
      <c r="F98" s="27" t="n">
        <f aca="false">F96/F97*1000000</f>
        <v>5137.55188980406</v>
      </c>
      <c r="G98" s="27" t="n">
        <f aca="false">G96/G97*1000000</f>
        <v>5530.97540955273</v>
      </c>
      <c r="H98" s="27" t="n">
        <f aca="false">H96/H97*1000000</f>
        <v>5483.96750738682</v>
      </c>
      <c r="I98" s="27" t="n">
        <f aca="false">I96/I97*1000000</f>
        <v>6255.66803141859</v>
      </c>
      <c r="J98" s="27" t="n">
        <f aca="false">J96/J97*1000000</f>
        <v>6651.22764202148</v>
      </c>
      <c r="K98" s="27" t="n">
        <f aca="false">J98*(1+K99 /100*5)</f>
        <v>7050.30130054277</v>
      </c>
      <c r="L98" s="27" t="n">
        <f aca="false">K98*(1+L99 /100*5)</f>
        <v>7473.31937857534</v>
      </c>
      <c r="M98" s="27" t="n">
        <f aca="false">L98*(1+M99 /100*5)</f>
        <v>7921.71854128986</v>
      </c>
      <c r="N98" s="27" t="n">
        <f aca="false">M98*(1+N99 /100*5)</f>
        <v>8397.02165376725</v>
      </c>
      <c r="O98" s="27" t="n">
        <f aca="false">N98*(1+O99 /100*5)</f>
        <v>8900.84295299329</v>
      </c>
      <c r="P98" s="27" t="n">
        <f aca="false">O98*(1+P99 /100*5)</f>
        <v>9434.89353017289</v>
      </c>
      <c r="Q98" s="27" t="n">
        <f aca="false">P98*(1+Q99 /100*5)</f>
        <v>10000.9871419833</v>
      </c>
      <c r="R98" s="27" t="n">
        <f aca="false">Q98*(1+R99 /100*5)</f>
        <v>10601.0463705023</v>
      </c>
      <c r="S98" s="76" t="s">
        <v>57</v>
      </c>
      <c r="T98" s="13"/>
      <c r="U98" s="41"/>
    </row>
    <row r="99" customFormat="false" ht="11.25" hidden="false" customHeight="false" outlineLevel="0" collapsed="false">
      <c r="A99" s="11" t="s">
        <v>59</v>
      </c>
      <c r="B99" s="75"/>
      <c r="C99" s="75" t="n">
        <f aca="false">(((C98/B98)-1)/5)*100</f>
        <v>2.90899136696182</v>
      </c>
      <c r="D99" s="75" t="n">
        <f aca="false">(((D98/C98)-1)/5)*100</f>
        <v>2.03147592914782</v>
      </c>
      <c r="E99" s="75" t="n">
        <f aca="false">(((E98/D98)-1)/5)*100</f>
        <v>0.293537537832211</v>
      </c>
      <c r="F99" s="75" t="n">
        <f aca="false">(((F98/E98)-1)/5)*100</f>
        <v>1.64247997168881</v>
      </c>
      <c r="G99" s="75" t="n">
        <f aca="false">(((G98/F98)-1)/5)*100</f>
        <v>1.53156027690721</v>
      </c>
      <c r="H99" s="75" t="n">
        <f aca="false">(((H98/G98)-1)/5)*100</f>
        <v>-0.169980514050812</v>
      </c>
      <c r="I99" s="75" t="n">
        <f aca="false">(((I98/H98)-1)/5)*100</f>
        <v>2.8143876600009</v>
      </c>
      <c r="J99" s="75" t="n">
        <f aca="false">(((J98/I98)-1)/5)*100</f>
        <v>1.26464386734152</v>
      </c>
      <c r="K99" s="78" t="n">
        <v>1.2</v>
      </c>
      <c r="L99" s="78" t="n">
        <v>1.2</v>
      </c>
      <c r="M99" s="78" t="n">
        <v>1.2</v>
      </c>
      <c r="N99" s="78" t="n">
        <v>1.2</v>
      </c>
      <c r="O99" s="78" t="n">
        <v>1.2</v>
      </c>
      <c r="P99" s="78" t="n">
        <v>1.2</v>
      </c>
      <c r="Q99" s="78" t="n">
        <v>1.2</v>
      </c>
      <c r="R99" s="78" t="n">
        <v>1.2</v>
      </c>
      <c r="S99" s="76" t="s">
        <v>60</v>
      </c>
      <c r="T99" s="13"/>
      <c r="U99" s="41"/>
    </row>
    <row r="100" customFormat="false" ht="11.25" hidden="false" customHeight="false" outlineLevel="0" collapsed="false">
      <c r="A100" s="11" t="str">
        <f aca="false">A9</f>
        <v> População, Resto do Mundo</v>
      </c>
      <c r="B100" s="26" t="n">
        <f aca="false">B9</f>
        <v>862.938343</v>
      </c>
      <c r="C100" s="26" t="n">
        <f aca="false">C9</f>
        <v>968.748853</v>
      </c>
      <c r="D100" s="26" t="n">
        <f aca="false">D9</f>
        <v>1093.929237</v>
      </c>
      <c r="E100" s="26" t="n">
        <f aca="false">E9</f>
        <v>1236.604539</v>
      </c>
      <c r="F100" s="26" t="n">
        <f aca="false">F9</f>
        <v>1393.971278</v>
      </c>
      <c r="G100" s="26" t="n">
        <f aca="false">G9</f>
        <v>1557.649007</v>
      </c>
      <c r="H100" s="26" t="n">
        <f aca="false">H9</f>
        <v>1722.909784</v>
      </c>
      <c r="I100" s="26" t="n">
        <f aca="false">I9</f>
        <v>1896.025782</v>
      </c>
      <c r="J100" s="26" t="n">
        <f aca="false">J9</f>
        <v>2083.646852</v>
      </c>
      <c r="K100" s="27" t="n">
        <f aca="false">K9</f>
        <v>2280.58451228</v>
      </c>
      <c r="L100" s="27" t="n">
        <f aca="false">L9</f>
        <v>2463.0312732624</v>
      </c>
      <c r="M100" s="27" t="n">
        <f aca="false">M9</f>
        <v>2624.35982166109</v>
      </c>
      <c r="N100" s="27" t="n">
        <f aca="false">N9</f>
        <v>2771.32397167411</v>
      </c>
      <c r="O100" s="27" t="n">
        <f aca="false">O9</f>
        <v>2896.03355039944</v>
      </c>
      <c r="P100" s="27" t="n">
        <f aca="false">P9</f>
        <v>2994.49869111302</v>
      </c>
      <c r="Q100" s="27" t="n">
        <f aca="false">Q9</f>
        <v>3063.37216100862</v>
      </c>
      <c r="R100" s="27" t="n">
        <f aca="false">R9</f>
        <v>3100.13262694073</v>
      </c>
      <c r="S100" s="76" t="s">
        <v>17</v>
      </c>
      <c r="T100" s="13"/>
      <c r="U100" s="41"/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1989.40009698731</v>
      </c>
      <c r="C101" s="27" t="n">
        <f aca="false">C96/C100*1000000</f>
        <v>2284.08240975799</v>
      </c>
      <c r="D101" s="27" t="n">
        <f aca="false">D96/D100*1000000</f>
        <v>2538.7085648388</v>
      </c>
      <c r="E101" s="27" t="n">
        <f aca="false">E96/E100*1000000</f>
        <v>2596.41018430956</v>
      </c>
      <c r="F101" s="27" t="n">
        <f aca="false">F96/F100*1000000</f>
        <v>2828.80397802672</v>
      </c>
      <c r="G101" s="27" t="n">
        <f aca="false">G96/G100*1000000</f>
        <v>3085.77093981965</v>
      </c>
      <c r="H101" s="27" t="n">
        <f aca="false">H96/H100*1000000</f>
        <v>3129.34596747518</v>
      </c>
      <c r="I101" s="27" t="n">
        <f aca="false">I96/I100*1000000</f>
        <v>3656.82107401893</v>
      </c>
      <c r="J101" s="27" t="n">
        <f aca="false">J96/J100*1000000</f>
        <v>3974.65691380765</v>
      </c>
      <c r="K101" s="27" t="n">
        <f aca="false">K96/K100*1000000</f>
        <v>4491.51565118737</v>
      </c>
      <c r="L101" s="27" t="n">
        <f aca="false">L96/L100*1000000</f>
        <v>4857.66802272236</v>
      </c>
      <c r="M101" s="27" t="n">
        <f aca="false">M96/M100*1000000</f>
        <v>5289.76235688026</v>
      </c>
      <c r="N101" s="27" t="n">
        <f aca="false">N96/N100*1000000</f>
        <v>5713.1036970751</v>
      </c>
      <c r="O101" s="27" t="n">
        <f aca="false">O96/O100*1000000</f>
        <v>6157.48943635366</v>
      </c>
      <c r="P101" s="27" t="n">
        <f aca="false">P96/P100*1000000</f>
        <v>6627.46078152871</v>
      </c>
      <c r="Q101" s="27" t="n">
        <f aca="false">Q96/Q100*1000000</f>
        <v>7145.74784530908</v>
      </c>
      <c r="R101" s="27" t="n">
        <f aca="false">R96/R100*1000000</f>
        <v>7707.75598566031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6"/>
      <c r="T102" s="13"/>
      <c r="U102" s="36"/>
    </row>
    <row r="103" customFormat="false" ht="11.25" hidden="false" customHeight="false" outlineLevel="0" collapsed="false">
      <c r="A103" s="63"/>
      <c r="B103" s="41"/>
      <c r="C103" s="41"/>
      <c r="D103" s="41"/>
      <c r="E103" s="47"/>
      <c r="F103" s="47"/>
      <c r="G103" s="80"/>
      <c r="H103" s="80"/>
      <c r="I103" s="81"/>
      <c r="J103" s="82" t="s">
        <v>65</v>
      </c>
      <c r="K103" s="83" t="n">
        <f aca="false">K99</f>
        <v>1.2</v>
      </c>
      <c r="L103" s="83" t="n">
        <f aca="false">L99*0.95</f>
        <v>1.14</v>
      </c>
      <c r="M103" s="83" t="n">
        <f aca="false">M99*0.95</f>
        <v>1.14</v>
      </c>
      <c r="N103" s="83" t="n">
        <f aca="false">N99*0.95</f>
        <v>1.14</v>
      </c>
      <c r="O103" s="83" t="n">
        <f aca="false">O99*0.95</f>
        <v>1.14</v>
      </c>
      <c r="P103" s="83" t="n">
        <f aca="false">P99*0.95</f>
        <v>1.14</v>
      </c>
      <c r="Q103" s="83" t="n">
        <f aca="false">Q99*0.95</f>
        <v>1.14</v>
      </c>
      <c r="R103" s="83" t="n">
        <f aca="false">R99*0.95</f>
        <v>1.14</v>
      </c>
      <c r="S103" s="76" t="s">
        <v>60</v>
      </c>
      <c r="T103" s="13"/>
    </row>
    <row r="104" customFormat="false" ht="11.25" hidden="false" customHeight="fals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ROW, sua previsão</v>
      </c>
      <c r="K104" s="43" t="n">
        <f aca="false">K105*K61/1000000</f>
        <v>10.2432810307611</v>
      </c>
      <c r="L104" s="43" t="n">
        <f aca="false">L105*L61/1000000</f>
        <v>11.6921116886033</v>
      </c>
      <c r="M104" s="43" t="n">
        <f aca="false">M105*M61/1000000</f>
        <v>13.5276968304839</v>
      </c>
      <c r="N104" s="43" t="n">
        <f aca="false">N105*N61/1000000</f>
        <v>15.3848351501905</v>
      </c>
      <c r="O104" s="43" t="n">
        <f aca="false">O105*O61/1000000</f>
        <v>17.2786508188561</v>
      </c>
      <c r="P104" s="43" t="n">
        <f aca="false">P105*P61/1000000</f>
        <v>19.1753358818749</v>
      </c>
      <c r="Q104" s="43" t="n">
        <f aca="false">Q105*Q61/1000000</f>
        <v>21.0905670379842</v>
      </c>
      <c r="R104" s="43" t="n">
        <f aca="false">R105*R61/1000000</f>
        <v>22.9571599962855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J98*(1+K103/100*5)</f>
        <v>7050.30130054277</v>
      </c>
      <c r="L105" s="84" t="n">
        <f aca="false">K105*(1+L103/100*5)</f>
        <v>7452.16847467371</v>
      </c>
      <c r="M105" s="84" t="n">
        <f aca="false">L105*(1+M103/100*5)</f>
        <v>7876.94207773011</v>
      </c>
      <c r="N105" s="84" t="n">
        <f aca="false">M105*(1+N103/100*5)</f>
        <v>8325.92777616073</v>
      </c>
      <c r="O105" s="84" t="n">
        <f aca="false">N105*(1+O103/100*5)</f>
        <v>8800.50565940189</v>
      </c>
      <c r="P105" s="84" t="n">
        <f aca="false">O105*(1+P103/100*5)</f>
        <v>9302.1344819878</v>
      </c>
      <c r="Q105" s="84" t="n">
        <f aca="false">P105*(1+Q103/100*5)</f>
        <v>9832.3561474611</v>
      </c>
      <c r="R105" s="84" t="n">
        <f aca="false">Q105*(1+R103/100*5)</f>
        <v>10392.8004478664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3" t="s">
        <v>37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PIB Resto do Mundo (0 - 50 trilhões de dólares/ano)</v>
      </c>
      <c r="V108" s="25" t="n">
        <v>50</v>
      </c>
      <c r="W108" s="70" t="n">
        <v>50</v>
      </c>
      <c r="AA108" s="29" t="str">
        <f aca="false">CONCATENATE(A96," (0 - ",W108," T$ / yr)")</f>
        <v> PIB Resto do Mundo (0 - 50 trilhões de dólares/ano)</v>
      </c>
      <c r="AB108" s="57" t="n">
        <f aca="false">B96/$W108</f>
        <v>0.0343345924651654</v>
      </c>
      <c r="AC108" s="57" t="n">
        <f aca="false">C96/$W108</f>
        <v>0.0442540442922105</v>
      </c>
      <c r="AD108" s="57" t="n">
        <f aca="false">D96/$W108</f>
        <v>0.0555433504659894</v>
      </c>
      <c r="AE108" s="57" t="n">
        <f aca="false">E96/$W108</f>
        <v>0.0642146523804605</v>
      </c>
      <c r="AF108" s="57" t="n">
        <f aca="false">F96/$W108</f>
        <v>0.0788654299292278</v>
      </c>
      <c r="AG108" s="57" t="n">
        <f aca="false">G96/$W108</f>
        <v>0.0961309608047906</v>
      </c>
      <c r="AH108" s="57" t="n">
        <f aca="false">H96/$W108</f>
        <v>0.107831615697679</v>
      </c>
      <c r="AI108" s="57" t="n">
        <f aca="false">I96/$W108</f>
        <v>0.138668540730016</v>
      </c>
      <c r="AJ108" s="57" t="n">
        <f aca="false">J96/$W108</f>
        <v>0.165635627324707</v>
      </c>
      <c r="AK108" s="57" t="n">
        <f aca="false">K96/$W108</f>
        <v>0.204865620615223</v>
      </c>
      <c r="AL108" s="57" t="n">
        <f aca="false">L96/$W108</f>
        <v>0.239291765101838</v>
      </c>
      <c r="AM108" s="57" t="n">
        <f aca="false">M96/$W108</f>
        <v>0.277644795910636</v>
      </c>
      <c r="AN108" s="57" t="n">
        <f aca="false">N96/$W108</f>
        <v>0.316657224567284</v>
      </c>
      <c r="AO108" s="57" t="n">
        <f aca="false">O96/$W108</f>
        <v>0.356645919878207</v>
      </c>
      <c r="AP108" s="57" t="n">
        <f aca="false">P96/$W108</f>
        <v>0.396918452713813</v>
      </c>
      <c r="AQ108" s="57" t="n">
        <f aca="false">Q96/$W108</f>
        <v>0.437801700378144</v>
      </c>
      <c r="AR108" s="57" t="n">
        <f aca="false">R96/$W108</f>
        <v>0.477901316232864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(0 - 12000 $ / pessoa-ano)</v>
      </c>
      <c r="V109" s="25" t="n">
        <v>12000</v>
      </c>
      <c r="W109" s="70" t="n">
        <f aca="false">W112</f>
        <v>12000</v>
      </c>
      <c r="AA109" s="29" t="str">
        <f aca="false">CONCATENATE(A98," (0 - ",W109," $ / person-yr)")</f>
        <v> Produtividade do trabalho (0 - 12000 $ / pessoa-ano)</v>
      </c>
      <c r="AB109" s="57" t="n">
        <f aca="false">B98/$W109</f>
        <v>0.309015748837341</v>
      </c>
      <c r="AC109" s="57" t="n">
        <f aca="false">C98/$W109</f>
        <v>0.353961956118495</v>
      </c>
      <c r="AD109" s="57" t="n">
        <f aca="false">D98/$W109</f>
        <v>0.389915215802935</v>
      </c>
      <c r="AE109" s="57" t="n">
        <f aca="false">E98/$W109</f>
        <v>0.39563795342344</v>
      </c>
      <c r="AF109" s="57" t="n">
        <f aca="false">F98/$W109</f>
        <v>0.428129324150338</v>
      </c>
      <c r="AG109" s="57" t="n">
        <f aca="false">G98/$W109</f>
        <v>0.460914617462727</v>
      </c>
      <c r="AH109" s="57" t="n">
        <f aca="false">H98/$W109</f>
        <v>0.456997292282235</v>
      </c>
      <c r="AI109" s="57" t="n">
        <f aca="false">I98/$W109</f>
        <v>0.521305669284882</v>
      </c>
      <c r="AJ109" s="57" t="n">
        <f aca="false">J98/$W109</f>
        <v>0.554268970168457</v>
      </c>
      <c r="AK109" s="57" t="n">
        <f aca="false">K98/$W109</f>
        <v>0.587525108378564</v>
      </c>
      <c r="AL109" s="57" t="n">
        <f aca="false">L98/$W109</f>
        <v>0.622776614881278</v>
      </c>
      <c r="AM109" s="57" t="n">
        <f aca="false">M98/$W109</f>
        <v>0.660143211774155</v>
      </c>
      <c r="AN109" s="57" t="n">
        <f aca="false">N98/$W109</f>
        <v>0.699751804480604</v>
      </c>
      <c r="AO109" s="57" t="n">
        <f aca="false">O98/$W109</f>
        <v>0.741736912749441</v>
      </c>
      <c r="AP109" s="57" t="n">
        <f aca="false">P98/$W109</f>
        <v>0.786241127514407</v>
      </c>
      <c r="AQ109" s="57" t="n">
        <f aca="false">Q98/$W109</f>
        <v>0.833415595165272</v>
      </c>
      <c r="AR109" s="57" t="n">
        <f aca="false">R98/$W109</f>
        <v>0.883420530875188</v>
      </c>
    </row>
    <row r="110" customFormat="false" ht="11.25" hidden="false" customHeight="false" outlineLevel="0" collapsed="false">
      <c r="T110" s="13"/>
      <c r="U110" s="15" t="str">
        <f aca="false">AA110</f>
        <v> PIB per capita (0 - 50.000 $ / pessoa-ano)</v>
      </c>
      <c r="V110" s="25" t="n">
        <v>50000</v>
      </c>
      <c r="W110" s="70" t="n">
        <v>50000</v>
      </c>
      <c r="AA110" s="29" t="str">
        <f aca="false">CONCATENATE(A101," (0 - ",W110," $ / person-yr)")</f>
        <v> PIB per capita (0 - 50.000 $ / pessoa-ano)</v>
      </c>
      <c r="AB110" s="57" t="n">
        <f aca="false">B101/$W110</f>
        <v>0.0397880019397463</v>
      </c>
      <c r="AC110" s="57" t="n">
        <f aca="false">C101/$W110</f>
        <v>0.0456816481951597</v>
      </c>
      <c r="AD110" s="57" t="n">
        <f aca="false">D101/$W110</f>
        <v>0.0507741712967759</v>
      </c>
      <c r="AE110" s="57" t="n">
        <f aca="false">E101/$W110</f>
        <v>0.0519282036861911</v>
      </c>
      <c r="AF110" s="57" t="n">
        <f aca="false">F101/$W110</f>
        <v>0.0565760795605343</v>
      </c>
      <c r="AG110" s="57" t="n">
        <f aca="false">G101/$W110</f>
        <v>0.0617154187963929</v>
      </c>
      <c r="AH110" s="57" t="n">
        <f aca="false">H101/$W110</f>
        <v>0.0625869193495036</v>
      </c>
      <c r="AI110" s="57" t="n">
        <f aca="false">I101/$W110</f>
        <v>0.0731364214803786</v>
      </c>
      <c r="AJ110" s="57" t="n">
        <f aca="false">J101/$W110</f>
        <v>0.079493138276153</v>
      </c>
      <c r="AK110" s="57" t="n">
        <f aca="false">K101/$W110</f>
        <v>0.0898303130237474</v>
      </c>
      <c r="AL110" s="57" t="n">
        <f aca="false">L101/$W110</f>
        <v>0.0971533604544473</v>
      </c>
      <c r="AM110" s="57" t="n">
        <f aca="false">M101/$W110</f>
        <v>0.105795247137605</v>
      </c>
      <c r="AN110" s="57" t="n">
        <f aca="false">N101/$W110</f>
        <v>0.114262073941502</v>
      </c>
      <c r="AO110" s="57" t="n">
        <f aca="false">O101/$W110</f>
        <v>0.123149788727073</v>
      </c>
      <c r="AP110" s="57" t="n">
        <f aca="false">P101/$W110</f>
        <v>0.132549215630574</v>
      </c>
      <c r="AQ110" s="57" t="n">
        <f aca="false">Q101/$W110</f>
        <v>0.142914956906182</v>
      </c>
      <c r="AR110" s="57" t="n">
        <f aca="false">R101/$W110</f>
        <v>0.154155119713206</v>
      </c>
    </row>
    <row r="111" customFormat="false" ht="11.25" hidden="false" customHeight="false" outlineLevel="0" collapsed="false">
      <c r="T111" s="13"/>
      <c r="U111" s="15" t="str">
        <f aca="false">AA111</f>
        <v> Crescimento da produtividade (0 - 3 % / ano)</v>
      </c>
      <c r="V111" s="86" t="n">
        <v>3</v>
      </c>
      <c r="W111" s="70" t="n">
        <f aca="false">W113</f>
        <v>3</v>
      </c>
      <c r="AA111" s="29" t="str">
        <f aca="false">CONCATENATE(A99," (0 - ",W111," % / yr)")</f>
        <v> Crescimento da produtividade (0 - 3 % / ano)</v>
      </c>
      <c r="AB111" s="57"/>
      <c r="AC111" s="57" t="n">
        <f aca="false">C99/$W111</f>
        <v>0.969663788987275</v>
      </c>
      <c r="AD111" s="57" t="n">
        <f aca="false">D99/$W111</f>
        <v>0.677158643049274</v>
      </c>
      <c r="AE111" s="57" t="n">
        <f aca="false">E99/$W111</f>
        <v>0.0978458459440705</v>
      </c>
      <c r="AF111" s="57" t="n">
        <f aca="false">F99/$W111</f>
        <v>0.547493323896271</v>
      </c>
      <c r="AG111" s="57" t="n">
        <f aca="false">G99/$W111</f>
        <v>0.510520092302403</v>
      </c>
      <c r="AH111" s="57" t="n">
        <f aca="false">H99/$W111</f>
        <v>-0.0566601713502705</v>
      </c>
      <c r="AI111" s="57" t="n">
        <f aca="false">I99/$W111</f>
        <v>0.938129220000299</v>
      </c>
      <c r="AJ111" s="57" t="n">
        <f aca="false">J99/$W111</f>
        <v>0.421547955780507</v>
      </c>
      <c r="AK111" s="57" t="n">
        <f aca="false">K99/$W111</f>
        <v>0.4</v>
      </c>
      <c r="AL111" s="57" t="n">
        <f aca="false">L99/$W111</f>
        <v>0.4</v>
      </c>
      <c r="AM111" s="57" t="n">
        <f aca="false">M99/$W111</f>
        <v>0.4</v>
      </c>
      <c r="AN111" s="57" t="n">
        <f aca="false">N99/$W111</f>
        <v>0.4</v>
      </c>
      <c r="AO111" s="57" t="n">
        <f aca="false">O99/$W111</f>
        <v>0.4</v>
      </c>
      <c r="AP111" s="57" t="n">
        <f aca="false">P99/$W111</f>
        <v>0.4</v>
      </c>
      <c r="AQ111" s="57" t="n">
        <f aca="false">Q99/$W111</f>
        <v>0.4</v>
      </c>
      <c r="AR111" s="57" t="n">
        <f aca="false">R99/$W111</f>
        <v>0.4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(0 - 12.000 $/pessoa-ano) Sua previsão</v>
      </c>
      <c r="W112" s="4" t="n">
        <v>12000</v>
      </c>
      <c r="AA112" s="29" t="str">
        <f aca="false">CONCATENATE(A98," (0 - ",W112," $ / person-yr) Your forecast")</f>
        <v> Produtividade do trabalho (0 - 12.000 $/pessoa-ano)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0.587525108378564</v>
      </c>
      <c r="AL112" s="57" t="n">
        <f aca="false">L105/$W112</f>
        <v>0.621014039556142</v>
      </c>
      <c r="AM112" s="57" t="n">
        <f aca="false">M105/$W112</f>
        <v>0.656411839810843</v>
      </c>
      <c r="AN112" s="57" t="n">
        <f aca="false">N105/$W112</f>
        <v>0.693827314680061</v>
      </c>
      <c r="AO112" s="57" t="n">
        <f aca="false">O105/$W112</f>
        <v>0.733375471616824</v>
      </c>
      <c r="AP112" s="57" t="n">
        <f aca="false">P105/$W112</f>
        <v>0.775177873498983</v>
      </c>
      <c r="AQ112" s="57" t="n">
        <f aca="false">Q105/$W112</f>
        <v>0.819363012288425</v>
      </c>
      <c r="AR112" s="57" t="n">
        <f aca="false">R105/$W112</f>
        <v>0.866066703988865</v>
      </c>
    </row>
    <row r="113" customFormat="false" ht="11.25" hidden="false" customHeight="false" outlineLevel="0" collapsed="false">
      <c r="T113" s="13"/>
      <c r="U113" s="37" t="str">
        <f aca="false">AA113</f>
        <v>Crescimento da produtividade (0 - 3% ao ano) Sua previsão</v>
      </c>
      <c r="W113" s="87" t="n">
        <v>3</v>
      </c>
      <c r="AA113" s="29" t="str">
        <f aca="false">CONCATENATE(A99," (0 - ",W113," % / yr) Your forecast")</f>
        <v> Crescimento da produtividade (0 - 3%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0.4</v>
      </c>
      <c r="AL113" s="57" t="n">
        <f aca="false">L103/$W113</f>
        <v>0.38</v>
      </c>
      <c r="AM113" s="57" t="n">
        <f aca="false">M103/$W113</f>
        <v>0.38</v>
      </c>
      <c r="AN113" s="57" t="n">
        <f aca="false">N103/$W113</f>
        <v>0.38</v>
      </c>
      <c r="AO113" s="57" t="n">
        <f aca="false">O103/$W113</f>
        <v>0.38</v>
      </c>
      <c r="AP113" s="57" t="n">
        <f aca="false">P103/$W113</f>
        <v>0.38</v>
      </c>
      <c r="AQ113" s="57" t="n">
        <f aca="false">Q103/$W113</f>
        <v>0.38</v>
      </c>
      <c r="AR113" s="57" t="n">
        <f aca="false">R103/$W113</f>
        <v>0.38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Resto do Mundo,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 PIB ROW</v>
      </c>
      <c r="B134" s="88" t="n">
        <f aca="false">B96</f>
        <v>1.71672962325827</v>
      </c>
      <c r="C134" s="88" t="n">
        <f aca="false">C96</f>
        <v>2.21270221461053</v>
      </c>
      <c r="D134" s="88" t="n">
        <f aca="false">D96</f>
        <v>2.77716752329947</v>
      </c>
      <c r="E134" s="88" t="n">
        <f aca="false">E96</f>
        <v>3.21073261902302</v>
      </c>
      <c r="F134" s="88" t="n">
        <f aca="false">F96</f>
        <v>3.94327149646139</v>
      </c>
      <c r="G134" s="88" t="n">
        <f aca="false">G96</f>
        <v>4.80654804023953</v>
      </c>
      <c r="H134" s="88" t="n">
        <f aca="false">H96</f>
        <v>5.39158078488393</v>
      </c>
      <c r="I134" s="88" t="n">
        <f aca="false">I96</f>
        <v>6.93342703650082</v>
      </c>
      <c r="J134" s="88" t="n">
        <f aca="false">J96</f>
        <v>8.28178136623534</v>
      </c>
      <c r="K134" s="31" t="n">
        <f aca="false">K96</f>
        <v>10.2432810307611</v>
      </c>
      <c r="L134" s="31" t="n">
        <f aca="false">L96</f>
        <v>11.9645882550919</v>
      </c>
      <c r="M134" s="31" t="n">
        <f aca="false">M96</f>
        <v>13.8822397955318</v>
      </c>
      <c r="N134" s="31" t="n">
        <f aca="false">N96</f>
        <v>15.8328612283642</v>
      </c>
      <c r="O134" s="31" t="n">
        <f aca="false">O96</f>
        <v>17.8322959939103</v>
      </c>
      <c r="P134" s="31" t="n">
        <f aca="false">P96</f>
        <v>19.8459226356906</v>
      </c>
      <c r="Q134" s="31" t="n">
        <f aca="false">Q96</f>
        <v>21.8900850189072</v>
      </c>
      <c r="R134" s="31" t="n">
        <f aca="false">R96</f>
        <v>23.8950658116432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0" t="n">
        <v>0.43716699226228</v>
      </c>
      <c r="C135" s="30" t="n">
        <v>0.617401189014963</v>
      </c>
      <c r="D135" s="30" t="n">
        <v>0.820210198024774</v>
      </c>
      <c r="E135" s="30" t="n">
        <v>0.900785073508695</v>
      </c>
      <c r="F135" s="30" t="n">
        <v>1.01271897224012</v>
      </c>
      <c r="G135" s="30" t="n">
        <v>1.15838793587777</v>
      </c>
      <c r="H135" s="30" t="n">
        <v>1.29600055640759</v>
      </c>
      <c r="I135" s="30" t="n">
        <v>1.3933047277098</v>
      </c>
      <c r="J135" s="30" t="n">
        <v>1.27641697387977</v>
      </c>
      <c r="K135" s="31" t="n">
        <f aca="false">K134*K137/100</f>
        <v>1.81400938115769</v>
      </c>
      <c r="L135" s="31" t="n">
        <f aca="false">L134*L137/100</f>
        <v>2.38926196821979</v>
      </c>
      <c r="M135" s="31" t="n">
        <f aca="false">M134*M137/100</f>
        <v>3.03702931097872</v>
      </c>
      <c r="N135" s="31" t="n">
        <f aca="false">N134*N137/100</f>
        <v>3.71800123742903</v>
      </c>
      <c r="O135" s="31" t="n">
        <f aca="false">O134*O137/100</f>
        <v>4.43348503695484</v>
      </c>
      <c r="P135" s="31" t="n">
        <f aca="false">P134*P137/100</f>
        <v>5.17414608569133</v>
      </c>
      <c r="Q135" s="31" t="n">
        <f aca="false">Q134*Q137/100</f>
        <v>6.03152547685874</v>
      </c>
      <c r="R135" s="31" t="n">
        <f aca="false">R134*R137/100</f>
        <v>6.96308553192478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PIB Resto do Mundo (0 - 25 trilhões de dólares/ano)</v>
      </c>
      <c r="AB135" s="57" t="n">
        <f aca="false">B134/$W155</f>
        <v>0.0686691849303309</v>
      </c>
      <c r="AC135" s="57" t="n">
        <f aca="false">C134/$W155</f>
        <v>0.0885080885844211</v>
      </c>
      <c r="AD135" s="57" t="n">
        <f aca="false">D134/$W155</f>
        <v>0.111086700931979</v>
      </c>
      <c r="AE135" s="57" t="n">
        <f aca="false">E134/$W155</f>
        <v>0.128429304760921</v>
      </c>
      <c r="AF135" s="57" t="n">
        <f aca="false">F134/$W155</f>
        <v>0.157730859858456</v>
      </c>
      <c r="AG135" s="57" t="n">
        <f aca="false">G134/$W155</f>
        <v>0.192261921609581</v>
      </c>
      <c r="AH135" s="57" t="n">
        <f aca="false">H134/$W155</f>
        <v>0.215663231395357</v>
      </c>
      <c r="AI135" s="57" t="n">
        <f aca="false">I134/$W155</f>
        <v>0.277337081460033</v>
      </c>
      <c r="AJ135" s="57" t="n">
        <f aca="false">J134/$W155</f>
        <v>0.331271254649414</v>
      </c>
      <c r="AK135" s="57" t="n">
        <f aca="false">K134/$W155</f>
        <v>0.409731241230445</v>
      </c>
      <c r="AL135" s="57" t="n">
        <f aca="false">L134/$W155</f>
        <v>0.478583530203676</v>
      </c>
      <c r="AM135" s="57" t="n">
        <f aca="false">M134/$W155</f>
        <v>0.555289591821272</v>
      </c>
      <c r="AN135" s="57" t="n">
        <f aca="false">N134/$W155</f>
        <v>0.633314449134568</v>
      </c>
      <c r="AO135" s="57" t="n">
        <f aca="false">O134/$W155</f>
        <v>0.713291839756414</v>
      </c>
      <c r="AP135" s="57" t="n">
        <f aca="false">P134/$W155</f>
        <v>0.793836905427625</v>
      </c>
      <c r="AQ135" s="57" t="n">
        <f aca="false">Q134/$W155</f>
        <v>0.875603400756288</v>
      </c>
      <c r="AR135" s="57" t="n">
        <f aca="false">R134/$W155</f>
        <v>0.955802632465729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1.27956263099599</v>
      </c>
      <c r="C136" s="65" t="n">
        <f aca="false">C134-C135</f>
        <v>1.59530102559556</v>
      </c>
      <c r="D136" s="65" t="n">
        <f aca="false">D134-D135</f>
        <v>1.9569573252747</v>
      </c>
      <c r="E136" s="65" t="n">
        <f aca="false">E134-E135</f>
        <v>2.30994754551433</v>
      </c>
      <c r="F136" s="65" t="n">
        <f aca="false">F134-F135</f>
        <v>2.93055252422127</v>
      </c>
      <c r="G136" s="65" t="n">
        <f aca="false">G134-G135</f>
        <v>3.64816010436176</v>
      </c>
      <c r="H136" s="65" t="n">
        <f aca="false">H134-H135</f>
        <v>4.09558022847634</v>
      </c>
      <c r="I136" s="65" t="n">
        <f aca="false">I134-I135</f>
        <v>5.54012230879103</v>
      </c>
      <c r="J136" s="65" t="n">
        <f aca="false">J134-J135</f>
        <v>7.00536439235557</v>
      </c>
      <c r="K136" s="65" t="n">
        <f aca="false">K134-K135</f>
        <v>8.42927164960345</v>
      </c>
      <c r="L136" s="65" t="n">
        <f aca="false">L134-L135</f>
        <v>9.57532628687211</v>
      </c>
      <c r="M136" s="65" t="n">
        <f aca="false">M134-M135</f>
        <v>10.8452104845531</v>
      </c>
      <c r="N136" s="65" t="n">
        <f aca="false">N134-N135</f>
        <v>12.1148599909352</v>
      </c>
      <c r="O136" s="65" t="n">
        <f aca="false">O134-O135</f>
        <v>13.3988109569555</v>
      </c>
      <c r="P136" s="65" t="n">
        <f aca="false">P134-P135</f>
        <v>14.6717765499993</v>
      </c>
      <c r="Q136" s="65" t="n">
        <f aca="false">Q134-Q135</f>
        <v>15.8585595420485</v>
      </c>
      <c r="R136" s="65" t="n">
        <f aca="false">R134-R135</f>
        <v>16.9319802797184</v>
      </c>
      <c r="S136" s="28" t="s">
        <v>53</v>
      </c>
      <c r="T136" s="13"/>
      <c r="AA136" s="29" t="str">
        <f aca="false">CONCATENATE(A137," (0 - ",W156,"% /yr)")</f>
        <v> Percentagem de investimento (0 - 50%/ano)</v>
      </c>
      <c r="AB136" s="57" t="n">
        <f aca="false">B137/$W$156</f>
        <v>0.509302089670426</v>
      </c>
      <c r="AC136" s="57" t="n">
        <f aca="false">C137/$W$156</f>
        <v>0.558051765789583</v>
      </c>
      <c r="AD136" s="57" t="n">
        <f aca="false">D137/$W$156</f>
        <v>0.590681110263242</v>
      </c>
      <c r="AE136" s="57" t="n">
        <f aca="false">E137/$W$156</f>
        <v>0.561108743949404</v>
      </c>
      <c r="AF136" s="57" t="n">
        <f aca="false">F137/$W$156</f>
        <v>0.51364405070709</v>
      </c>
      <c r="AG136" s="57" t="n">
        <f aca="false">G137/$W$156</f>
        <v>0.482004101979201</v>
      </c>
      <c r="AH136" s="57" t="n">
        <f aca="false">H137/$W$156</f>
        <v>0.480749749699055</v>
      </c>
      <c r="AI136" s="57" t="n">
        <f aca="false">I137/$W$156</f>
        <v>0.401909393543708</v>
      </c>
      <c r="AJ136" s="57" t="n">
        <f aca="false">J137/$W$156</f>
        <v>0.308246962201562</v>
      </c>
      <c r="AK136" s="57" t="n">
        <f aca="false">K137/$W$156</f>
        <v>0.354185221651171</v>
      </c>
      <c r="AL136" s="57" t="n">
        <f aca="false">L137/$W$156</f>
        <v>0.399388916238379</v>
      </c>
      <c r="AM136" s="57" t="n">
        <f aca="false">M137/$W$156</f>
        <v>0.437541687178784</v>
      </c>
      <c r="AN136" s="57" t="n">
        <f aca="false">N137/$W$156</f>
        <v>0.469656265384088</v>
      </c>
      <c r="AO136" s="57" t="n">
        <f aca="false">O137/$W$156</f>
        <v>0.497242199038066</v>
      </c>
      <c r="AP136" s="57" t="n">
        <f aca="false">P137/$W$156</f>
        <v>0.52143164927855</v>
      </c>
      <c r="AQ136" s="57" t="n">
        <f aca="false">Q137/$W$156</f>
        <v>0.551073736958912</v>
      </c>
      <c r="AR136" s="57" t="n">
        <f aca="false">R137/$W$156</f>
        <v>0.582805302719184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25.4651044835213</v>
      </c>
      <c r="C137" s="31" t="n">
        <f aca="false">C135/C134*100</f>
        <v>27.9025882894791</v>
      </c>
      <c r="D137" s="31" t="n">
        <f aca="false">D135/D134*100</f>
        <v>29.5340555131621</v>
      </c>
      <c r="E137" s="31" t="n">
        <f aca="false">E135/E134*100</f>
        <v>28.0554371974702</v>
      </c>
      <c r="F137" s="31" t="n">
        <f aca="false">F135/F134*100</f>
        <v>25.6822025353545</v>
      </c>
      <c r="G137" s="31" t="n">
        <f aca="false">G135/G134*100</f>
        <v>24.1002050989601</v>
      </c>
      <c r="H137" s="31" t="n">
        <f aca="false">H135/H134*100</f>
        <v>24.0374874849527</v>
      </c>
      <c r="I137" s="31" t="n">
        <f aca="false">I135/I134*100</f>
        <v>20.0954696771854</v>
      </c>
      <c r="J137" s="31" t="n">
        <f aca="false">J135/J134*100</f>
        <v>15.4123481100781</v>
      </c>
      <c r="K137" s="65" t="n">
        <f aca="false">SUM(K138:K141)</f>
        <v>17.7092610825586</v>
      </c>
      <c r="L137" s="65" t="n">
        <f aca="false">SUM(L138:L141)</f>
        <v>19.9694458119189</v>
      </c>
      <c r="M137" s="65" t="n">
        <f aca="false">SUM(M138:M141)</f>
        <v>21.8770843589392</v>
      </c>
      <c r="N137" s="65" t="n">
        <f aca="false">SUM(N138:N141)</f>
        <v>23.4828132692044</v>
      </c>
      <c r="O137" s="65" t="n">
        <f aca="false">SUM(O138:O141)</f>
        <v>24.8621099519033</v>
      </c>
      <c r="P137" s="65" t="n">
        <f aca="false">SUM(P138:P141)</f>
        <v>26.0715824639275</v>
      </c>
      <c r="Q137" s="65" t="n">
        <f aca="false">SUM(Q138:Q141)</f>
        <v>27.5536868479456</v>
      </c>
      <c r="R137" s="65" t="n">
        <f aca="false">SUM(R138:R141)</f>
        <v>29.1402651359592</v>
      </c>
      <c r="S137" s="28" t="s">
        <v>25</v>
      </c>
      <c r="T137" s="13"/>
      <c r="AA137" s="29" t="str">
        <f aca="false">CONCATENATE(A136," (0 - ",W157, " T$ / yr)")</f>
        <v> Consumo (0 - 25 T$ / ano)</v>
      </c>
      <c r="AB137" s="57" t="n">
        <f aca="false">B136/$W$157</f>
        <v>0.0511825052398397</v>
      </c>
      <c r="AC137" s="57" t="n">
        <f aca="false">C136/$W$157</f>
        <v>0.0638120410238226</v>
      </c>
      <c r="AD137" s="57" t="n">
        <f aca="false">D136/$W$157</f>
        <v>0.0782782930109879</v>
      </c>
      <c r="AE137" s="57" t="n">
        <f aca="false">E136/$W$157</f>
        <v>0.0923979018205732</v>
      </c>
      <c r="AF137" s="57" t="n">
        <f aca="false">F136/$W$157</f>
        <v>0.117222100968851</v>
      </c>
      <c r="AG137" s="57" t="n">
        <f aca="false">G136/$W$157</f>
        <v>0.14592640417447</v>
      </c>
      <c r="AH137" s="57" t="n">
        <f aca="false">H136/$W$157</f>
        <v>0.163823209139054</v>
      </c>
      <c r="AI137" s="57" t="n">
        <f aca="false">I136/$W$157</f>
        <v>0.221604892351641</v>
      </c>
      <c r="AJ137" s="57" t="n">
        <f aca="false">J136/$W$157</f>
        <v>0.280214575694223</v>
      </c>
      <c r="AK137" s="57" t="n">
        <f aca="false">K136/$W$157</f>
        <v>0.337170865984138</v>
      </c>
      <c r="AL137" s="57" t="n">
        <f aca="false">L136/$W$157</f>
        <v>0.383013051474884</v>
      </c>
      <c r="AM137" s="57" t="n">
        <f aca="false">M136/$W$157</f>
        <v>0.433808419382123</v>
      </c>
      <c r="AN137" s="57" t="n">
        <f aca="false">N136/$W$157</f>
        <v>0.484594399637407</v>
      </c>
      <c r="AO137" s="57" t="n">
        <f aca="false">O136/$W$157</f>
        <v>0.53595243827822</v>
      </c>
      <c r="AP137" s="57" t="n">
        <f aca="false">P136/$W$157</f>
        <v>0.586871061999972</v>
      </c>
      <c r="AQ137" s="57" t="n">
        <f aca="false">Q136/$W$157</f>
        <v>0.634342381681938</v>
      </c>
      <c r="AR137" s="57" t="n">
        <f aca="false">R136/$W$157</f>
        <v>0.677279211188738</v>
      </c>
    </row>
    <row r="138" customFormat="false" ht="11.25" hidden="false" customHeight="false" outlineLevel="0" collapsed="false">
      <c r="A138" s="46" t="s">
        <v>70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65" t="n">
        <f aca="false">J137</f>
        <v>15.4123481100781</v>
      </c>
      <c r="L138" s="65" t="n">
        <f aca="false">K138+K141</f>
        <v>17.5592610825586</v>
      </c>
      <c r="M138" s="65" t="n">
        <f aca="false">L138+L141</f>
        <v>19.1694458119189</v>
      </c>
      <c r="N138" s="65" t="n">
        <f aca="false">M138+M141</f>
        <v>20.3770843589392</v>
      </c>
      <c r="O138" s="65" t="n">
        <f aca="false">N138+N141</f>
        <v>21.2828132692044</v>
      </c>
      <c r="P138" s="65" t="n">
        <f aca="false">O138+O141</f>
        <v>21.9621099519033</v>
      </c>
      <c r="Q138" s="65" t="n">
        <f aca="false">P138+P141</f>
        <v>22.4715824639275</v>
      </c>
      <c r="R138" s="65" t="n">
        <f aca="false">Q138+Q141</f>
        <v>22.8536868479456</v>
      </c>
      <c r="S138" s="28" t="s">
        <v>25</v>
      </c>
      <c r="T138" s="13"/>
      <c r="AA138" s="29" t="str">
        <f aca="false">CONCATENATE("normal + norm change inv."," (0 - ",W156,"% /yr)")</f>
        <v> normal + mudança normal inv. (0 - 50%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(K138+K141)/$W$156</f>
        <v>0.351185221651172</v>
      </c>
      <c r="AL138" s="48" t="n">
        <f aca="false">(L138+L141)/$W$156</f>
        <v>0.383388916238379</v>
      </c>
      <c r="AM138" s="48" t="n">
        <f aca="false">(M138+M141)/$W$156</f>
        <v>0.407541687178784</v>
      </c>
      <c r="AN138" s="48" t="n">
        <f aca="false">(N138+N141)/$W$156</f>
        <v>0.425656265384088</v>
      </c>
      <c r="AO138" s="48" t="n">
        <f aca="false">(O138+O141)/$W$156</f>
        <v>0.439242199038066</v>
      </c>
      <c r="AP138" s="48" t="n">
        <f aca="false">(P138+P141)/$W$156</f>
        <v>0.449431649278549</v>
      </c>
      <c r="AQ138" s="48" t="n">
        <f aca="false">(Q138+Q141)/$W$156</f>
        <v>0.457073736958912</v>
      </c>
      <c r="AR138" s="48" t="n">
        <f aca="false">(R138+R141)/$W$156</f>
        <v>0.462805302719184</v>
      </c>
    </row>
    <row r="139" customFormat="false" ht="11.25" hidden="false" customHeight="false" outlineLevel="0" collapsed="false">
      <c r="A139" s="46" t="s">
        <v>71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33" t="n">
        <v>0</v>
      </c>
      <c r="L139" s="33" t="n">
        <v>0</v>
      </c>
      <c r="M139" s="33" t="n">
        <v>0</v>
      </c>
      <c r="N139" s="33" t="n">
        <v>0</v>
      </c>
      <c r="O139" s="33" t="n">
        <v>0</v>
      </c>
      <c r="P139" s="33" t="n">
        <v>0</v>
      </c>
      <c r="Q139" s="33" t="n">
        <v>0</v>
      </c>
      <c r="R139" s="33" t="n">
        <v>0</v>
      </c>
      <c r="S139" s="28" t="s">
        <v>25</v>
      </c>
      <c r="T139" s="13"/>
      <c r="AA139" s="29" t="str">
        <f aca="false">CONCATENATE("normal + voluntary inv."," (0 - ",W156,"% /yr)")</f>
        <v> Inventário normal + voluntário (0 - 50%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(K138+K141+K139)/$W$156</f>
        <v>0.351185221651172</v>
      </c>
      <c r="AL139" s="48" t="n">
        <f aca="false">(L138+L141+L139)/$W$156</f>
        <v>0.383388916238379</v>
      </c>
      <c r="AM139" s="48" t="n">
        <f aca="false">(M138+M141+M139)/$W$156</f>
        <v>0.407541687178784</v>
      </c>
      <c r="AN139" s="48" t="n">
        <f aca="false">(N138+N141+N139)/$W$156</f>
        <v>0.425656265384088</v>
      </c>
      <c r="AO139" s="48" t="n">
        <f aca="false">(O138+O141+O139)/$W$156</f>
        <v>0.439242199038066</v>
      </c>
      <c r="AP139" s="48" t="n">
        <f aca="false">(P138+P141+P139)/$W$156</f>
        <v>0.449431649278549</v>
      </c>
      <c r="AQ139" s="48" t="n">
        <f aca="false">(Q138+Q141+Q139)/$W$156</f>
        <v>0.457073736958912</v>
      </c>
      <c r="AR139" s="48" t="n">
        <f aca="false">(R138+R141+R139)/$W$156</f>
        <v>0.462805302719184</v>
      </c>
    </row>
    <row r="140" customFormat="false" ht="11.25" hidden="false" customHeight="false" outlineLevel="0" collapsed="false">
      <c r="A140" s="46" t="s">
        <v>72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33" t="n">
        <v>0.15</v>
      </c>
      <c r="L140" s="33" t="n">
        <v>0.8</v>
      </c>
      <c r="M140" s="33" t="n">
        <v>1.5</v>
      </c>
      <c r="N140" s="33" t="n">
        <v>2.2</v>
      </c>
      <c r="O140" s="33" t="n">
        <v>2.9</v>
      </c>
      <c r="P140" s="33" t="n">
        <v>3.6</v>
      </c>
      <c r="Q140" s="33" t="n">
        <v>4.7</v>
      </c>
      <c r="R140" s="33" t="n">
        <v>6</v>
      </c>
      <c r="S140" s="28" t="s">
        <v>25</v>
      </c>
      <c r="T140" s="13"/>
      <c r="AA140" s="29" t="str">
        <f aca="false">CONCATENATE("normal + voluntary + forced inv."," (0 - ",W156,"% /yr)")</f>
        <v> Inventário normal + voluntário + forçado (0 - 50%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(K138+K139+K140+K141)/$W$156</f>
        <v>0.354185221651171</v>
      </c>
      <c r="AL140" s="48" t="n">
        <f aca="false">(L138+L139+L140+L141)/$W$156</f>
        <v>0.399388916238379</v>
      </c>
      <c r="AM140" s="48" t="n">
        <f aca="false">(M138+M139+M140+M141)/$W$156</f>
        <v>0.437541687178784</v>
      </c>
      <c r="AN140" s="48" t="n">
        <f aca="false">(N138+N139+N140+N141)/$W$156</f>
        <v>0.469656265384088</v>
      </c>
      <c r="AO140" s="48" t="n">
        <f aca="false">(O138+O139+O140+O141)/$W$156</f>
        <v>0.497242199038066</v>
      </c>
      <c r="AP140" s="48" t="n">
        <f aca="false">(P138+P139+P140+P141)/$W$156</f>
        <v>0.52143164927855</v>
      </c>
      <c r="AQ140" s="48" t="n">
        <f aca="false">(Q138+Q139+Q140+Q141)/$W$156</f>
        <v>0.551073736958912</v>
      </c>
      <c r="AR140" s="48" t="n">
        <f aca="false">(R138+R139+R140+R141)/$W$156</f>
        <v>0.582805302719184</v>
      </c>
    </row>
    <row r="141" customFormat="false" ht="11.25" hidden="false" customHeight="false" outlineLevel="0" collapsed="false">
      <c r="A141" s="46" t="s">
        <v>73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32" t="n">
        <f aca="false">5*(24 - K$138)/20</f>
        <v>2.14691297248048</v>
      </c>
      <c r="L141" s="32" t="n">
        <f aca="false">5*(24 - L$138)/20</f>
        <v>1.61018472936036</v>
      </c>
      <c r="M141" s="32" t="n">
        <f aca="false">5*(24 - M$138)/20</f>
        <v>1.20763854702027</v>
      </c>
      <c r="N141" s="32" t="n">
        <f aca="false">5*(24 - N$138)/20</f>
        <v>0.905728910265201</v>
      </c>
      <c r="O141" s="32" t="n">
        <f aca="false">5*(24 - O$138)/20</f>
        <v>0.679296682698901</v>
      </c>
      <c r="P141" s="32" t="n">
        <f aca="false">5*(24 - P$138)/20</f>
        <v>0.509472512024176</v>
      </c>
      <c r="Q141" s="32" t="n">
        <f aca="false">5*(24 - Q$138)/20</f>
        <v>0.382104384018132</v>
      </c>
      <c r="R141" s="32" t="n">
        <f aca="false">5*(24 - R$138)/20</f>
        <v>0.286578288013599</v>
      </c>
      <c r="S141" s="28" t="s">
        <v>25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48" t="n">
        <f aca="false">K138*K$134/100</f>
        <v>1.5787301303545</v>
      </c>
      <c r="AL141" s="48" t="n">
        <f aca="false">L138*L$134/100</f>
        <v>2.10089328916473</v>
      </c>
      <c r="AM141" s="48" t="n">
        <f aca="false">M138*M$134/100</f>
        <v>2.66114843508511</v>
      </c>
      <c r="AN141" s="48" t="n">
        <f aca="false">N138*N$134/100</f>
        <v>3.22627548893755</v>
      </c>
      <c r="AO141" s="48" t="n">
        <f aca="false">O138*O$134/100</f>
        <v>3.79521425799575</v>
      </c>
      <c r="AP141" s="48" t="n">
        <f aca="false">P138*P$134/100</f>
        <v>4.35858335022004</v>
      </c>
      <c r="AQ141" s="48" t="n">
        <f aca="false">Q138*Q$134/100</f>
        <v>4.91904850644757</v>
      </c>
      <c r="AR141" s="48" t="n">
        <f aca="false">R138*R$134/100</f>
        <v>5.46090351270345</v>
      </c>
    </row>
    <row r="142" customFormat="false" ht="12.65" hidden="false" customHeight="false" outlineLevel="0" collapsed="false">
      <c r="A142" s="23" t="s">
        <v>7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28"/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48"/>
      <c r="AL142" s="48"/>
      <c r="AM142" s="48"/>
      <c r="AN142" s="48"/>
      <c r="AO142" s="48"/>
      <c r="AP142" s="48"/>
      <c r="AQ142" s="48"/>
      <c r="AR142" s="48"/>
    </row>
    <row r="143" customFormat="false" ht="11.25" hidden="false" customHeight="false" outlineLevel="0" collapsed="false">
      <c r="F143" s="5"/>
      <c r="G143" s="5"/>
      <c r="H143" s="5"/>
      <c r="I143" s="5"/>
      <c r="J143" s="90" t="str">
        <f aca="false">CONCATENATE(A139," Your forecast")</f>
        <v> % de investimento voluntário Sua previsão</v>
      </c>
      <c r="K143" s="39" t="n">
        <f aca="false">K139</f>
        <v>0</v>
      </c>
      <c r="L143" s="39" t="n">
        <f aca="false">L139*0.98</f>
        <v>0</v>
      </c>
      <c r="M143" s="39" t="n">
        <f aca="false">M139*0.98</f>
        <v>0</v>
      </c>
      <c r="N143" s="39" t="n">
        <f aca="false">N139*0.98</f>
        <v>0</v>
      </c>
      <c r="O143" s="39" t="n">
        <f aca="false">O139*0.98</f>
        <v>0</v>
      </c>
      <c r="P143" s="39" t="n">
        <f aca="false">P139*0.98</f>
        <v>0</v>
      </c>
      <c r="Q143" s="39" t="n">
        <f aca="false">Q139*0.98</f>
        <v>0</v>
      </c>
      <c r="R143" s="39" t="n">
        <f aca="false">R139*0.98</f>
        <v>0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48" t="n">
        <f aca="false">K139*K$134/100</f>
        <v>0</v>
      </c>
      <c r="AL143" s="48" t="n">
        <f aca="false">L139*L$134/100</f>
        <v>0</v>
      </c>
      <c r="AM143" s="48" t="n">
        <f aca="false">M139*M$134/100</f>
        <v>0</v>
      </c>
      <c r="AN143" s="48" t="n">
        <f aca="false">N139*N$134/100</f>
        <v>0</v>
      </c>
      <c r="AO143" s="48" t="n">
        <f aca="false">O139*O$134/100</f>
        <v>0</v>
      </c>
      <c r="AP143" s="48" t="n">
        <f aca="false">P139*P$134/100</f>
        <v>0</v>
      </c>
      <c r="AQ143" s="48" t="n">
        <f aca="false">Q139*Q$134/100</f>
        <v>0</v>
      </c>
      <c r="AR143" s="48" t="n">
        <f aca="false">R139*R$134/100</f>
        <v>0</v>
      </c>
    </row>
    <row r="144" customFormat="false" ht="11.25" hidden="false" customHeight="false" outlineLevel="0" collapsed="false">
      <c r="F144" s="5"/>
      <c r="G144" s="5"/>
      <c r="H144" s="5"/>
      <c r="I144" s="5"/>
      <c r="J144" s="90" t="str">
        <f aca="false">CONCATENATE(A140," Your forecast")</f>
        <v> % de investimento forçado Sua previsão</v>
      </c>
      <c r="K144" s="39" t="n">
        <v>0.15</v>
      </c>
      <c r="L144" s="39" t="n">
        <f aca="false">L140*0.98</f>
        <v>0.784</v>
      </c>
      <c r="M144" s="39" t="n">
        <f aca="false">M140*0.98</f>
        <v>1.47</v>
      </c>
      <c r="N144" s="39" t="n">
        <f aca="false">N140*0.98</f>
        <v>2.156</v>
      </c>
      <c r="O144" s="39" t="n">
        <f aca="false">O140*0.98</f>
        <v>2.842</v>
      </c>
      <c r="P144" s="39" t="n">
        <f aca="false">P140*0.98</f>
        <v>3.528</v>
      </c>
      <c r="Q144" s="39" t="n">
        <f aca="false">Q140*0.98</f>
        <v>4.606</v>
      </c>
      <c r="R144" s="39" t="n">
        <f aca="false">R140*0.98</f>
        <v>5.88</v>
      </c>
      <c r="S144" s="28" t="s">
        <v>25</v>
      </c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48" t="n">
        <f aca="false">K140*K$134/100</f>
        <v>0.0153649215461417</v>
      </c>
      <c r="AL144" s="48" t="n">
        <f aca="false">L140*L$134/100</f>
        <v>0.0957167060407352</v>
      </c>
      <c r="AM144" s="48" t="n">
        <f aca="false">M140*M$134/100</f>
        <v>0.208233596932977</v>
      </c>
      <c r="AN144" s="48" t="n">
        <f aca="false">N140*N$134/100</f>
        <v>0.348322947024013</v>
      </c>
      <c r="AO144" s="48" t="n">
        <f aca="false">O140*O$134/100</f>
        <v>0.5171365838234</v>
      </c>
      <c r="AP144" s="48" t="n">
        <f aca="false">P140*P$134/100</f>
        <v>0.714453214884863</v>
      </c>
      <c r="AQ144" s="48" t="n">
        <f aca="false">Q140*Q$134/100</f>
        <v>1.02883399588864</v>
      </c>
      <c r="AR144" s="48" t="n">
        <f aca="false">R140*R$134/100</f>
        <v>1.43370394869859</v>
      </c>
    </row>
    <row r="145" customFormat="false" ht="11.25" hidden="false" customHeight="false" outlineLevel="0" collapsed="false">
      <c r="F145" s="8"/>
      <c r="G145" s="8"/>
      <c r="H145" s="8"/>
      <c r="I145" s="8"/>
      <c r="J145" s="37" t="str">
        <f aca="false">CONCATENATE(A134," calculated from Your forecast")</f>
        <v> PIB ROW calculado a partir da sua previsão</v>
      </c>
      <c r="K145" s="91" t="n">
        <f aca="false">K104</f>
        <v>10.2432810307611</v>
      </c>
      <c r="L145" s="91" t="n">
        <f aca="false">L104</f>
        <v>11.6921116886033</v>
      </c>
      <c r="M145" s="91" t="n">
        <f aca="false">M104</f>
        <v>13.5276968304839</v>
      </c>
      <c r="N145" s="91" t="n">
        <f aca="false">N104</f>
        <v>15.3848351501905</v>
      </c>
      <c r="O145" s="91" t="n">
        <f aca="false">O104</f>
        <v>17.2786508188561</v>
      </c>
      <c r="P145" s="91" t="n">
        <f aca="false">P104</f>
        <v>19.1753358818749</v>
      </c>
      <c r="Q145" s="91" t="n">
        <f aca="false">Q104</f>
        <v>21.0905670379842</v>
      </c>
      <c r="R145" s="91" t="n">
        <f aca="false">R104</f>
        <v>22.9571599962855</v>
      </c>
      <c r="S145" s="28" t="s">
        <v>53</v>
      </c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48" t="n">
        <f aca="false">K141*K$134/100</f>
        <v>0.219914329257043</v>
      </c>
      <c r="AL145" s="48" t="n">
        <f aca="false">L141*L$134/100</f>
        <v>0.192651973014333</v>
      </c>
      <c r="AM145" s="48" t="n">
        <f aca="false">M141*M$134/100</f>
        <v>0.16764727896063</v>
      </c>
      <c r="AN145" s="48" t="n">
        <f aca="false">N141*N$134/100</f>
        <v>0.143402801467465</v>
      </c>
      <c r="AO145" s="48" t="n">
        <f aca="false">O141*O$134/100</f>
        <v>0.121134195135682</v>
      </c>
      <c r="AP145" s="48" t="n">
        <f aca="false">P141*P$134/100</f>
        <v>0.101109520586428</v>
      </c>
      <c r="AQ145" s="48" t="n">
        <f aca="false">Q141*Q$134/100</f>
        <v>0.0836429745225407</v>
      </c>
      <c r="AR145" s="48" t="n">
        <f aca="false">R141*R$134/100</f>
        <v>0.06847807052273</v>
      </c>
    </row>
    <row r="146" customFormat="false" ht="11.25" hidden="false" customHeight="false" outlineLevel="0" collapsed="false">
      <c r="F146" s="8"/>
      <c r="G146" s="8"/>
      <c r="H146" s="8"/>
      <c r="I146" s="8"/>
      <c r="J146" s="37" t="str">
        <f aca="false">CONCATENATE(A135," calculated from Your forecast")</f>
        <v> Investimento calculado a partir da sua previsão.</v>
      </c>
      <c r="K146" s="91" t="n">
        <f aca="false">K145*K148/100</f>
        <v>1.81400938115769</v>
      </c>
      <c r="L146" s="91" t="n">
        <f aca="false">L145*L148/100</f>
        <v>2.3329791700545</v>
      </c>
      <c r="M146" s="91" t="n">
        <f aca="false">M145*M148/100</f>
        <v>2.95540733837737</v>
      </c>
      <c r="N146" s="91" t="n">
        <f aca="false">N145*N148/100</f>
        <v>3.60602278262807</v>
      </c>
      <c r="O146" s="91" t="n">
        <f aca="false">O145*O148/100</f>
        <v>4.2858155473145</v>
      </c>
      <c r="P146" s="91" t="n">
        <f aca="false">P145*P148/100</f>
        <v>4.98550726534314</v>
      </c>
      <c r="Q146" s="91" t="n">
        <f aca="false">Q145*Q148/100</f>
        <v>5.79140366308651</v>
      </c>
      <c r="R146" s="91" t="n">
        <f aca="false">R145*R148/100</f>
        <v>6.6622286986084</v>
      </c>
      <c r="S146" s="28" t="s">
        <v>53</v>
      </c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48" t="n">
        <f aca="false">K135-AK145-AK141-AK143-AK144</f>
        <v>7.97972798949331E-017</v>
      </c>
      <c r="AL146" s="48" t="n">
        <f aca="false">L135-AL145-AL141-AL143-AL144</f>
        <v>0</v>
      </c>
      <c r="AM146" s="48" t="n">
        <f aca="false">M135-AM145-AM141-AM143-AM144</f>
        <v>0</v>
      </c>
      <c r="AN146" s="48" t="n">
        <f aca="false">N135-AN145-AN141-AN143-AN144</f>
        <v>0</v>
      </c>
      <c r="AO146" s="48" t="n">
        <f aca="false">O135-AO145-AO141-AO143-AO144</f>
        <v>0</v>
      </c>
      <c r="AP146" s="48" t="n">
        <f aca="false">P135-AP145-AP141-AP143-AP144</f>
        <v>0</v>
      </c>
      <c r="AQ146" s="48" t="n">
        <f aca="false">Q135-AQ145-AQ141-AQ143-AQ144</f>
        <v>0</v>
      </c>
      <c r="AR146" s="48" t="n">
        <f aca="false">R135-AR145-AR141-AR143-AR144</f>
        <v>0</v>
      </c>
    </row>
    <row r="147" customFormat="false" ht="11.25" hidden="false" customHeight="false" outlineLevel="0" collapsed="false">
      <c r="F147" s="8"/>
      <c r="G147" s="8"/>
      <c r="H147" s="8"/>
      <c r="I147" s="8"/>
      <c r="J147" s="37" t="str">
        <f aca="false">CONCATENATE(A136," calculated from Your forecast")</f>
        <v> Consumo calculado a partir da sua previsão.</v>
      </c>
      <c r="K147" s="45" t="n">
        <f aca="false">K145-K146</f>
        <v>8.42927164960345</v>
      </c>
      <c r="L147" s="45" t="n">
        <f aca="false">L145-L146</f>
        <v>9.3591325185488</v>
      </c>
      <c r="M147" s="45" t="n">
        <f aca="false">M145-M146</f>
        <v>10.5722894921066</v>
      </c>
      <c r="N147" s="45" t="n">
        <f aca="false">N145-N146</f>
        <v>11.7788123675624</v>
      </c>
      <c r="O147" s="45" t="n">
        <f aca="false">O145-O146</f>
        <v>12.9928352715416</v>
      </c>
      <c r="P147" s="45" t="n">
        <f aca="false">P145-P146</f>
        <v>14.1898286165318</v>
      </c>
      <c r="Q147" s="45" t="n">
        <f aca="false">Q145-Q146</f>
        <v>15.2991633748977</v>
      </c>
      <c r="R147" s="45" t="n">
        <f aca="false">R145-R146</f>
        <v>16.2949312976771</v>
      </c>
      <c r="S147" s="28" t="s">
        <v>53</v>
      </c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48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E148" s="8"/>
      <c r="F148" s="8"/>
      <c r="G148" s="8"/>
      <c r="H148" s="8"/>
      <c r="I148" s="8"/>
      <c r="J148" s="37" t="str">
        <f aca="false">CONCATENATE(A137," calculated from Your forecast")</f>
        <v> A porcentagem de participação no investimento é calculada a partir da sua previsão.</v>
      </c>
      <c r="K148" s="45" t="n">
        <f aca="false">SUM(K149:K152)</f>
        <v>17.7092610825586</v>
      </c>
      <c r="L148" s="45" t="n">
        <f aca="false">SUM(L149:L152)</f>
        <v>19.9534458119189</v>
      </c>
      <c r="M148" s="45" t="n">
        <f aca="false">SUM(M149:M152)</f>
        <v>21.8470843589392</v>
      </c>
      <c r="N148" s="45" t="n">
        <f aca="false">SUM(N149:N152)</f>
        <v>23.4388132692044</v>
      </c>
      <c r="O148" s="45" t="n">
        <f aca="false">SUM(O149:O152)</f>
        <v>24.8041099519033</v>
      </c>
      <c r="P148" s="45" t="n">
        <f aca="false">SUM(P149:P152)</f>
        <v>25.9995824639275</v>
      </c>
      <c r="Q148" s="45" t="n">
        <f aca="false">SUM(Q149:Q152)</f>
        <v>27.4596868479456</v>
      </c>
      <c r="R148" s="45" t="n">
        <f aca="false">SUM(R149:R152)</f>
        <v>29.0202651359592</v>
      </c>
      <c r="S148" s="28" t="s">
        <v>25</v>
      </c>
      <c r="T148" s="13"/>
      <c r="AA148" s="29" t="str">
        <f aca="false">CONCATENATE(A96," (0 - ",W158," T$ / yr)")</f>
        <v> PIB Resto do Mundo (0 - 25 trilhões de dólares/ano)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K145/$W158</f>
        <v>0.409731241230445</v>
      </c>
      <c r="AL148" s="57" t="n">
        <f aca="false">L145/$W158</f>
        <v>0.467684467544132</v>
      </c>
      <c r="AM148" s="57" t="n">
        <f aca="false">M145/$W158</f>
        <v>0.541107873219357</v>
      </c>
      <c r="AN148" s="57" t="n">
        <f aca="false">N145/$W158</f>
        <v>0.615393406007619</v>
      </c>
      <c r="AO148" s="57" t="n">
        <f aca="false">O145/$W158</f>
        <v>0.691146032754243</v>
      </c>
      <c r="AP148" s="57" t="n">
        <f aca="false">P145/$W158</f>
        <v>0.767013435274996</v>
      </c>
      <c r="AQ148" s="57" t="n">
        <f aca="false">Q145/$W158</f>
        <v>0.84362268151937</v>
      </c>
      <c r="AR148" s="57" t="n">
        <f aca="false">R145/$W158</f>
        <v>0.918286399851418</v>
      </c>
    </row>
    <row r="149" customFormat="false" ht="11.25" hidden="false" customHeight="false" outlineLevel="0" collapsed="false">
      <c r="A149" s="92"/>
      <c r="B149" s="8"/>
      <c r="C149" s="8"/>
      <c r="D149" s="8"/>
      <c r="E149" s="8"/>
      <c r="F149" s="8"/>
      <c r="G149" s="8"/>
      <c r="H149" s="8"/>
      <c r="I149" s="8"/>
      <c r="J149" s="37" t="str">
        <f aca="false">CONCATENATE(A138," calculated from Your forecast")</f>
        <v> Participação no investimento do ano passado mais a variação percentual na taxa de investimento normal calculada a partir da sua previsão.</v>
      </c>
      <c r="K149" s="91" t="n">
        <f aca="false">J137</f>
        <v>15.4123481100781</v>
      </c>
      <c r="L149" s="45" t="n">
        <f aca="false">K149+K152</f>
        <v>17.5592610825586</v>
      </c>
      <c r="M149" s="45" t="n">
        <f aca="false">L149+L152</f>
        <v>19.1694458119189</v>
      </c>
      <c r="N149" s="45" t="n">
        <f aca="false">M149+M152</f>
        <v>20.3770843589392</v>
      </c>
      <c r="O149" s="45" t="n">
        <f aca="false">N149+N152</f>
        <v>21.2828132692044</v>
      </c>
      <c r="P149" s="45" t="n">
        <f aca="false">O149+O152</f>
        <v>21.9621099519033</v>
      </c>
      <c r="Q149" s="45" t="n">
        <f aca="false">P149+P152</f>
        <v>22.4715824639275</v>
      </c>
      <c r="R149" s="45" t="n">
        <f aca="false">Q149+Q152</f>
        <v>22.8536868479456</v>
      </c>
      <c r="S149" s="28" t="s">
        <v>25</v>
      </c>
      <c r="T149" s="13"/>
      <c r="AA149" s="29" t="str">
        <f aca="false">CONCATENATE(A137," (0 - ",W159,"% /yr)")</f>
        <v> Percentagem de investimento (0 - 50%/ano)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K148/$W$159</f>
        <v>0.354185221651171</v>
      </c>
      <c r="AL149" s="57" t="n">
        <f aca="false">L148/$W$159</f>
        <v>0.399068916238379</v>
      </c>
      <c r="AM149" s="57" t="n">
        <f aca="false">M148/$W$159</f>
        <v>0.436941687178784</v>
      </c>
      <c r="AN149" s="57" t="n">
        <f aca="false">N148/$W$159</f>
        <v>0.468776265384088</v>
      </c>
      <c r="AO149" s="57" t="n">
        <f aca="false">O148/$W$159</f>
        <v>0.496082199038066</v>
      </c>
      <c r="AP149" s="57" t="n">
        <f aca="false">P148/$W$159</f>
        <v>0.51999164927855</v>
      </c>
      <c r="AQ149" s="57" t="n">
        <f aca="false">Q148/$W$159</f>
        <v>0.549193736958912</v>
      </c>
      <c r="AR149" s="57" t="n">
        <f aca="false">R148/$W$159</f>
        <v>0.580405302719184</v>
      </c>
    </row>
    <row r="150" customFormat="false" ht="11.25" hidden="false" customHeight="false" outlineLevel="0" collapsed="false">
      <c r="E150" s="8"/>
      <c r="F150" s="8"/>
      <c r="G150" s="8"/>
      <c r="H150" s="8"/>
      <c r="I150" s="8"/>
      <c r="J150" s="37" t="str">
        <f aca="false">CONCATENATE(A139," calculated from Your forecast")</f>
        <v> % de investimento voluntário calculado a partir da sua previsão</v>
      </c>
      <c r="K150" s="43" t="n">
        <f aca="false">K143</f>
        <v>0</v>
      </c>
      <c r="L150" s="43" t="n">
        <f aca="false">L143</f>
        <v>0</v>
      </c>
      <c r="M150" s="43" t="n">
        <f aca="false">M143</f>
        <v>0</v>
      </c>
      <c r="N150" s="43" t="n">
        <f aca="false">N143</f>
        <v>0</v>
      </c>
      <c r="O150" s="43" t="n">
        <f aca="false">O143</f>
        <v>0</v>
      </c>
      <c r="P150" s="43" t="n">
        <f aca="false">P143</f>
        <v>0</v>
      </c>
      <c r="Q150" s="43" t="n">
        <f aca="false">Q143</f>
        <v>0</v>
      </c>
      <c r="R150" s="43" t="n">
        <f aca="false">R143</f>
        <v>0</v>
      </c>
      <c r="S150" s="28" t="s">
        <v>25</v>
      </c>
      <c r="T150" s="13"/>
      <c r="AA150" s="29" t="str">
        <f aca="false">CONCATENATE(A136," (0 - ",W160, " T$ / yr)")</f>
        <v> Consumo (0 - 25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K147/$W$160</f>
        <v>0.337170865984138</v>
      </c>
      <c r="AL150" s="57" t="n">
        <f aca="false">L147/$W$160</f>
        <v>0.374365300741952</v>
      </c>
      <c r="AM150" s="57" t="n">
        <f aca="false">M147/$W$160</f>
        <v>0.422891579684262</v>
      </c>
      <c r="AN150" s="57" t="n">
        <f aca="false">N147/$W$160</f>
        <v>0.471152494702497</v>
      </c>
      <c r="AO150" s="57" t="n">
        <f aca="false">O147/$W$160</f>
        <v>0.519713410861663</v>
      </c>
      <c r="AP150" s="57" t="n">
        <f aca="false">P147/$W$160</f>
        <v>0.567593144661271</v>
      </c>
      <c r="AQ150" s="57" t="n">
        <f aca="false">Q147/$W$160</f>
        <v>0.611966534995909</v>
      </c>
      <c r="AR150" s="57" t="n">
        <f aca="false">R147/$W$160</f>
        <v>0.651797251907082</v>
      </c>
    </row>
    <row r="151" customFormat="false" ht="11.25" hidden="false" customHeight="false" outlineLevel="0" collapsed="false">
      <c r="E151" s="8"/>
      <c r="F151" s="8"/>
      <c r="G151" s="8"/>
      <c r="H151" s="8"/>
      <c r="I151" s="8"/>
      <c r="J151" s="37" t="str">
        <f aca="false">CONCATENATE(A140," calculated from Your forecast")</f>
        <v> de investimento forçado calculado a partir da sua previsão</v>
      </c>
      <c r="K151" s="43" t="n">
        <f aca="false">K144</f>
        <v>0.15</v>
      </c>
      <c r="L151" s="43" t="n">
        <f aca="false">L144</f>
        <v>0.784</v>
      </c>
      <c r="M151" s="43" t="n">
        <f aca="false">M144</f>
        <v>1.47</v>
      </c>
      <c r="N151" s="43" t="n">
        <f aca="false">N144</f>
        <v>2.156</v>
      </c>
      <c r="O151" s="43" t="n">
        <f aca="false">O144</f>
        <v>2.842</v>
      </c>
      <c r="P151" s="43" t="n">
        <f aca="false">P144</f>
        <v>3.528</v>
      </c>
      <c r="Q151" s="43" t="n">
        <f aca="false">Q144</f>
        <v>4.606</v>
      </c>
      <c r="R151" s="43" t="n">
        <f aca="false">R144</f>
        <v>5.88</v>
      </c>
      <c r="S151" s="28" t="s">
        <v>25</v>
      </c>
      <c r="T151" s="13"/>
      <c r="AA151" s="29" t="str">
        <f aca="false">CONCATENATE("normal + norm change inv."," (0 - ",W159,"% /yr)")</f>
        <v> normal + mudança normal inv. (0 - 50%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(K149+K152)/$W$159</f>
        <v>0.351185221651172</v>
      </c>
      <c r="AL151" s="48" t="n">
        <f aca="false">(L149+L152)/$W$159</f>
        <v>0.383388916238379</v>
      </c>
      <c r="AM151" s="48" t="n">
        <f aca="false">(M149+M152)/$W$159</f>
        <v>0.407541687178784</v>
      </c>
      <c r="AN151" s="48" t="n">
        <f aca="false">(N149+N152)/$W$159</f>
        <v>0.425656265384088</v>
      </c>
      <c r="AO151" s="48" t="n">
        <f aca="false">(O149+O152)/$W$159</f>
        <v>0.439242199038066</v>
      </c>
      <c r="AP151" s="48" t="n">
        <f aca="false">(P149+P152)/$W$159</f>
        <v>0.449431649278549</v>
      </c>
      <c r="AQ151" s="48" t="n">
        <f aca="false">(Q149+Q152)/$W$159</f>
        <v>0.457073736958912</v>
      </c>
      <c r="AR151" s="48" t="n">
        <f aca="false">(R149+R152)/$W$159</f>
        <v>0.462805302719184</v>
      </c>
    </row>
    <row r="152" s="3" customFormat="true" ht="11.25" hidden="false" customHeight="false" outlineLevel="0" collapsed="false">
      <c r="D152" s="8"/>
      <c r="E152" s="8"/>
      <c r="F152" s="8"/>
      <c r="G152" s="8"/>
      <c r="H152" s="8"/>
      <c r="I152" s="8"/>
      <c r="J152" s="37" t="str">
        <f aca="false">CONCATENATE(A141," calculated from Your forecast")</f>
        <v> Variação percentual na taxa de investimento normal calculada a partir da sua previsão.</v>
      </c>
      <c r="K152" s="43" t="n">
        <f aca="false">5*(24 - K$149)/20</f>
        <v>2.14691297248048</v>
      </c>
      <c r="L152" s="43" t="n">
        <f aca="false">5*(24 - L$149)/20</f>
        <v>1.61018472936036</v>
      </c>
      <c r="M152" s="43" t="n">
        <f aca="false">5*(24 - M$149)/20</f>
        <v>1.20763854702027</v>
      </c>
      <c r="N152" s="43" t="n">
        <f aca="false">5*(24 - N$149)/20</f>
        <v>0.905728910265201</v>
      </c>
      <c r="O152" s="43" t="n">
        <f aca="false">5*(24 - O$149)/20</f>
        <v>0.679296682698901</v>
      </c>
      <c r="P152" s="43" t="n">
        <f aca="false">5*(24 - P$149)/20</f>
        <v>0.509472512024176</v>
      </c>
      <c r="Q152" s="43" t="n">
        <f aca="false">5*(24 - Q$149)/20</f>
        <v>0.382104384018132</v>
      </c>
      <c r="R152" s="43" t="n">
        <f aca="false">5*(24 - R$149)/20</f>
        <v>0.286578288013599</v>
      </c>
      <c r="S152" s="28" t="s">
        <v>25</v>
      </c>
      <c r="T152" s="13"/>
      <c r="X152" s="15" t="s">
        <v>33</v>
      </c>
      <c r="AA152" s="29" t="str">
        <f aca="false">CONCATENATE("normal + voluntary inv."," (0 - ",W159,"% /yr)")</f>
        <v> Inventário normal + voluntário (0 - 50%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(K149+K152+K150)/$W$159</f>
        <v>0.351185221651172</v>
      </c>
      <c r="AL152" s="48" t="n">
        <f aca="false">(L149+L152+L150)/$W$159</f>
        <v>0.383388916238379</v>
      </c>
      <c r="AM152" s="48" t="n">
        <f aca="false">(M149+M152+M150)/$W$159</f>
        <v>0.407541687178784</v>
      </c>
      <c r="AN152" s="48" t="n">
        <f aca="false">(N149+N152+N150)/$W$159</f>
        <v>0.425656265384088</v>
      </c>
      <c r="AO152" s="48" t="n">
        <f aca="false">(O149+O152+O150)/$W$159</f>
        <v>0.439242199038066</v>
      </c>
      <c r="AP152" s="48" t="n">
        <f aca="false">(P149+P152+P150)/$W$159</f>
        <v>0.449431649278549</v>
      </c>
      <c r="AQ152" s="48" t="n">
        <f aca="false">(Q149+Q152+Q150)/$W$159</f>
        <v>0.457073736958912</v>
      </c>
      <c r="AR152" s="48" t="n">
        <f aca="false">(R149+R152+R150)/$W$159</f>
        <v>0.462805302719184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(0 - 50%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(K149+K150+K151+K152)/$W$159</f>
        <v>0.354185221651171</v>
      </c>
      <c r="AL153" s="48" t="n">
        <f aca="false">(L149+L150+L151+L152)/$W$159</f>
        <v>0.399068916238379</v>
      </c>
      <c r="AM153" s="48" t="n">
        <f aca="false">(M149+M150+M151+M152)/$W$159</f>
        <v>0.436941687178784</v>
      </c>
      <c r="AN153" s="48" t="n">
        <f aca="false">(N149+N150+N151+N152)/$W$159</f>
        <v>0.468776265384088</v>
      </c>
      <c r="AO153" s="48" t="n">
        <f aca="false">(O149+O150+O151+O152)/$W$159</f>
        <v>0.496082199038066</v>
      </c>
      <c r="AP153" s="48" t="n">
        <f aca="false">(P149+P150+P151+P152)/$W$159</f>
        <v>0.51999164927855</v>
      </c>
      <c r="AQ153" s="48" t="n">
        <f aca="false">(Q149+Q150+Q151+Q152)/$W$159</f>
        <v>0.549193736958912</v>
      </c>
      <c r="AR153" s="48" t="n">
        <f aca="false">(R149+R150+R151+R152)/$W$159</f>
        <v>0.580405302719184</v>
      </c>
    </row>
    <row r="154" s="3" customFormat="true" ht="28.3" hidden="false" customHeight="false" outlineLevel="0" collapsed="false">
      <c r="T154" s="13"/>
      <c r="U154" s="53" t="s">
        <v>37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48" t="n">
        <f aca="false">K149*K$104/100</f>
        <v>1.5787301303545</v>
      </c>
      <c r="AL154" s="48" t="n">
        <f aca="false">L149*L$104/100</f>
        <v>2.0530484174662</v>
      </c>
      <c r="AM154" s="48" t="n">
        <f aca="false">M149*M$104/100</f>
        <v>2.59318451352029</v>
      </c>
      <c r="AN154" s="48" t="n">
        <f aca="false">N149*N$104/100</f>
        <v>3.13498083703804</v>
      </c>
      <c r="AO154" s="48" t="n">
        <f aca="false">O149*O$104/100</f>
        <v>3.677382989215</v>
      </c>
      <c r="AP154" s="48" t="n">
        <f aca="false">P149*P$104/100</f>
        <v>4.21130835002413</v>
      </c>
      <c r="AQ154" s="48" t="n">
        <f aca="false">Q149*Q$104/100</f>
        <v>4.73938416405054</v>
      </c>
      <c r="AR154" s="48" t="n">
        <f aca="false">R149*R$104/100</f>
        <v>5.24655745473292</v>
      </c>
    </row>
    <row r="155" s="3" customFormat="true" ht="11.25" hidden="false" customHeight="false" outlineLevel="0" collapsed="false">
      <c r="T155" s="13"/>
      <c r="U155" s="15" t="str">
        <f aca="false">AA135</f>
        <v> PIB Resto do Mundo (0 - 25 trilhões de dólares/ano)</v>
      </c>
      <c r="V155" s="25" t="n">
        <v>25</v>
      </c>
      <c r="W155" s="70" t="n">
        <f aca="false">W158</f>
        <v>25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48" t="n">
        <f aca="false">K150*K$104/100</f>
        <v>0</v>
      </c>
      <c r="AL155" s="48" t="n">
        <f aca="false">L150*L$104/100</f>
        <v>0</v>
      </c>
      <c r="AM155" s="48" t="n">
        <f aca="false">M150*M$104/100</f>
        <v>0</v>
      </c>
      <c r="AN155" s="48" t="n">
        <f aca="false">N150*N$104/100</f>
        <v>0</v>
      </c>
      <c r="AO155" s="48" t="n">
        <f aca="false">O150*O$104/100</f>
        <v>0</v>
      </c>
      <c r="AP155" s="48" t="n">
        <f aca="false">P150*P$104/100</f>
        <v>0</v>
      </c>
      <c r="AQ155" s="48" t="n">
        <f aca="false">Q150*Q$104/100</f>
        <v>0</v>
      </c>
      <c r="AR155" s="48" t="n">
        <f aca="false">R150*R$104/100</f>
        <v>0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(0 - 50%/ano)</v>
      </c>
      <c r="V156" s="25" t="n">
        <v>50</v>
      </c>
      <c r="W156" s="70" t="n">
        <f aca="false">W159</f>
        <v>50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48" t="n">
        <f aca="false">K151*K$104/100</f>
        <v>0.0153649215461417</v>
      </c>
      <c r="AL156" s="48" t="n">
        <f aca="false">L151*L$104/100</f>
        <v>0.0916661556386499</v>
      </c>
      <c r="AM156" s="48" t="n">
        <f aca="false">M151*M$104/100</f>
        <v>0.198857143408114</v>
      </c>
      <c r="AN156" s="48" t="n">
        <f aca="false">N151*N$104/100</f>
        <v>0.331697045838107</v>
      </c>
      <c r="AO156" s="48" t="n">
        <f aca="false">O151*O$104/100</f>
        <v>0.49105925627189</v>
      </c>
      <c r="AP156" s="48" t="n">
        <f aca="false">P151*P$104/100</f>
        <v>0.676505849912547</v>
      </c>
      <c r="AQ156" s="48" t="n">
        <f aca="false">Q151*Q$104/100</f>
        <v>0.971431517769554</v>
      </c>
      <c r="AR156" s="48" t="n">
        <f aca="false">R151*R$104/100</f>
        <v>1.34988100778159</v>
      </c>
    </row>
    <row r="157" s="3" customFormat="true" ht="11.25" hidden="false" customHeight="false" outlineLevel="0" collapsed="false">
      <c r="T157" s="13"/>
      <c r="U157" s="15" t="str">
        <f aca="false">AA137</f>
        <v> Consumo (0 - 25 T$ / ano)</v>
      </c>
      <c r="V157" s="25" t="n">
        <v>25</v>
      </c>
      <c r="W157" s="70" t="n">
        <f aca="false">W160</f>
        <v>25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48" t="n">
        <f aca="false">K152*K$104/100</f>
        <v>0.219914329257043</v>
      </c>
      <c r="AL157" s="48" t="n">
        <f aca="false">L152*L$104/100</f>
        <v>0.188264596949648</v>
      </c>
      <c r="AM157" s="48" t="n">
        <f aca="false">M152*M$104/100</f>
        <v>0.163365681448963</v>
      </c>
      <c r="AN157" s="48" t="n">
        <f aca="false">N152*N$104/100</f>
        <v>0.139344899751918</v>
      </c>
      <c r="AO157" s="48" t="n">
        <f aca="false">O152*O$104/100</f>
        <v>0.117373301827616</v>
      </c>
      <c r="AP157" s="48" t="n">
        <f aca="false">P152*P$104/100</f>
        <v>0.0976930654064612</v>
      </c>
      <c r="AQ157" s="48" t="n">
        <f aca="false">Q152*Q$104/100</f>
        <v>0.0805879812664209</v>
      </c>
      <c r="AR157" s="48" t="n">
        <f aca="false">R152*R$104/100</f>
        <v>0.0657902360938977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PIB Resto do Mundo (0 - 25 trilhões de dólares/ano) sua previsão</v>
      </c>
      <c r="W158" s="4" t="n">
        <v>25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K146-AK157-AK154-AK155-AK156</f>
        <v>7.97972798949331E-017</v>
      </c>
      <c r="AL158" s="48" t="n">
        <f aca="false">L146-AL157-AL154-AL155-AL156</f>
        <v>-3.33066907387547E-016</v>
      </c>
      <c r="AM158" s="48" t="n">
        <f aca="false">M146-AM157-AM154-AM155-AM156</f>
        <v>0</v>
      </c>
      <c r="AN158" s="48" t="n">
        <f aca="false">N146-AN157-AN154-AN155-AN156</f>
        <v>0</v>
      </c>
      <c r="AO158" s="48" t="n">
        <f aca="false">O146-AO157-AO154-AO155-AO156</f>
        <v>0</v>
      </c>
      <c r="AP158" s="48" t="n">
        <f aca="false">P146-AP157-AP154-AP155-AP156</f>
        <v>0</v>
      </c>
      <c r="AQ158" s="48" t="n">
        <f aca="false">Q146-AQ157-AQ154-AQ155-AQ156</f>
        <v>0</v>
      </c>
      <c r="AR158" s="48" t="n">
        <f aca="false">R146-AR157-AR154-AR155-AR156</f>
        <v>0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(0 - 50%/ano) sua previsão</v>
      </c>
      <c r="W159" s="4" t="n">
        <v>50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(0 - 25 T$/ano) sua previsão</v>
      </c>
      <c r="W160" s="93" t="n">
        <f aca="false">W158</f>
        <v>25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 Gráfico 4a. Participação no investimento - Resto do Mundo,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1.25" hidden="false" customHeight="false" outlineLevel="0" collapsed="false">
      <c r="T194" s="13"/>
    </row>
    <row r="195" customFormat="false" ht="11.25" hidden="false" customHeight="false" outlineLevel="0" collapsed="false">
      <c r="T195" s="13"/>
    </row>
    <row r="196" customFormat="false" ht="11.25" hidden="false" customHeight="false" outlineLevel="0" collapsed="false">
      <c r="T196" s="13"/>
    </row>
    <row r="197" customFormat="false" ht="11.25" hidden="false" customHeight="false" outlineLevel="0" collapsed="false">
      <c r="T197" s="13"/>
    </row>
    <row r="198" customFormat="false" ht="11.25" hidden="false" customHeight="false" outlineLevel="0" collapsed="false">
      <c r="T198" s="13"/>
    </row>
    <row r="199" customFormat="false" ht="11.25" hidden="false" customHeight="false" outlineLevel="0" collapsed="false">
      <c r="T199" s="13"/>
    </row>
    <row r="200" customFormat="false" ht="11.25" hidden="false" customHeight="false" outlineLevel="0" collapsed="false">
      <c r="T200" s="13"/>
    </row>
    <row r="201" customFormat="false" ht="11.25" hidden="false" customHeight="false" outlineLevel="0" collapsed="false">
      <c r="T201" s="13"/>
    </row>
    <row r="202" customFormat="false" ht="11.25" hidden="false" customHeight="false" outlineLevel="0" collapsed="false">
      <c r="T202" s="13"/>
    </row>
    <row r="203" customFormat="false" ht="11.25" hidden="false" customHeight="false" outlineLevel="0" collapsed="false">
      <c r="T203" s="13"/>
    </row>
    <row r="204" customFormat="false" ht="12.65" hidden="false" customHeight="false" outlineLevel="0" collapsed="false">
      <c r="B204" s="95"/>
      <c r="T204" s="13"/>
    </row>
    <row r="205" customFormat="false" ht="12.65" hidden="false" customHeight="false" outlineLevel="0" collapsed="false">
      <c r="A205" s="61" t="s">
        <v>78</v>
      </c>
      <c r="T205" s="13"/>
    </row>
    <row r="206" customFormat="false" ht="12.65" hidden="false" customHeight="false" outlineLevel="0" collapsed="false">
      <c r="A206" s="23" t="str">
        <f aca="false">CONCATENATE(A205,". Consumption per person - ",A5," 1970 to 2050")</f>
        <v> Gráfico 5. Consumo per capita - Resto do Mundo, 1970 a 2050</v>
      </c>
      <c r="T206" s="13"/>
    </row>
    <row r="207" customFormat="false" ht="11.25" hidden="false" customHeight="false" outlineLevel="0" collapsed="false">
      <c r="B207" s="24" t="n">
        <v>1970</v>
      </c>
      <c r="C207" s="24" t="n">
        <v>1975</v>
      </c>
      <c r="D207" s="24" t="n">
        <v>1980</v>
      </c>
      <c r="E207" s="24" t="n">
        <v>1985</v>
      </c>
      <c r="F207" s="24" t="n">
        <v>1990</v>
      </c>
      <c r="G207" s="24" t="n">
        <v>1995</v>
      </c>
      <c r="H207" s="24" t="n">
        <v>2000</v>
      </c>
      <c r="I207" s="24" t="n">
        <v>2005</v>
      </c>
      <c r="J207" s="24" t="n">
        <v>2010</v>
      </c>
      <c r="K207" s="24" t="n">
        <v>2015</v>
      </c>
      <c r="L207" s="24" t="n">
        <v>2020</v>
      </c>
      <c r="M207" s="24" t="n">
        <v>2025</v>
      </c>
      <c r="N207" s="24" t="n">
        <v>2030</v>
      </c>
      <c r="O207" s="24" t="n">
        <v>2035</v>
      </c>
      <c r="P207" s="24" t="n">
        <v>2040</v>
      </c>
      <c r="Q207" s="24" t="n">
        <v>2045</v>
      </c>
      <c r="R207" s="24" t="n">
        <v>2050</v>
      </c>
      <c r="S207" s="25" t="s">
        <v>15</v>
      </c>
      <c r="T207" s="13"/>
      <c r="V207" s="96"/>
      <c r="AA207" s="52" t="s">
        <v>36</v>
      </c>
    </row>
    <row r="208" customFormat="false" ht="11.25" hidden="false" customHeight="false" outlineLevel="0" collapsed="false">
      <c r="A208" s="11" t="str">
        <f aca="false">A9</f>
        <v> População, Resto do Mundo</v>
      </c>
      <c r="B208" s="27" t="n">
        <f aca="false">B9</f>
        <v>862.938343</v>
      </c>
      <c r="C208" s="27" t="n">
        <f aca="false">C9</f>
        <v>968.748853</v>
      </c>
      <c r="D208" s="27" t="n">
        <f aca="false">D9</f>
        <v>1093.929237</v>
      </c>
      <c r="E208" s="27" t="n">
        <f aca="false">E9</f>
        <v>1236.604539</v>
      </c>
      <c r="F208" s="27" t="n">
        <f aca="false">F9</f>
        <v>1393.971278</v>
      </c>
      <c r="G208" s="27" t="n">
        <f aca="false">G9</f>
        <v>1557.649007</v>
      </c>
      <c r="H208" s="27" t="n">
        <f aca="false">H9</f>
        <v>1722.909784</v>
      </c>
      <c r="I208" s="27" t="n">
        <f aca="false">I9</f>
        <v>1896.025782</v>
      </c>
      <c r="J208" s="27" t="n">
        <f aca="false">J9</f>
        <v>2083.646852</v>
      </c>
      <c r="K208" s="27" t="n">
        <f aca="false">K9</f>
        <v>2280.58451228</v>
      </c>
      <c r="L208" s="27" t="n">
        <f aca="false">L9</f>
        <v>2463.0312732624</v>
      </c>
      <c r="M208" s="27" t="n">
        <f aca="false">M9</f>
        <v>2624.35982166109</v>
      </c>
      <c r="N208" s="27" t="n">
        <f aca="false">N9</f>
        <v>2771.32397167411</v>
      </c>
      <c r="O208" s="27" t="n">
        <f aca="false">O9</f>
        <v>2896.03355039944</v>
      </c>
      <c r="P208" s="27" t="n">
        <f aca="false">P9</f>
        <v>2994.49869111302</v>
      </c>
      <c r="Q208" s="27" t="n">
        <f aca="false">Q9</f>
        <v>3063.37216100862</v>
      </c>
      <c r="R208" s="27" t="n">
        <f aca="false">R9</f>
        <v>3100.13262694073</v>
      </c>
      <c r="S208" s="28" t="s">
        <v>17</v>
      </c>
      <c r="T208" s="13"/>
      <c r="V208" s="96"/>
      <c r="AA208" s="52"/>
      <c r="AB208" s="24" t="n">
        <v>1970</v>
      </c>
      <c r="AC208" s="24" t="n">
        <v>1975</v>
      </c>
      <c r="AD208" s="24" t="n">
        <v>1980</v>
      </c>
      <c r="AE208" s="24" t="n">
        <v>1985</v>
      </c>
      <c r="AF208" s="24" t="n">
        <v>1990</v>
      </c>
      <c r="AG208" s="24" t="n">
        <v>1995</v>
      </c>
      <c r="AH208" s="24" t="n">
        <v>2000</v>
      </c>
      <c r="AI208" s="24" t="n">
        <v>2005</v>
      </c>
      <c r="AJ208" s="24" t="n">
        <v>2010</v>
      </c>
      <c r="AK208" s="24" t="n">
        <v>2015</v>
      </c>
      <c r="AL208" s="24" t="n">
        <v>2020</v>
      </c>
      <c r="AM208" s="24" t="n">
        <v>2025</v>
      </c>
      <c r="AN208" s="24" t="n">
        <v>2030</v>
      </c>
      <c r="AO208" s="24" t="n">
        <v>2035</v>
      </c>
      <c r="AP208" s="24" t="n">
        <v>2040</v>
      </c>
      <c r="AQ208" s="24" t="n">
        <v>2045</v>
      </c>
      <c r="AR208" s="24" t="n">
        <v>2050</v>
      </c>
    </row>
    <row r="209" customFormat="false" ht="11.25" hidden="false" customHeight="false" outlineLevel="0" collapsed="false">
      <c r="A209" s="11" t="str">
        <f aca="false">A136</f>
        <v> Consumo</v>
      </c>
      <c r="B209" s="75" t="n">
        <f aca="false">B136</f>
        <v>1.27956263099599</v>
      </c>
      <c r="C209" s="75" t="n">
        <f aca="false">C136</f>
        <v>1.59530102559556</v>
      </c>
      <c r="D209" s="75" t="n">
        <f aca="false">D136</f>
        <v>1.9569573252747</v>
      </c>
      <c r="E209" s="75" t="n">
        <f aca="false">E136</f>
        <v>2.30994754551433</v>
      </c>
      <c r="F209" s="75" t="n">
        <f aca="false">F136</f>
        <v>2.93055252422127</v>
      </c>
      <c r="G209" s="75" t="n">
        <f aca="false">G136</f>
        <v>3.64816010436176</v>
      </c>
      <c r="H209" s="75" t="n">
        <f aca="false">H136</f>
        <v>4.09558022847634</v>
      </c>
      <c r="I209" s="75" t="n">
        <f aca="false">I136</f>
        <v>5.54012230879103</v>
      </c>
      <c r="J209" s="75" t="n">
        <f aca="false">J136</f>
        <v>7.00536439235557</v>
      </c>
      <c r="K209" s="75" t="n">
        <f aca="false">K136</f>
        <v>8.42927164960345</v>
      </c>
      <c r="L209" s="75" t="n">
        <f aca="false">L136</f>
        <v>9.57532628687211</v>
      </c>
      <c r="M209" s="75" t="n">
        <f aca="false">M136</f>
        <v>10.8452104845531</v>
      </c>
      <c r="N209" s="75" t="n">
        <f aca="false">N136</f>
        <v>12.1148599909352</v>
      </c>
      <c r="O209" s="75" t="n">
        <f aca="false">O136</f>
        <v>13.3988109569555</v>
      </c>
      <c r="P209" s="75" t="n">
        <f aca="false">P136</f>
        <v>14.6717765499993</v>
      </c>
      <c r="Q209" s="75" t="n">
        <f aca="false">Q136</f>
        <v>15.8585595420485</v>
      </c>
      <c r="R209" s="75" t="n">
        <f aca="false">R136</f>
        <v>16.9319802797184</v>
      </c>
      <c r="S209" s="28" t="s">
        <v>53</v>
      </c>
      <c r="T209" s="13"/>
      <c r="V209" s="96"/>
      <c r="AA209" s="29" t="str">
        <f aca="false">CONCATENATE(A209," (0 - ",W213, " T$ / yr)")</f>
        <v> Consumo (0 - 18 T$ / ano)</v>
      </c>
      <c r="AB209" s="57" t="n">
        <f aca="false">B209/$W$213</f>
        <v>0.0710868128331106</v>
      </c>
      <c r="AC209" s="57" t="n">
        <f aca="false">C209/$W$213</f>
        <v>0.0886278347553091</v>
      </c>
      <c r="AD209" s="57" t="n">
        <f aca="false">D209/$W$213</f>
        <v>0.10871985140415</v>
      </c>
      <c r="AE209" s="57" t="n">
        <f aca="false">E209/$W$213</f>
        <v>0.128330419195241</v>
      </c>
      <c r="AF209" s="57" t="n">
        <f aca="false">F209/$W$213</f>
        <v>0.162808473567848</v>
      </c>
      <c r="AG209" s="57" t="n">
        <f aca="false">G209/$W$213</f>
        <v>0.202675561353431</v>
      </c>
      <c r="AH209" s="57" t="n">
        <f aca="false">H209/$W$213</f>
        <v>0.227532234915352</v>
      </c>
      <c r="AI209" s="57" t="n">
        <f aca="false">I209/$W$213</f>
        <v>0.307784572710613</v>
      </c>
      <c r="AJ209" s="57" t="n">
        <f aca="false">J209/$W$213</f>
        <v>0.389186910686421</v>
      </c>
      <c r="AK209" s="57" t="n">
        <f aca="false">K209/$W$213</f>
        <v>0.468292869422414</v>
      </c>
      <c r="AL209" s="57" t="n">
        <f aca="false">L209/$W$213</f>
        <v>0.531962571492895</v>
      </c>
      <c r="AM209" s="57" t="n">
        <f aca="false">M209/$W$213</f>
        <v>0.602511693586282</v>
      </c>
      <c r="AN209" s="57" t="n">
        <f aca="false">N209/$W$213</f>
        <v>0.673047777274177</v>
      </c>
      <c r="AO209" s="57" t="n">
        <f aca="false">O209/$W$213</f>
        <v>0.744378386497528</v>
      </c>
      <c r="AP209" s="57" t="n">
        <f aca="false">P209/$W$213</f>
        <v>0.815098697222183</v>
      </c>
      <c r="AQ209" s="57" t="n">
        <f aca="false">Q209/$W$213</f>
        <v>0.881031085669359</v>
      </c>
      <c r="AR209" s="57" t="n">
        <f aca="false">R209/$W$213</f>
        <v>0.940665571095469</v>
      </c>
      <c r="AS209" s="29"/>
    </row>
    <row r="210" customFormat="false" ht="11.25" hidden="false" customHeight="false" outlineLevel="0" collapsed="false">
      <c r="A210" s="11" t="s">
        <v>79</v>
      </c>
      <c r="B210" s="27" t="n">
        <f aca="false">B209/B208*1000000</f>
        <v>1482.79728369422</v>
      </c>
      <c r="C210" s="27" t="n">
        <f aca="false">C209/C208*1000000</f>
        <v>1646.7642987708</v>
      </c>
      <c r="D210" s="27" t="n">
        <f aca="false">D209/D208*1000000</f>
        <v>1788.92496798191</v>
      </c>
      <c r="E210" s="27" t="n">
        <f aca="false">E209/E208*1000000</f>
        <v>1867.97595566187</v>
      </c>
      <c r="F210" s="27" t="n">
        <f aca="false">F209/F208*1000000</f>
        <v>2102.30481106173</v>
      </c>
      <c r="G210" s="27" t="n">
        <f aca="false">G209/G208*1000000</f>
        <v>2342.093814439</v>
      </c>
      <c r="H210" s="27" t="n">
        <f aca="false">H209/H208*1000000</f>
        <v>2377.12982218246</v>
      </c>
      <c r="I210" s="27" t="n">
        <f aca="false">I209/I208*1000000</f>
        <v>2921.96570394053</v>
      </c>
      <c r="J210" s="27" t="n">
        <f aca="false">J209/J208*1000000</f>
        <v>3362.06895407033</v>
      </c>
      <c r="K210" s="27" t="n">
        <f aca="false">K209/K208*1000000</f>
        <v>3696.10141795462</v>
      </c>
      <c r="L210" s="27" t="n">
        <f aca="false">L209/L208*1000000</f>
        <v>3887.61863920191</v>
      </c>
      <c r="M210" s="27" t="n">
        <f aca="false">M209/M208*1000000</f>
        <v>4132.51658367815</v>
      </c>
      <c r="N210" s="27" t="n">
        <f aca="false">N209/N208*1000000</f>
        <v>4371.50622401494</v>
      </c>
      <c r="O210" s="27" t="n">
        <f aca="false">O209/O208*1000000</f>
        <v>4626.60764241058</v>
      </c>
      <c r="P210" s="27" t="n">
        <f aca="false">P209/P208*1000000</f>
        <v>4899.576878608</v>
      </c>
      <c r="Q210" s="27" t="n">
        <f aca="false">Q209/Q208*1000000</f>
        <v>5176.8308610688</v>
      </c>
      <c r="R210" s="27" t="n">
        <f aca="false">R209/R208*1000000</f>
        <v>5461.69545540613</v>
      </c>
      <c r="S210" s="28" t="s">
        <v>80</v>
      </c>
      <c r="T210" s="13"/>
      <c r="X210" s="15" t="s">
        <v>33</v>
      </c>
      <c r="AA210" s="29" t="str">
        <f aca="false">CONCATENATE(A210," (0 - ",W214, " $ / yr)")</f>
        <v> Consumo por pessoa (0 - 6000 $ / ano)</v>
      </c>
      <c r="AB210" s="57" t="n">
        <f aca="false">B210/$W$214</f>
        <v>0.247132880615703</v>
      </c>
      <c r="AC210" s="57" t="n">
        <f aca="false">C210/$W$214</f>
        <v>0.2744607164618</v>
      </c>
      <c r="AD210" s="57" t="n">
        <f aca="false">D210/$W$214</f>
        <v>0.298154161330318</v>
      </c>
      <c r="AE210" s="57" t="n">
        <f aca="false">E210/$W$214</f>
        <v>0.311329325943645</v>
      </c>
      <c r="AF210" s="57" t="n">
        <f aca="false">F210/$W$214</f>
        <v>0.350384135176955</v>
      </c>
      <c r="AG210" s="57" t="n">
        <f aca="false">G210/$W$214</f>
        <v>0.390348969073167</v>
      </c>
      <c r="AH210" s="57" t="n">
        <f aca="false">H210/$W$214</f>
        <v>0.396188303697077</v>
      </c>
      <c r="AI210" s="57" t="n">
        <f aca="false">I210/$W$214</f>
        <v>0.486994283990089</v>
      </c>
      <c r="AJ210" s="57" t="n">
        <f aca="false">J210/$W$214</f>
        <v>0.560344825678388</v>
      </c>
      <c r="AK210" s="57" t="n">
        <f aca="false">K210/$W$214</f>
        <v>0.616016902992436</v>
      </c>
      <c r="AL210" s="57" t="n">
        <f aca="false">L210/$W$214</f>
        <v>0.647936439866984</v>
      </c>
      <c r="AM210" s="57" t="n">
        <f aca="false">M210/$W$214</f>
        <v>0.688752763946358</v>
      </c>
      <c r="AN210" s="57" t="n">
        <f aca="false">N210/$W$214</f>
        <v>0.728584370669157</v>
      </c>
      <c r="AO210" s="57" t="n">
        <f aca="false">O210/$W$214</f>
        <v>0.771101273735097</v>
      </c>
      <c r="AP210" s="57" t="n">
        <f aca="false">P210/$W$214</f>
        <v>0.816596146434667</v>
      </c>
      <c r="AQ210" s="57" t="n">
        <f aca="false">Q210/$W$214</f>
        <v>0.862805143511466</v>
      </c>
      <c r="AR210" s="57" t="n">
        <f aca="false">R210/$W$214</f>
        <v>0.910282575901022</v>
      </c>
      <c r="AS210" s="29"/>
    </row>
    <row r="211" customFormat="false" ht="11.25" hidden="false" customHeight="false" outlineLevel="0" collapsed="false">
      <c r="A211" s="97"/>
      <c r="T211" s="13"/>
      <c r="V211" s="3" t="s">
        <v>35</v>
      </c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98" t="n">
        <f aca="false">K17</f>
        <v>2280.58451228</v>
      </c>
      <c r="AL211" s="98" t="n">
        <f aca="false">L17</f>
        <v>2459.38233804275</v>
      </c>
      <c r="AM211" s="98" t="n">
        <f aca="false">M17</f>
        <v>2617.25009032172</v>
      </c>
      <c r="AN211" s="98" t="n">
        <f aca="false">N17</f>
        <v>2760.88477527857</v>
      </c>
      <c r="AO211" s="98" t="n">
        <f aca="false">O17</f>
        <v>2882.63979386836</v>
      </c>
      <c r="AP211" s="98" t="n">
        <f aca="false">P17</f>
        <v>2978.68935180005</v>
      </c>
      <c r="AQ211" s="98" t="n">
        <f aca="false">Q17</f>
        <v>3045.82900978962</v>
      </c>
      <c r="AR211" s="98" t="n">
        <f aca="false">R17</f>
        <v>3081.64795894475</v>
      </c>
      <c r="AS211" s="29"/>
    </row>
    <row r="212" customFormat="false" ht="28.3" hidden="false" customHeight="false" outlineLevel="0" collapsed="false">
      <c r="T212" s="13"/>
      <c r="U212" s="53" t="s">
        <v>37</v>
      </c>
      <c r="V212" s="54" t="s">
        <v>38</v>
      </c>
      <c r="W212" s="54" t="s">
        <v>39</v>
      </c>
      <c r="X212" s="55"/>
      <c r="Y212" s="55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48" t="n">
        <f aca="false">K147</f>
        <v>8.42927164960345</v>
      </c>
      <c r="AL212" s="48" t="n">
        <f aca="false">L147</f>
        <v>9.3591325185488</v>
      </c>
      <c r="AM212" s="48" t="n">
        <f aca="false">M147</f>
        <v>10.5722894921066</v>
      </c>
      <c r="AN212" s="48" t="n">
        <f aca="false">N147</f>
        <v>11.7788123675624</v>
      </c>
      <c r="AO212" s="48" t="n">
        <f aca="false">O147</f>
        <v>12.9928352715416</v>
      </c>
      <c r="AP212" s="48" t="n">
        <f aca="false">P147</f>
        <v>14.1898286165318</v>
      </c>
      <c r="AQ212" s="48" t="n">
        <f aca="false">Q147</f>
        <v>15.2991633748977</v>
      </c>
      <c r="AR212" s="48" t="n">
        <f aca="false">R147</f>
        <v>16.2949312976771</v>
      </c>
      <c r="AS212" s="29"/>
    </row>
    <row r="213" customFormat="false" ht="11.25" hidden="false" customHeight="false" outlineLevel="0" collapsed="false">
      <c r="T213" s="13"/>
      <c r="U213" s="99" t="str">
        <f aca="false">AA209</f>
        <v> Consumo (0 - 18 T$ / ano)</v>
      </c>
      <c r="V213" s="25" t="n">
        <v>18</v>
      </c>
      <c r="W213" s="70" t="n">
        <f aca="false">W215</f>
        <v>18</v>
      </c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47" t="n">
        <f aca="false">AK212/AK211*1000000</f>
        <v>3696.10141795462</v>
      </c>
      <c r="AL213" s="47" t="n">
        <f aca="false">AL212/AL211*1000000</f>
        <v>3805.48090216712</v>
      </c>
      <c r="AM213" s="47" t="n">
        <f aca="false">AM212/AM211*1000000</f>
        <v>4039.46475394218</v>
      </c>
      <c r="AN213" s="47" t="n">
        <f aca="false">AN212/AN211*1000000</f>
        <v>4266.31798365216</v>
      </c>
      <c r="AO213" s="47" t="n">
        <f aca="false">AO212/AO211*1000000</f>
        <v>4507.26979457459</v>
      </c>
      <c r="AP213" s="47" t="n">
        <f aca="false">AP212/AP211*1000000</f>
        <v>4763.78263747333</v>
      </c>
      <c r="AQ213" s="47" t="n">
        <f aca="false">AQ212/AQ211*1000000</f>
        <v>5022.98826550163</v>
      </c>
      <c r="AR213" s="47" t="n">
        <f aca="false">AR212/AR211*1000000</f>
        <v>5287.73289965832</v>
      </c>
      <c r="AS213" s="29"/>
    </row>
    <row r="214" customFormat="false" ht="11.25" hidden="false" customHeight="false" outlineLevel="0" collapsed="false">
      <c r="T214" s="13"/>
      <c r="U214" s="99" t="str">
        <f aca="false">AA210</f>
        <v> Consumo por pessoa (0 - 6000 $ / ano)</v>
      </c>
      <c r="V214" s="25" t="n">
        <v>6000</v>
      </c>
      <c r="W214" s="70" t="n">
        <f aca="false">W216</f>
        <v>6000</v>
      </c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customFormat="false" ht="11.25" hidden="false" customHeight="false" outlineLevel="0" collapsed="false">
      <c r="T215" s="13"/>
      <c r="U215" s="100" t="str">
        <f aca="false">CONCATENATE("Consumption from Your forecast (0 - ",W215, " T$ / yr)")</f>
        <v> Consumo previsto (0 - 18 T$/ano)</v>
      </c>
      <c r="W215" s="4" t="n">
        <v>18</v>
      </c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57" t="n">
        <f aca="false">AK212/$W$215</f>
        <v>0.468292869422414</v>
      </c>
      <c r="AL215" s="57" t="n">
        <f aca="false">AL212/$W$215</f>
        <v>0.519951806586045</v>
      </c>
      <c r="AM215" s="57" t="n">
        <f aca="false">AM212/$W$215</f>
        <v>0.587349416228142</v>
      </c>
      <c r="AN215" s="57" t="n">
        <f aca="false">AN212/$W$215</f>
        <v>0.654378464864579</v>
      </c>
      <c r="AO215" s="57" t="n">
        <f aca="false">AO212/$W$215</f>
        <v>0.72182418175231</v>
      </c>
      <c r="AP215" s="57" t="n">
        <f aca="false">AP212/$W$215</f>
        <v>0.788323812029543</v>
      </c>
      <c r="AQ215" s="57" t="n">
        <f aca="false">AQ212/$W$215</f>
        <v>0.849953520827652</v>
      </c>
      <c r="AR215" s="57" t="n">
        <f aca="false">AR212/$W$215</f>
        <v>0.905273960982059</v>
      </c>
      <c r="AS215" s="29"/>
    </row>
    <row r="216" customFormat="false" ht="11.25" hidden="false" customHeight="false" outlineLevel="0" collapsed="false">
      <c r="T216" s="13"/>
      <c r="U216" s="37" t="str">
        <f aca="false">CONCATENATE("Consumption per person from Your forecast (0 - ",W216, " $ / yr)")</f>
        <v> Consumo por pessoa de acordo com sua previsão (0 - 6000 $/ano)</v>
      </c>
      <c r="W216" s="4" t="n">
        <v>6000</v>
      </c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57" t="n">
        <f aca="false">AK213/$W$216</f>
        <v>0.616016902992436</v>
      </c>
      <c r="AL216" s="57" t="n">
        <f aca="false">AL213/$W$216</f>
        <v>0.634246817027853</v>
      </c>
      <c r="AM216" s="57" t="n">
        <f aca="false">AM213/$W$216</f>
        <v>0.67324412565703</v>
      </c>
      <c r="AN216" s="57" t="n">
        <f aca="false">AN213/$W$216</f>
        <v>0.71105299727536</v>
      </c>
      <c r="AO216" s="57" t="n">
        <f aca="false">AO213/$W$216</f>
        <v>0.751211632429099</v>
      </c>
      <c r="AP216" s="57" t="n">
        <f aca="false">AP213/$W$216</f>
        <v>0.793963772912222</v>
      </c>
      <c r="AQ216" s="57" t="n">
        <f aca="false">AQ213/$W$216</f>
        <v>0.837164710916939</v>
      </c>
      <c r="AR216" s="57" t="n">
        <f aca="false">AR213/$W$216</f>
        <v>0.88128881660972</v>
      </c>
      <c r="AS216" s="29"/>
    </row>
    <row r="217" customFormat="false" ht="11.25" hidden="false" customHeight="false" outlineLevel="0" collapsed="false">
      <c r="T217" s="13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S217" s="29"/>
    </row>
    <row r="218" customFormat="false" ht="11.25" hidden="false" customHeight="false" outlineLevel="0" collapsed="false">
      <c r="T218" s="13"/>
    </row>
    <row r="219" customFormat="fals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s="3" customFormat="true" ht="11.25" hidden="false" customHeight="false" outlineLevel="0" collapsed="false">
      <c r="T225" s="13"/>
    </row>
    <row r="226" s="35" customFormat="true" ht="13.8" hidden="false" customHeight="false" outlineLevel="0" collapsed="false">
      <c r="T226" s="13"/>
      <c r="V226" s="3"/>
      <c r="W226" s="3"/>
      <c r="X226" s="3"/>
      <c r="Y226" s="3"/>
    </row>
    <row r="227" s="35" customFormat="true" ht="13.8" hidden="false" customHeight="false" outlineLevel="0" collapsed="false">
      <c r="T227" s="13"/>
      <c r="V227" s="3"/>
      <c r="W227" s="3"/>
      <c r="X227" s="3"/>
      <c r="Y227" s="3"/>
    </row>
    <row r="228" s="3" customFormat="true" ht="11.25" hidden="false" customHeight="false" outlineLevel="0" collapsed="false">
      <c r="T228" s="13"/>
    </row>
    <row r="229" s="3" customFormat="true" ht="11.25" hidden="false" customHeight="false" outlineLevel="0" collapsed="false">
      <c r="T229" s="13"/>
    </row>
    <row r="230" customFormat="false" ht="11.25" hidden="false" customHeight="false" outlineLevel="0" collapsed="false">
      <c r="T230" s="13"/>
    </row>
    <row r="231" customFormat="false" ht="11.25" hidden="false" customHeight="false" outlineLevel="0" collapsed="false">
      <c r="T231" s="13"/>
    </row>
    <row r="232" customFormat="false" ht="11.25" hidden="false" customHeight="false" outlineLevel="0" collapsed="false">
      <c r="T232" s="13"/>
    </row>
    <row r="233" customFormat="false" ht="11.25" hidden="false" customHeight="false" outlineLevel="0" collapsed="false">
      <c r="T233" s="13"/>
    </row>
    <row r="234" customFormat="false" ht="11.25" hidden="false" customHeight="false" outlineLevel="0" collapsed="false">
      <c r="T234" s="13"/>
    </row>
    <row r="235" customFormat="false" ht="11.25" hidden="false" customHeight="false" outlineLevel="0" collapsed="false">
      <c r="T235" s="13"/>
    </row>
    <row r="236" customFormat="false" ht="11.25" hidden="false" customHeight="false" outlineLevel="0" collapsed="false">
      <c r="T236" s="13"/>
    </row>
    <row r="237" customFormat="false" ht="11.25" hidden="false" customHeight="false" outlineLevel="0" collapsed="false">
      <c r="T237" s="13"/>
    </row>
    <row r="238" customFormat="false" ht="12.65" hidden="false" customHeight="false" outlineLevel="0" collapsed="false">
      <c r="A238" s="61" t="s">
        <v>81</v>
      </c>
      <c r="T238" s="13"/>
    </row>
    <row r="239" customFormat="false" ht="12.65" hidden="false" customHeight="false" outlineLevel="0" collapsed="false">
      <c r="A239" s="23" t="str">
        <f aca="false">CONCATENATE(A238,". Energy Use - ",A5," 1970 to 2050")</f>
        <v> Gráfico 6. Uso de energia - LINHA DE 1970 a 2050</v>
      </c>
      <c r="T239" s="13"/>
    </row>
    <row r="240" customFormat="false" ht="11.25" hidden="false" customHeight="false" outlineLevel="0" collapsed="false">
      <c r="B240" s="101" t="n">
        <v>1970</v>
      </c>
      <c r="C240" s="101" t="n">
        <v>1975</v>
      </c>
      <c r="D240" s="101" t="n">
        <v>1980</v>
      </c>
      <c r="E240" s="101" t="n">
        <v>1985</v>
      </c>
      <c r="F240" s="101" t="n">
        <v>1990</v>
      </c>
      <c r="G240" s="101" t="n">
        <v>1995</v>
      </c>
      <c r="H240" s="101" t="n">
        <v>2000</v>
      </c>
      <c r="I240" s="101" t="n">
        <v>2005</v>
      </c>
      <c r="J240" s="101" t="n">
        <v>2010</v>
      </c>
      <c r="K240" s="101" t="n">
        <v>2015</v>
      </c>
      <c r="L240" s="101" t="n">
        <v>2020</v>
      </c>
      <c r="M240" s="101" t="n">
        <v>2025</v>
      </c>
      <c r="N240" s="101" t="n">
        <v>2030</v>
      </c>
      <c r="O240" s="101" t="n">
        <v>2035</v>
      </c>
      <c r="P240" s="101" t="n">
        <v>2040</v>
      </c>
      <c r="Q240" s="101" t="n">
        <v>2045</v>
      </c>
      <c r="R240" s="101" t="n">
        <v>2050</v>
      </c>
      <c r="S240" s="25" t="s">
        <v>15</v>
      </c>
      <c r="T240" s="13"/>
    </row>
    <row r="241" customFormat="false" ht="11.25" hidden="false" customHeight="false" outlineLevel="0" collapsed="false">
      <c r="A241" s="11" t="str">
        <f aca="false">A134</f>
        <v> PIB ROW</v>
      </c>
      <c r="B241" s="102" t="n">
        <f aca="false">B134</f>
        <v>1.71672962325827</v>
      </c>
      <c r="C241" s="102" t="n">
        <f aca="false">C134</f>
        <v>2.21270221461053</v>
      </c>
      <c r="D241" s="102" t="n">
        <f aca="false">D134</f>
        <v>2.77716752329947</v>
      </c>
      <c r="E241" s="102" t="n">
        <f aca="false">E134</f>
        <v>3.21073261902302</v>
      </c>
      <c r="F241" s="102" t="n">
        <f aca="false">F134</f>
        <v>3.94327149646139</v>
      </c>
      <c r="G241" s="102" t="n">
        <f aca="false">G134</f>
        <v>4.80654804023953</v>
      </c>
      <c r="H241" s="102" t="n">
        <f aca="false">H134</f>
        <v>5.39158078488393</v>
      </c>
      <c r="I241" s="102" t="n">
        <f aca="false">I134</f>
        <v>6.93342703650082</v>
      </c>
      <c r="J241" s="102" t="n">
        <f aca="false">J134</f>
        <v>8.28178136623534</v>
      </c>
      <c r="K241" s="32" t="n">
        <f aca="false">K134</f>
        <v>10.2432810307611</v>
      </c>
      <c r="L241" s="32" t="n">
        <f aca="false">L134</f>
        <v>11.9645882550919</v>
      </c>
      <c r="M241" s="32" t="n">
        <f aca="false">M134</f>
        <v>13.8822397955318</v>
      </c>
      <c r="N241" s="32" t="n">
        <f aca="false">N134</f>
        <v>15.8328612283642</v>
      </c>
      <c r="O241" s="32" t="n">
        <f aca="false">O134</f>
        <v>17.8322959939103</v>
      </c>
      <c r="P241" s="32" t="n">
        <f aca="false">P134</f>
        <v>19.8459226356906</v>
      </c>
      <c r="Q241" s="32" t="n">
        <f aca="false">Q134</f>
        <v>21.8900850189072</v>
      </c>
      <c r="R241" s="32" t="n">
        <f aca="false">R134</f>
        <v>23.8950658116432</v>
      </c>
      <c r="S241" s="28" t="s">
        <v>53</v>
      </c>
      <c r="T241" s="13"/>
      <c r="U241" s="103" t="s">
        <v>82</v>
      </c>
    </row>
    <row r="242" customFormat="false" ht="11.25" hidden="false" customHeight="false" outlineLevel="0" collapsed="false">
      <c r="A242" s="11" t="s">
        <v>83</v>
      </c>
      <c r="B242" s="62" t="n">
        <v>125.44006354805</v>
      </c>
      <c r="C242" s="62" t="n">
        <v>181.101492908392</v>
      </c>
      <c r="D242" s="62" t="n">
        <v>275.445742043999</v>
      </c>
      <c r="E242" s="62" t="n">
        <v>309.757343840338</v>
      </c>
      <c r="F242" s="62" t="n">
        <v>356.68626433893</v>
      </c>
      <c r="G242" s="62" t="n">
        <v>343.512414432642</v>
      </c>
      <c r="H242" s="62" t="n">
        <v>361.67332538496</v>
      </c>
      <c r="I242" s="62" t="n">
        <v>425.012354703472</v>
      </c>
      <c r="J242" s="62" t="n">
        <v>503.697791683459</v>
      </c>
      <c r="K242" s="27" t="n">
        <f aca="false">K$250*K253/100</f>
        <v>521.173780894259</v>
      </c>
      <c r="L242" s="27" t="n">
        <f aca="false">L$250*L253/100</f>
        <v>564.21024598987</v>
      </c>
      <c r="M242" s="27" t="n">
        <f aca="false">M$250*M253/100</f>
        <v>606.360599956934</v>
      </c>
      <c r="N242" s="27" t="n">
        <f aca="false">N$250*N253/100</f>
        <v>631.493220626871</v>
      </c>
      <c r="O242" s="27" t="n">
        <f aca="false">O$250*O253/100</f>
        <v>640.578402099402</v>
      </c>
      <c r="P242" s="27" t="n">
        <f aca="false">P$250*P253/100</f>
        <v>649.43412726671</v>
      </c>
      <c r="Q242" s="27" t="n">
        <f aca="false">Q$250*Q253/100</f>
        <v>670.788976623548</v>
      </c>
      <c r="R242" s="27" t="n">
        <f aca="false">R$250*R253/100</f>
        <v>675.454371803954</v>
      </c>
      <c r="S242" s="28" t="s">
        <v>84</v>
      </c>
      <c r="T242" s="13"/>
      <c r="U242" s="103" t="s">
        <v>85</v>
      </c>
    </row>
    <row r="243" customFormat="false" ht="11.25" hidden="false" customHeight="false" outlineLevel="0" collapsed="false">
      <c r="A243" s="11" t="s">
        <v>86</v>
      </c>
      <c r="B243" s="62" t="n">
        <v>50.8103440586378</v>
      </c>
      <c r="C243" s="62" t="n">
        <v>49.4265729503647</v>
      </c>
      <c r="D243" s="62" t="n">
        <v>90.4614158654995</v>
      </c>
      <c r="E243" s="62" t="n">
        <v>174.638089546271</v>
      </c>
      <c r="F243" s="62" t="n">
        <v>219.803427034385</v>
      </c>
      <c r="G243" s="62" t="n">
        <v>228.930524411308</v>
      </c>
      <c r="H243" s="62" t="n">
        <v>255.607974559847</v>
      </c>
      <c r="I243" s="62" t="n">
        <v>348.315986840991</v>
      </c>
      <c r="J243" s="62" t="n">
        <v>410.093792498702</v>
      </c>
      <c r="K243" s="27" t="n">
        <f aca="false">K$250*K254/100</f>
        <v>470.32755836799</v>
      </c>
      <c r="L243" s="27" t="n">
        <f aca="false">L$250*L254/100</f>
        <v>550.104989840123</v>
      </c>
      <c r="M243" s="27" t="n">
        <f aca="false">M$250*M254/100</f>
        <v>621.908307648137</v>
      </c>
      <c r="N243" s="27" t="n">
        <f aca="false">N$250*N254/100</f>
        <v>672.49927391433</v>
      </c>
      <c r="O243" s="27" t="n">
        <f aca="false">O$250*O254/100</f>
        <v>684.453635119909</v>
      </c>
      <c r="P243" s="27" t="n">
        <f aca="false">P$250*P254/100</f>
        <v>686.544648824808</v>
      </c>
      <c r="Q243" s="27" t="n">
        <f aca="false">Q$250*Q254/100</f>
        <v>670.788976623548</v>
      </c>
      <c r="R243" s="27" t="n">
        <f aca="false">R$250*R254/100</f>
        <v>625.047329132017</v>
      </c>
      <c r="S243" s="28" t="s">
        <v>84</v>
      </c>
      <c r="T243" s="13"/>
    </row>
    <row r="244" customFormat="false" ht="11.25" hidden="false" customHeight="false" outlineLevel="0" collapsed="false">
      <c r="A244" s="11" t="s">
        <v>87</v>
      </c>
      <c r="B244" s="62" t="n">
        <v>111.982549299641</v>
      </c>
      <c r="C244" s="62" t="n">
        <v>158.567218038478</v>
      </c>
      <c r="D244" s="62" t="n">
        <v>133.321833683513</v>
      </c>
      <c r="E244" s="62" t="n">
        <v>135.811436241837</v>
      </c>
      <c r="F244" s="62" t="n">
        <v>130.502281354863</v>
      </c>
      <c r="G244" s="62" t="n">
        <v>97.8002819598299</v>
      </c>
      <c r="H244" s="62" t="n">
        <v>91.7224163323947</v>
      </c>
      <c r="I244" s="62" t="n">
        <v>115.307456757951</v>
      </c>
      <c r="J244" s="62" t="n">
        <v>111.748120620361</v>
      </c>
      <c r="K244" s="27" t="n">
        <f aca="false">K$250*K257/100</f>
        <v>140.311289397527</v>
      </c>
      <c r="L244" s="27" t="n">
        <f aca="false">L$250*L257/100</f>
        <v>130.495857551417</v>
      </c>
      <c r="M244" s="27" t="n">
        <f aca="false">M$250*M257/100</f>
        <v>108.833953838424</v>
      </c>
      <c r="N244" s="27" t="n">
        <f aca="false">N$250*N257/100</f>
        <v>73.8108959174264</v>
      </c>
      <c r="O244" s="27" t="n">
        <f aca="false">O$250*O257/100</f>
        <v>96.5255126451154</v>
      </c>
      <c r="P244" s="27" t="n">
        <f aca="false">P$250*P257/100</f>
        <v>111.331564674293</v>
      </c>
      <c r="Q244" s="27" t="n">
        <f aca="false">Q$250*Q257/100</f>
        <v>87.4942143422019</v>
      </c>
      <c r="R244" s="27" t="n">
        <f aca="false">R$250*R257/100</f>
        <v>90.3354483132214</v>
      </c>
      <c r="S244" s="28" t="s">
        <v>84</v>
      </c>
      <c r="T244" s="13"/>
    </row>
    <row r="245" customFormat="false" ht="11.25" hidden="false" customHeight="false" outlineLevel="0" collapsed="false">
      <c r="A245" s="11" t="s">
        <v>88</v>
      </c>
      <c r="B245" s="62" t="n">
        <v>0.0463003273909237</v>
      </c>
      <c r="C245" s="62" t="n">
        <v>0.969784650718552</v>
      </c>
      <c r="D245" s="62" t="n">
        <v>6.52626511491859</v>
      </c>
      <c r="E245" s="62" t="n">
        <v>13.8159999999997</v>
      </c>
      <c r="F245" s="62" t="n">
        <v>15.0867454858123</v>
      </c>
      <c r="G245" s="62" t="n">
        <v>13.9470485586284</v>
      </c>
      <c r="H245" s="62" t="n">
        <v>15.8502212336518</v>
      </c>
      <c r="I245" s="62" t="n">
        <v>16.912713797122</v>
      </c>
      <c r="J245" s="62" t="n">
        <v>16.6464833167393</v>
      </c>
      <c r="K245" s="27" t="n">
        <f aca="false">K$250*K256/100</f>
        <v>19.0673334473509</v>
      </c>
      <c r="L245" s="27" t="n">
        <f aca="false">L$250*L256/100</f>
        <v>17.6315701871834</v>
      </c>
      <c r="M245" s="27" t="n">
        <f aca="false">M$250*M256/100</f>
        <v>15.5477076912034</v>
      </c>
      <c r="N245" s="27" t="n">
        <f aca="false">N$250*N256/100</f>
        <v>16.4024213149837</v>
      </c>
      <c r="O245" s="27" t="n">
        <f aca="false">O$250*O256/100</f>
        <v>17.5500932082028</v>
      </c>
      <c r="P245" s="27" t="n">
        <f aca="false">P$250*P256/100</f>
        <v>18.5552607790489</v>
      </c>
      <c r="Q245" s="27" t="n">
        <f aca="false">Q$250*Q256/100</f>
        <v>19.4431587427115</v>
      </c>
      <c r="R245" s="27" t="n">
        <f aca="false">R$250*R256/100</f>
        <v>20.5600455650398</v>
      </c>
      <c r="S245" s="28" t="s">
        <v>84</v>
      </c>
      <c r="T245" s="13"/>
    </row>
    <row r="246" customFormat="false" ht="11.25" hidden="false" customHeight="false" outlineLevel="0" collapsed="false">
      <c r="A246" s="11" t="s">
        <v>89</v>
      </c>
      <c r="B246" s="62" t="n">
        <v>17.9666334730104</v>
      </c>
      <c r="C246" s="62" t="n">
        <v>23.4403815621662</v>
      </c>
      <c r="D246" s="62" t="n">
        <v>37.7313164172594</v>
      </c>
      <c r="E246" s="62" t="n">
        <v>45.7048211885313</v>
      </c>
      <c r="F246" s="62" t="n">
        <v>58.7200506686312</v>
      </c>
      <c r="G246" s="62" t="n">
        <v>64.4950381207923</v>
      </c>
      <c r="H246" s="62" t="n">
        <v>71.5563648303642</v>
      </c>
      <c r="I246" s="62" t="n">
        <v>84.1055110581068</v>
      </c>
      <c r="J246" s="62" t="n">
        <v>91.9049482207738</v>
      </c>
      <c r="S246" s="28" t="s">
        <v>84</v>
      </c>
      <c r="T246" s="13"/>
    </row>
    <row r="247" customFormat="false" ht="11.25" hidden="false" customHeight="false" outlineLevel="0" collapsed="false">
      <c r="A247" s="11" t="s">
        <v>90</v>
      </c>
      <c r="B247" s="47"/>
      <c r="C247" s="47"/>
      <c r="D247" s="47"/>
      <c r="E247" s="47"/>
      <c r="F247" s="62" t="n">
        <v>0.955149896460806</v>
      </c>
      <c r="G247" s="62" t="n">
        <v>1.09190848084458</v>
      </c>
      <c r="H247" s="62" t="n">
        <v>3.0097625067297</v>
      </c>
      <c r="I247" s="62" t="n">
        <v>3.46829901163683</v>
      </c>
      <c r="J247" s="62" t="n">
        <v>5.16829952639436</v>
      </c>
      <c r="S247" s="28" t="s">
        <v>84</v>
      </c>
      <c r="T247" s="13"/>
    </row>
    <row r="248" customFormat="false" ht="11.25" hidden="false" customHeight="false" outlineLevel="0" collapsed="false">
      <c r="A248" s="11" t="s">
        <v>91</v>
      </c>
      <c r="B248" s="47"/>
      <c r="C248" s="47"/>
      <c r="D248" s="47"/>
      <c r="E248" s="47"/>
      <c r="F248" s="47"/>
      <c r="G248" s="47"/>
      <c r="H248" s="62" t="n">
        <v>0.036988680494117</v>
      </c>
      <c r="I248" s="62" t="n">
        <v>0.299589502015061</v>
      </c>
      <c r="J248" s="62" t="n">
        <v>2.67420227194772</v>
      </c>
      <c r="S248" s="28" t="s">
        <v>84</v>
      </c>
      <c r="T248" s="13"/>
    </row>
    <row r="249" customFormat="false" ht="11.25" hidden="false" customHeight="false" outlineLevel="0" collapsed="false">
      <c r="A249" s="11" t="s">
        <v>92</v>
      </c>
      <c r="B249" s="27" t="n">
        <f aca="false">B246+B247+B248</f>
        <v>17.9666334730104</v>
      </c>
      <c r="C249" s="27" t="n">
        <f aca="false">C246+C247+C248</f>
        <v>23.4403815621662</v>
      </c>
      <c r="D249" s="27" t="n">
        <f aca="false">D246+D247+D248</f>
        <v>37.7313164172594</v>
      </c>
      <c r="E249" s="27" t="n">
        <f aca="false">E246+E247+E248</f>
        <v>45.7048211885313</v>
      </c>
      <c r="F249" s="27" t="n">
        <f aca="false">F246+F247+F248</f>
        <v>59.6752005650921</v>
      </c>
      <c r="G249" s="27" t="n">
        <f aca="false">G246+G247+G248</f>
        <v>65.5869466016369</v>
      </c>
      <c r="H249" s="27" t="n">
        <f aca="false">H246+H247+H248</f>
        <v>74.603116017588</v>
      </c>
      <c r="I249" s="27" t="n">
        <f aca="false">I246+I247+I248</f>
        <v>87.8733995717587</v>
      </c>
      <c r="J249" s="27" t="n">
        <f aca="false">J246+J247+J248</f>
        <v>99.7474500191158</v>
      </c>
      <c r="K249" s="27" t="n">
        <f aca="false">K$250*K255/100</f>
        <v>120.275601049603</v>
      </c>
      <c r="L249" s="27" t="n">
        <f aca="false">L$250*L255/100</f>
        <v>148.082951406081</v>
      </c>
      <c r="M249" s="27" t="n">
        <f aca="false">M$250*M255/100</f>
        <v>202.120199985645</v>
      </c>
      <c r="N249" s="27" t="n">
        <f aca="false">N$250*N255/100</f>
        <v>246.036319724755</v>
      </c>
      <c r="O249" s="27" t="n">
        <f aca="false">O$250*O255/100</f>
        <v>315.90167774765</v>
      </c>
      <c r="P249" s="27" t="n">
        <f aca="false">P$250*P255/100</f>
        <v>389.660476360026</v>
      </c>
      <c r="Q249" s="27" t="n">
        <f aca="false">Q$250*Q255/100</f>
        <v>495.800547939144</v>
      </c>
      <c r="R249" s="27" t="n">
        <f aca="false">R$250*R255/100</f>
        <v>604.884512063242</v>
      </c>
      <c r="S249" s="28" t="s">
        <v>84</v>
      </c>
      <c r="T249" s="13"/>
    </row>
    <row r="250" customFormat="false" ht="11.25" hidden="false" customHeight="false" outlineLevel="0" collapsed="false">
      <c r="A250" s="11" t="s">
        <v>93</v>
      </c>
      <c r="B250" s="27" t="n">
        <f aca="false">SUM(B242:B245)+B249</f>
        <v>306.245890706731</v>
      </c>
      <c r="C250" s="27" t="n">
        <f aca="false">SUM(C242:C245)+C249</f>
        <v>413.50545011012</v>
      </c>
      <c r="D250" s="27" t="n">
        <f aca="false">SUM(D242:D245)+D249</f>
        <v>543.48657312519</v>
      </c>
      <c r="E250" s="27" t="n">
        <f aca="false">SUM(E242:E245)+E249</f>
        <v>679.727690816976</v>
      </c>
      <c r="F250" s="27" t="n">
        <f aca="false">SUM(F242:F245)+F249</f>
        <v>781.753918779082</v>
      </c>
      <c r="G250" s="27" t="n">
        <f aca="false">SUM(G242:G245)+G249</f>
        <v>749.777215964046</v>
      </c>
      <c r="H250" s="27" t="n">
        <f aca="false">SUM(H242:H245)+H249</f>
        <v>799.457053528441</v>
      </c>
      <c r="I250" s="27" t="n">
        <f aca="false">SUM(I242:I245)+I249</f>
        <v>993.421911671294</v>
      </c>
      <c r="J250" s="27" t="n">
        <f aca="false">SUM(J242:J245)+J249</f>
        <v>1141.93363813838</v>
      </c>
      <c r="K250" s="27" t="n">
        <f aca="false">K241*K251</f>
        <v>1271.15556315673</v>
      </c>
      <c r="L250" s="27" t="n">
        <f aca="false">L241*L251</f>
        <v>1410.52561497467</v>
      </c>
      <c r="M250" s="27" t="n">
        <f aca="false">M241*M251</f>
        <v>1554.77076912034</v>
      </c>
      <c r="N250" s="27" t="n">
        <f aca="false">N241*N251</f>
        <v>1640.24213149837</v>
      </c>
      <c r="O250" s="27" t="n">
        <f aca="false">O241*O251</f>
        <v>1755.00932082028</v>
      </c>
      <c r="P250" s="27" t="n">
        <f aca="false">P241*P251</f>
        <v>1855.52607790489</v>
      </c>
      <c r="Q250" s="27" t="n">
        <f aca="false">Q241*Q251</f>
        <v>1944.31587427115</v>
      </c>
      <c r="R250" s="27" t="n">
        <f aca="false">R241*R251</f>
        <v>2016.28170687747</v>
      </c>
      <c r="S250" s="28" t="s">
        <v>84</v>
      </c>
      <c r="T250" s="13"/>
    </row>
    <row r="251" customFormat="false" ht="11.25" hidden="false" customHeight="false" outlineLevel="0" collapsed="false">
      <c r="A251" s="46" t="s">
        <v>94</v>
      </c>
      <c r="B251" s="27" t="n">
        <f aca="false">B250/B241</f>
        <v>178.389122292589</v>
      </c>
      <c r="C251" s="27" t="n">
        <f aca="false">C250/C241</f>
        <v>186.878038707483</v>
      </c>
      <c r="D251" s="27" t="n">
        <f aca="false">D250/D241</f>
        <v>195.698159569247</v>
      </c>
      <c r="E251" s="27" t="n">
        <f aca="false">E250/E241</f>
        <v>211.704857262081</v>
      </c>
      <c r="F251" s="27" t="n">
        <f aca="false">F250/F241</f>
        <v>198.25008739079</v>
      </c>
      <c r="G251" s="27" t="n">
        <f aca="false">G250/G241</f>
        <v>155.990787918284</v>
      </c>
      <c r="H251" s="27" t="n">
        <f aca="false">H250/H241</f>
        <v>148.27878602317</v>
      </c>
      <c r="I251" s="27" t="n">
        <f aca="false">I250/I241</f>
        <v>143.280070078109</v>
      </c>
      <c r="J251" s="27" t="n">
        <f aca="false">J250/J241</f>
        <v>137.885025894793</v>
      </c>
      <c r="K251" s="27" t="n">
        <f aca="false">J251*(1+K252/100*5)</f>
        <v>124.096523305314</v>
      </c>
      <c r="L251" s="27" t="n">
        <f aca="false">K251*(1+L252/100*5)</f>
        <v>117.891697140048</v>
      </c>
      <c r="M251" s="27" t="n">
        <f aca="false">L251*(1+M252/100*5)</f>
        <v>111.997112283046</v>
      </c>
      <c r="N251" s="27" t="n">
        <f aca="false">M251*(1+N252/100*5)</f>
        <v>103.597328861817</v>
      </c>
      <c r="O251" s="27" t="n">
        <f aca="false">N251*(1+O252/100*5)</f>
        <v>98.4174624187266</v>
      </c>
      <c r="P251" s="27" t="n">
        <f aca="false">O251*(1+P252/100*5)</f>
        <v>93.4965892977902</v>
      </c>
      <c r="Q251" s="27" t="n">
        <f aca="false">P251*(1+Q252/100*5)</f>
        <v>88.8217598329007</v>
      </c>
      <c r="R251" s="27" t="n">
        <f aca="false">Q251*(1+R252/100*5)</f>
        <v>84.3806718412557</v>
      </c>
      <c r="S251" s="28" t="s">
        <v>95</v>
      </c>
      <c r="T251" s="13"/>
    </row>
    <row r="252" customFormat="false" ht="11.25" hidden="false" customHeight="false" outlineLevel="0" collapsed="false">
      <c r="A252" s="46" t="s">
        <v>96</v>
      </c>
      <c r="B252" s="27"/>
      <c r="C252" s="75" t="n">
        <f aca="false">(C251-B251)/B251*100/5</f>
        <v>0.951730274334842</v>
      </c>
      <c r="D252" s="75" t="n">
        <f aca="false">(D251-C251)/C251*100/5</f>
        <v>0.943944074195853</v>
      </c>
      <c r="E252" s="75" t="n">
        <f aca="false">(E251-D251)/D251*100/5</f>
        <v>1.63585572067378</v>
      </c>
      <c r="F252" s="75" t="n">
        <f aca="false">(F251-E251)/E251*100/5</f>
        <v>-1.27108749844453</v>
      </c>
      <c r="G252" s="75" t="n">
        <f aca="false">(G251-F251)/F251*100/5</f>
        <v>-4.26323135880441</v>
      </c>
      <c r="H252" s="75" t="n">
        <f aca="false">(H251-G251)/G251*100/5</f>
        <v>-0.988776580723873</v>
      </c>
      <c r="I252" s="75" t="n">
        <f aca="false">(I251-H251)/H251*100/5</f>
        <v>-0.674232110894165</v>
      </c>
      <c r="J252" s="75" t="n">
        <f aca="false">(J251-I251)/I251*100/5</f>
        <v>-0.753076709185677</v>
      </c>
      <c r="K252" s="78" t="n">
        <v>-2</v>
      </c>
      <c r="L252" s="78" t="n">
        <v>-1</v>
      </c>
      <c r="M252" s="78" t="n">
        <v>-1</v>
      </c>
      <c r="N252" s="78" t="n">
        <v>-1.5</v>
      </c>
      <c r="O252" s="78" t="n">
        <v>-1</v>
      </c>
      <c r="P252" s="78" t="n">
        <v>-1</v>
      </c>
      <c r="Q252" s="78" t="n">
        <v>-1</v>
      </c>
      <c r="R252" s="78" t="n">
        <v>-1</v>
      </c>
      <c r="S252" s="28" t="s">
        <v>25</v>
      </c>
      <c r="T252" s="13"/>
    </row>
    <row r="253" customFormat="false" ht="15" hidden="false" customHeight="false" outlineLevel="0" collapsed="false">
      <c r="A253" s="46" t="s">
        <v>97</v>
      </c>
      <c r="B253" s="65" t="n">
        <f aca="false">B242/B$250*100</f>
        <v>40.9605703634322</v>
      </c>
      <c r="C253" s="65" t="n">
        <f aca="false">C242/C$250*100</f>
        <v>43.7966398895501</v>
      </c>
      <c r="D253" s="65" t="n">
        <f aca="false">D242/D$250*100</f>
        <v>50.6812413892977</v>
      </c>
      <c r="E253" s="65" t="n">
        <f aca="false">E242/E$250*100</f>
        <v>45.5707996047704</v>
      </c>
      <c r="F253" s="65" t="n">
        <f aca="false">F242/F$250*100</f>
        <v>45.6264120678783</v>
      </c>
      <c r="G253" s="65" t="n">
        <f aca="false">G242/G$250*100</f>
        <v>45.8152644703883</v>
      </c>
      <c r="H253" s="65" t="n">
        <f aca="false">H242/H$250*100</f>
        <v>45.2398692073198</v>
      </c>
      <c r="I253" s="65" t="n">
        <f aca="false">I242/I$250*100</f>
        <v>42.7826636105145</v>
      </c>
      <c r="J253" s="65" t="n">
        <f aca="false">J242/J$250*100</f>
        <v>44.1091999448064</v>
      </c>
      <c r="K253" s="104" t="n">
        <v>41</v>
      </c>
      <c r="L253" s="104" t="n">
        <v>40</v>
      </c>
      <c r="M253" s="104" t="n">
        <v>39</v>
      </c>
      <c r="N253" s="104" t="n">
        <v>38.5</v>
      </c>
      <c r="O253" s="104" t="n">
        <v>36.5</v>
      </c>
      <c r="P253" s="104" t="n">
        <v>35</v>
      </c>
      <c r="Q253" s="104" t="n">
        <v>34.5</v>
      </c>
      <c r="R253" s="104" t="n">
        <v>33.5</v>
      </c>
      <c r="S253" s="28" t="s">
        <v>44</v>
      </c>
      <c r="T253" s="13"/>
      <c r="Y253" s="105"/>
      <c r="Z253" s="105"/>
    </row>
    <row r="254" customFormat="false" ht="11.25" hidden="false" customHeight="false" outlineLevel="0" collapsed="false">
      <c r="A254" s="46" t="s">
        <v>98</v>
      </c>
      <c r="B254" s="65" t="n">
        <f aca="false">B243/B$250*100</f>
        <v>16.5913553783143</v>
      </c>
      <c r="C254" s="65" t="n">
        <f aca="false">C243/C$250*100</f>
        <v>11.9530644486553</v>
      </c>
      <c r="D254" s="65" t="n">
        <f aca="false">D243/D$250*100</f>
        <v>16.6446459468764</v>
      </c>
      <c r="E254" s="65" t="n">
        <f aca="false">E243/E$250*100</f>
        <v>25.692360618172</v>
      </c>
      <c r="F254" s="65" t="n">
        <f aca="false">F243/F$250*100</f>
        <v>28.1167029360936</v>
      </c>
      <c r="G254" s="65" t="n">
        <f aca="false">G243/G$250*100</f>
        <v>30.5331396496164</v>
      </c>
      <c r="H254" s="65" t="n">
        <f aca="false">H243/H$250*100</f>
        <v>31.9726961481807</v>
      </c>
      <c r="I254" s="65" t="n">
        <f aca="false">I243/I$250*100</f>
        <v>35.0622412037396</v>
      </c>
      <c r="J254" s="65" t="n">
        <f aca="false">J243/J$250*100</f>
        <v>35.9122263152921</v>
      </c>
      <c r="K254" s="104" t="n">
        <v>37</v>
      </c>
      <c r="L254" s="104" t="n">
        <v>39</v>
      </c>
      <c r="M254" s="104" t="n">
        <v>40</v>
      </c>
      <c r="N254" s="104" t="n">
        <v>41</v>
      </c>
      <c r="O254" s="104" t="n">
        <v>39</v>
      </c>
      <c r="P254" s="104" t="n">
        <v>37</v>
      </c>
      <c r="Q254" s="104" t="n">
        <v>34.5</v>
      </c>
      <c r="R254" s="104" t="n">
        <v>31</v>
      </c>
      <c r="S254" s="28" t="s">
        <v>44</v>
      </c>
      <c r="T254" s="13"/>
    </row>
    <row r="255" customFormat="false" ht="11.25" hidden="false" customHeight="false" outlineLevel="0" collapsed="false">
      <c r="A255" s="46" t="s">
        <v>99</v>
      </c>
      <c r="B255" s="65" t="n">
        <f aca="false">B249/B$250*100</f>
        <v>5.86673454835539</v>
      </c>
      <c r="C255" s="65" t="n">
        <f aca="false">C249/C$250*100</f>
        <v>5.66869954336124</v>
      </c>
      <c r="D255" s="65" t="n">
        <f aca="false">D249/D$250*100</f>
        <v>6.9424560390323</v>
      </c>
      <c r="E255" s="65" t="n">
        <f aca="false">E249/E$250*100</f>
        <v>6.72398988683217</v>
      </c>
      <c r="F255" s="65" t="n">
        <f aca="false">F249/F$250*100</f>
        <v>7.63350194115955</v>
      </c>
      <c r="G255" s="65" t="n">
        <f aca="false">G249/G$250*100</f>
        <v>8.74752462533911</v>
      </c>
      <c r="H255" s="65" t="n">
        <f aca="false">H249/H$250*100</f>
        <v>9.33172278464786</v>
      </c>
      <c r="I255" s="65" t="n">
        <f aca="false">I249/I$250*100</f>
        <v>8.84552661254713</v>
      </c>
      <c r="J255" s="65" t="n">
        <f aca="false">J249/J$250*100</f>
        <v>8.73496030660134</v>
      </c>
      <c r="K255" s="104" t="n">
        <v>9.46191044870352</v>
      </c>
      <c r="L255" s="104" t="n">
        <v>10.4984234128028</v>
      </c>
      <c r="M255" s="104" t="n">
        <v>13</v>
      </c>
      <c r="N255" s="104" t="n">
        <v>15</v>
      </c>
      <c r="O255" s="104" t="n">
        <v>18</v>
      </c>
      <c r="P255" s="104" t="n">
        <v>21</v>
      </c>
      <c r="Q255" s="104" t="n">
        <v>25.5</v>
      </c>
      <c r="R255" s="104" t="n">
        <v>30</v>
      </c>
      <c r="S255" s="28" t="s">
        <v>44</v>
      </c>
      <c r="T255" s="13"/>
    </row>
    <row r="256" customFormat="false" ht="11.25" hidden="false" customHeight="false" outlineLevel="0" collapsed="false">
      <c r="A256" s="46" t="s">
        <v>100</v>
      </c>
      <c r="B256" s="65" t="n">
        <f aca="false">B245/B$250*100</f>
        <v>0.0151186771140261</v>
      </c>
      <c r="C256" s="65" t="n">
        <f aca="false">C245/C$250*100</f>
        <v>0.234527658694774</v>
      </c>
      <c r="D256" s="65" t="n">
        <f aca="false">D245/D$250*100</f>
        <v>1.20081441522849</v>
      </c>
      <c r="E256" s="65" t="n">
        <f aca="false">E245/E$250*100</f>
        <v>2.03257866152165</v>
      </c>
      <c r="F256" s="65" t="n">
        <f aca="false">F245/F$250*100</f>
        <v>1.92985863241648</v>
      </c>
      <c r="G256" s="65" t="n">
        <f aca="false">G245/G$250*100</f>
        <v>1.86015902613094</v>
      </c>
      <c r="H256" s="65" t="n">
        <f aca="false">H245/H$250*100</f>
        <v>1.98262322706343</v>
      </c>
      <c r="I256" s="65" t="n">
        <f aca="false">I245/I$250*100</f>
        <v>1.7024703802505</v>
      </c>
      <c r="J256" s="65" t="n">
        <f aca="false">J245/J$250*100</f>
        <v>1.45774524550105</v>
      </c>
      <c r="K256" s="104" t="n">
        <v>1.5</v>
      </c>
      <c r="L256" s="104" t="n">
        <v>1.25</v>
      </c>
      <c r="M256" s="104" t="n">
        <v>1</v>
      </c>
      <c r="N256" s="104" t="n">
        <v>1</v>
      </c>
      <c r="O256" s="104" t="n">
        <v>1</v>
      </c>
      <c r="P256" s="104" t="n">
        <v>1</v>
      </c>
      <c r="Q256" s="104" t="n">
        <v>1</v>
      </c>
      <c r="R256" s="104" t="n">
        <v>1.01970104152163</v>
      </c>
      <c r="S256" s="28" t="s">
        <v>44</v>
      </c>
      <c r="T256" s="13"/>
    </row>
    <row r="257" customFormat="false" ht="11.25" hidden="false" customHeight="false" outlineLevel="0" collapsed="false">
      <c r="A257" s="46" t="s">
        <v>101</v>
      </c>
      <c r="B257" s="65" t="n">
        <f aca="false">B244/B$250*100</f>
        <v>36.5662210327841</v>
      </c>
      <c r="C257" s="65" t="n">
        <f aca="false">C244/C$250*100</f>
        <v>38.3470684597386</v>
      </c>
      <c r="D257" s="65" t="n">
        <f aca="false">D244/D$250*100</f>
        <v>24.5308422095651</v>
      </c>
      <c r="E257" s="65" t="n">
        <f aca="false">E244/E$250*100</f>
        <v>19.9802712287038</v>
      </c>
      <c r="F257" s="65" t="n">
        <f aca="false">F244/F$250*100</f>
        <v>16.6935244224522</v>
      </c>
      <c r="G257" s="65" t="n">
        <f aca="false">G244/G$250*100</f>
        <v>13.0439122285252</v>
      </c>
      <c r="H257" s="65" t="n">
        <f aca="false">H244/H$250*100</f>
        <v>11.4730886327882</v>
      </c>
      <c r="I257" s="65" t="n">
        <f aca="false">I244/I$250*100</f>
        <v>11.6070981929483</v>
      </c>
      <c r="J257" s="65" t="n">
        <f aca="false">J244/J$250*100</f>
        <v>9.78586818779913</v>
      </c>
      <c r="K257" s="106" t="n">
        <f aca="false">100-SUM(K253:K256)</f>
        <v>11.0380895512965</v>
      </c>
      <c r="L257" s="106" t="n">
        <f aca="false">100-SUM(L253:L256)</f>
        <v>9.25157658719724</v>
      </c>
      <c r="M257" s="106" t="n">
        <f aca="false">100-SUM(M253:M256)</f>
        <v>7</v>
      </c>
      <c r="N257" s="106" t="n">
        <f aca="false">100-SUM(N253:N256)</f>
        <v>4.5</v>
      </c>
      <c r="O257" s="106" t="n">
        <f aca="false">100-SUM(O253:O256)</f>
        <v>5.5</v>
      </c>
      <c r="P257" s="106" t="n">
        <f aca="false">100-SUM(P253:P256)</f>
        <v>6</v>
      </c>
      <c r="Q257" s="106" t="n">
        <f aca="false">100-SUM(Q253:Q256)</f>
        <v>4.5</v>
      </c>
      <c r="R257" s="106" t="n">
        <f aca="false">100-SUM(R253:R256)</f>
        <v>4.48029895847837</v>
      </c>
      <c r="S257" s="28" t="s">
        <v>44</v>
      </c>
      <c r="T257" s="13"/>
    </row>
    <row r="258" customFormat="false" ht="11.25" hidden="false" customHeight="false" outlineLevel="0" collapsed="false"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T258" s="13"/>
    </row>
    <row r="259" customFormat="false" ht="12.65" hidden="false" customHeight="false" outlineLevel="0" collapsed="false">
      <c r="A259" s="108" t="s">
        <v>7</v>
      </c>
      <c r="B259" s="109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41"/>
      <c r="T259" s="13"/>
      <c r="U259" s="41"/>
      <c r="V259" s="41"/>
    </row>
    <row r="260" customFormat="false" ht="11.25" hidden="false" customHeight="false" outlineLevel="0" collapsed="false">
      <c r="A260" s="63"/>
      <c r="B260" s="101" t="n">
        <v>1970</v>
      </c>
      <c r="C260" s="101" t="n">
        <v>1975</v>
      </c>
      <c r="D260" s="101" t="n">
        <v>1980</v>
      </c>
      <c r="E260" s="101" t="n">
        <v>1985</v>
      </c>
      <c r="F260" s="101" t="n">
        <v>1990</v>
      </c>
      <c r="G260" s="101" t="n">
        <v>1995</v>
      </c>
      <c r="H260" s="101" t="n">
        <v>2000</v>
      </c>
      <c r="I260" s="101" t="n">
        <v>2005</v>
      </c>
      <c r="J260" s="101" t="n">
        <v>2010</v>
      </c>
      <c r="K260" s="101" t="n">
        <v>2015</v>
      </c>
      <c r="L260" s="101" t="n">
        <v>2020</v>
      </c>
      <c r="M260" s="101" t="n">
        <v>2025</v>
      </c>
      <c r="N260" s="101" t="n">
        <v>2030</v>
      </c>
      <c r="O260" s="101" t="n">
        <v>2035</v>
      </c>
      <c r="P260" s="101" t="n">
        <v>2040</v>
      </c>
      <c r="Q260" s="101" t="n">
        <v>2045</v>
      </c>
      <c r="R260" s="101" t="n">
        <v>2050</v>
      </c>
      <c r="S260" s="25" t="s">
        <v>15</v>
      </c>
      <c r="T260" s="13"/>
      <c r="U260" s="41"/>
      <c r="V260" s="41"/>
    </row>
    <row r="261" s="3" customFormat="true" ht="11.25" hidden="false" customHeight="false" outlineLevel="0" collapsed="false">
      <c r="B261" s="47"/>
      <c r="C261" s="47"/>
      <c r="D261" s="47"/>
      <c r="E261" s="47"/>
      <c r="F261" s="47"/>
      <c r="G261" s="47"/>
      <c r="H261" s="47"/>
      <c r="I261" s="47"/>
      <c r="K261" s="84" t="n">
        <f aca="false">K$266*K269/100</f>
        <v>521.173780894259</v>
      </c>
      <c r="L261" s="84" t="n">
        <f aca="false">L$266*L269/100</f>
        <v>540.902705488188</v>
      </c>
      <c r="M261" s="84" t="n">
        <f aca="false">M$266*M269/100</f>
        <v>580.276780415644</v>
      </c>
      <c r="N261" s="84" t="n">
        <f aca="false">N$266*N269/100</f>
        <v>603.595126107692</v>
      </c>
      <c r="O261" s="84" t="n">
        <f aca="false">O$266*O269/100</f>
        <v>611.188757769728</v>
      </c>
      <c r="P261" s="84" t="n">
        <f aca="false">P$266*P269/100</f>
        <v>618.534895303324</v>
      </c>
      <c r="Q261" s="84" t="n">
        <f aca="false">Q$266*Q269/100</f>
        <v>637.736170879105</v>
      </c>
      <c r="R261" s="84" t="n">
        <f aca="false">R$266*R269/100</f>
        <v>641.028270990871</v>
      </c>
      <c r="S261" s="28" t="s">
        <v>84</v>
      </c>
      <c r="T261" s="13"/>
      <c r="U261" s="111" t="str">
        <f aca="false">CONCATENATE(A242," Your forecast")</f>
        <v>Uso de petróleo: sua previsão</v>
      </c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84" t="n">
        <f aca="false">K$266*K270/100</f>
        <v>470.32755836799</v>
      </c>
      <c r="L262" s="84" t="n">
        <f aca="false">L$266*L270/100</f>
        <v>527.380137850983</v>
      </c>
      <c r="M262" s="84" t="n">
        <f aca="false">M$266*M270/100</f>
        <v>595.155672221174</v>
      </c>
      <c r="N262" s="84" t="n">
        <f aca="false">N$266*N270/100</f>
        <v>642.789614815983</v>
      </c>
      <c r="O262" s="84" t="n">
        <f aca="false">O$266*O270/100</f>
        <v>653.051001452586</v>
      </c>
      <c r="P262" s="84" t="n">
        <f aca="false">P$266*P270/100</f>
        <v>653.879746463514</v>
      </c>
      <c r="Q262" s="84" t="n">
        <f aca="false">Q$266*Q270/100</f>
        <v>637.736170879105</v>
      </c>
      <c r="R262" s="84" t="n">
        <f aca="false">R$266*R270/100</f>
        <v>593.190340319911</v>
      </c>
      <c r="S262" s="28" t="s">
        <v>84</v>
      </c>
      <c r="T262" s="13"/>
      <c r="U262" s="111" t="str">
        <f aca="false">CONCATENATE(A243," Your forecast")</f>
        <v> Consumo de gás: Sua previsão</v>
      </c>
      <c r="Z262" s="113"/>
      <c r="AA262" s="114" t="s">
        <v>36</v>
      </c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6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47"/>
      <c r="H263" s="47"/>
      <c r="I263" s="47"/>
      <c r="K263" s="84" t="n">
        <f aca="false">K$266*K273/100</f>
        <v>140.311289397527</v>
      </c>
      <c r="L263" s="84" t="n">
        <f aca="false">L$266*L273/100</f>
        <v>152.702146961776</v>
      </c>
      <c r="M263" s="84" t="n">
        <f aca="false">M$266*M273/100</f>
        <v>134.517327956112</v>
      </c>
      <c r="N263" s="84" t="n">
        <f aca="false">N$266*N273/100</f>
        <v>102.545580661286</v>
      </c>
      <c r="O263" s="84" t="n">
        <f aca="false">O$266*O273/100</f>
        <v>126.27019625156</v>
      </c>
      <c r="P263" s="84" t="n">
        <f aca="false">P$266*P273/100</f>
        <v>142.100728133825</v>
      </c>
      <c r="Q263" s="84" t="n">
        <f aca="false">Q$266*Q273/100</f>
        <v>120.907685753773</v>
      </c>
      <c r="R263" s="84" t="n">
        <f aca="false">R$266*R273/100</f>
        <v>124.78266436064</v>
      </c>
      <c r="S263" s="28" t="s">
        <v>84</v>
      </c>
      <c r="T263" s="13"/>
      <c r="U263" s="111" t="str">
        <f aca="false">CONCATENATE(A244," Your forecast")</f>
        <v> Uso de carvão: Sua previsão</v>
      </c>
      <c r="Z263" s="113"/>
      <c r="AA263" s="117"/>
      <c r="AB263" s="118" t="n">
        <v>1970</v>
      </c>
      <c r="AC263" s="118" t="n">
        <v>1975</v>
      </c>
      <c r="AD263" s="118" t="n">
        <v>1980</v>
      </c>
      <c r="AE263" s="118" t="n">
        <v>1985</v>
      </c>
      <c r="AF263" s="118" t="n">
        <v>1990</v>
      </c>
      <c r="AG263" s="118" t="n">
        <v>1995</v>
      </c>
      <c r="AH263" s="118" t="n">
        <v>2000</v>
      </c>
      <c r="AI263" s="118" t="n">
        <v>2005</v>
      </c>
      <c r="AJ263" s="118" t="n">
        <v>2010</v>
      </c>
      <c r="AK263" s="118" t="n">
        <v>2015</v>
      </c>
      <c r="AL263" s="118" t="n">
        <v>2020</v>
      </c>
      <c r="AM263" s="118" t="n">
        <v>2025</v>
      </c>
      <c r="AN263" s="118" t="n">
        <v>2030</v>
      </c>
      <c r="AO263" s="118" t="n">
        <v>2035</v>
      </c>
      <c r="AP263" s="118" t="n">
        <v>2040</v>
      </c>
      <c r="AQ263" s="118" t="n">
        <v>2045</v>
      </c>
      <c r="AR263" s="119" t="n">
        <v>2050</v>
      </c>
      <c r="AS263" s="11"/>
    </row>
    <row r="264" s="3" customFormat="true" ht="11.25" hidden="false" customHeight="false" outlineLevel="0" collapsed="false">
      <c r="B264" s="47"/>
      <c r="C264" s="47"/>
      <c r="D264" s="47"/>
      <c r="E264" s="47"/>
      <c r="F264" s="47"/>
      <c r="G264" s="47"/>
      <c r="H264" s="47"/>
      <c r="I264" s="47"/>
      <c r="K264" s="84" t="n">
        <f aca="false">K$266*K272/100</f>
        <v>19.0673334473509</v>
      </c>
      <c r="L264" s="84" t="n">
        <f aca="false">L$266*L272/100</f>
        <v>16.9032095465059</v>
      </c>
      <c r="M264" s="84" t="n">
        <f aca="false">M$266*M272/100</f>
        <v>14.8788918055293</v>
      </c>
      <c r="N264" s="84" t="n">
        <f aca="false">N$266*N272/100</f>
        <v>15.6777954833167</v>
      </c>
      <c r="O264" s="84" t="n">
        <f aca="false">O$266*O272/100</f>
        <v>16.7448974731432</v>
      </c>
      <c r="P264" s="84" t="n">
        <f aca="false">P$266*P272/100</f>
        <v>17.672425580095</v>
      </c>
      <c r="Q264" s="84" t="n">
        <f aca="false">Q$266*Q272/100</f>
        <v>18.4851064022929</v>
      </c>
      <c r="R264" s="84" t="n">
        <f aca="false">R$266*R272/100</f>
        <v>19.5121550917673</v>
      </c>
      <c r="S264" s="28" t="s">
        <v>84</v>
      </c>
      <c r="T264" s="13"/>
      <c r="U264" s="111" t="str">
        <f aca="false">CONCATENATE(A245," Your forecast")</f>
        <v> Uso de energia nuclear: Sua previsão</v>
      </c>
      <c r="Z264" s="113"/>
      <c r="AA264" s="117" t="str">
        <f aca="false">CONCATENATE(A250," (0 - ",W277," Mtoe / yr)")</f>
        <v> Consumo de energia (0 - 4000 Mtoe / ano)</v>
      </c>
      <c r="AB264" s="120" t="n">
        <f aca="false">B250/$W277</f>
        <v>0.0765614726766826</v>
      </c>
      <c r="AC264" s="120" t="n">
        <f aca="false">C250/$W277</f>
        <v>0.10337636252753</v>
      </c>
      <c r="AD264" s="120" t="n">
        <f aca="false">D250/$W277</f>
        <v>0.135871643281297</v>
      </c>
      <c r="AE264" s="120" t="n">
        <f aca="false">E250/$W277</f>
        <v>0.169931922704244</v>
      </c>
      <c r="AF264" s="120" t="n">
        <f aca="false">F250/$W277</f>
        <v>0.195438479694771</v>
      </c>
      <c r="AG264" s="120" t="n">
        <f aca="false">G250/$W277</f>
        <v>0.187444303991011</v>
      </c>
      <c r="AH264" s="120" t="n">
        <f aca="false">H250/$W277</f>
        <v>0.19986426338211</v>
      </c>
      <c r="AI264" s="120" t="n">
        <f aca="false">I250/$W277</f>
        <v>0.248355477917824</v>
      </c>
      <c r="AJ264" s="120" t="n">
        <f aca="false">J250/$W277</f>
        <v>0.285483409534594</v>
      </c>
      <c r="AK264" s="120" t="n">
        <f aca="false">K250/$W277</f>
        <v>0.317788890789182</v>
      </c>
      <c r="AL264" s="120" t="n">
        <f aca="false">L250/$W277</f>
        <v>0.352631403743668</v>
      </c>
      <c r="AM264" s="120" t="n">
        <f aca="false">M250/$W277</f>
        <v>0.388692692280086</v>
      </c>
      <c r="AN264" s="120" t="n">
        <f aca="false">N250/$W277</f>
        <v>0.410060532874591</v>
      </c>
      <c r="AO264" s="120" t="n">
        <f aca="false">O250/$W277</f>
        <v>0.43875233020507</v>
      </c>
      <c r="AP264" s="120" t="n">
        <f aca="false">P250/$W277</f>
        <v>0.463881519476221</v>
      </c>
      <c r="AQ264" s="120" t="n">
        <f aca="false">Q250/$W277</f>
        <v>0.486078968567788</v>
      </c>
      <c r="AR264" s="120" t="n">
        <f aca="false">R250/$W277</f>
        <v>0.504070426719369</v>
      </c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G265" s="47"/>
      <c r="H265" s="47"/>
      <c r="I265" s="47"/>
      <c r="K265" s="84" t="n">
        <f aca="false">K$266*K271/100</f>
        <v>120.275601049603</v>
      </c>
      <c r="L265" s="84" t="n">
        <f aca="false">L$266*L271/100</f>
        <v>141.965640683639</v>
      </c>
      <c r="M265" s="84" t="n">
        <f aca="false">M$266*M271/100</f>
        <v>193.425593471881</v>
      </c>
      <c r="N265" s="84" t="n">
        <f aca="false">N$266*N271/100</f>
        <v>235.16693224975</v>
      </c>
      <c r="O265" s="84" t="n">
        <f aca="false">O$266*O271/100</f>
        <v>301.408154516578</v>
      </c>
      <c r="P265" s="84" t="n">
        <f aca="false">P$266*P271/100</f>
        <v>371.120937181994</v>
      </c>
      <c r="Q265" s="84" t="n">
        <f aca="false">Q$266*Q271/100</f>
        <v>471.370213258469</v>
      </c>
      <c r="R265" s="84" t="n">
        <f aca="false">R$266*R271/100</f>
        <v>574.055168051526</v>
      </c>
      <c r="S265" s="28" t="s">
        <v>84</v>
      </c>
      <c r="T265" s="13"/>
      <c r="U265" s="111" t="str">
        <f aca="false">CONCATENATE(A249," Your forecast")</f>
        <v> Uso de energias renováveis: Sua previsão</v>
      </c>
      <c r="Z265" s="113"/>
      <c r="AA265" s="117" t="str">
        <f aca="false">CONCATENATE(A241," (0 - ",W278," T$ / yr)")</f>
        <v> PIB Resto do Mundo (0 - 25 trilhões de dólares/ano)</v>
      </c>
      <c r="AB265" s="120" t="n">
        <f aca="false">B241/$W278</f>
        <v>0.0686691849303309</v>
      </c>
      <c r="AC265" s="120" t="n">
        <f aca="false">C241/$W278</f>
        <v>0.0885080885844211</v>
      </c>
      <c r="AD265" s="120" t="n">
        <f aca="false">D241/$W278</f>
        <v>0.111086700931979</v>
      </c>
      <c r="AE265" s="120" t="n">
        <f aca="false">E241/$W278</f>
        <v>0.128429304760921</v>
      </c>
      <c r="AF265" s="120" t="n">
        <f aca="false">F241/$W278</f>
        <v>0.157730859858456</v>
      </c>
      <c r="AG265" s="120" t="n">
        <f aca="false">G241/$W278</f>
        <v>0.192261921609581</v>
      </c>
      <c r="AH265" s="120" t="n">
        <f aca="false">H241/$W278</f>
        <v>0.215663231395357</v>
      </c>
      <c r="AI265" s="120" t="n">
        <f aca="false">I241/$W278</f>
        <v>0.277337081460033</v>
      </c>
      <c r="AJ265" s="120" t="n">
        <f aca="false">J241/$W278</f>
        <v>0.331271254649414</v>
      </c>
      <c r="AK265" s="120" t="n">
        <f aca="false">K241/$W278</f>
        <v>0.409731241230445</v>
      </c>
      <c r="AL265" s="120" t="n">
        <f aca="false">L241/$W278</f>
        <v>0.478583530203676</v>
      </c>
      <c r="AM265" s="120" t="n">
        <f aca="false">M241/$W278</f>
        <v>0.555289591821272</v>
      </c>
      <c r="AN265" s="120" t="n">
        <f aca="false">N241/$W278</f>
        <v>0.633314449134568</v>
      </c>
      <c r="AO265" s="120" t="n">
        <f aca="false">O241/$W278</f>
        <v>0.713291839756414</v>
      </c>
      <c r="AP265" s="120" t="n">
        <f aca="false">P241/$W278</f>
        <v>0.793836905427625</v>
      </c>
      <c r="AQ265" s="120" t="n">
        <f aca="false">Q241/$W278</f>
        <v>0.875603400756288</v>
      </c>
      <c r="AR265" s="120" t="n">
        <f aca="false">R241/$W278</f>
        <v>0.955802632465729</v>
      </c>
      <c r="AS265" s="11"/>
    </row>
    <row r="266" s="3" customFormat="true" ht="11.25" hidden="false" customHeight="false" outlineLevel="0" collapsed="false">
      <c r="B266" s="47"/>
      <c r="C266" s="47"/>
      <c r="D266" s="47"/>
      <c r="E266" s="47"/>
      <c r="F266" s="47"/>
      <c r="G266" s="47"/>
      <c r="H266" s="47"/>
      <c r="I266" s="47"/>
      <c r="K266" s="84" t="n">
        <f aca="false">K104*K267</f>
        <v>1271.15556315673</v>
      </c>
      <c r="L266" s="84" t="n">
        <f aca="false">L104*L267</f>
        <v>1379.85384053109</v>
      </c>
      <c r="M266" s="84" t="n">
        <f aca="false">M104*M267</f>
        <v>1518.25426587034</v>
      </c>
      <c r="N266" s="84" t="n">
        <f aca="false">N104*N267</f>
        <v>1599.77504931803</v>
      </c>
      <c r="O266" s="84" t="n">
        <f aca="false">O104*O267</f>
        <v>1708.6630074636</v>
      </c>
      <c r="P266" s="84" t="n">
        <f aca="false">P104*P267</f>
        <v>1803.30873266275</v>
      </c>
      <c r="Q266" s="84" t="n">
        <f aca="false">Q104*Q267</f>
        <v>1886.23534717274</v>
      </c>
      <c r="R266" s="84" t="n">
        <f aca="false">R104*R267</f>
        <v>1952.56859881472</v>
      </c>
      <c r="S266" s="28" t="s">
        <v>84</v>
      </c>
      <c r="T266" s="13"/>
      <c r="U266" s="111" t="str">
        <f aca="false">CONCATENATE(A250," Your forecast")</f>
        <v> Consumo de energia: Sua previsão</v>
      </c>
      <c r="Z266" s="113"/>
      <c r="AA266" s="117" t="str">
        <f aca="false">CONCATENATE(A251," (0 - ",W279," toe / M$)")</f>
        <v> Intensidade energética (0 - 250 toe / M$)</v>
      </c>
      <c r="AB266" s="120" t="n">
        <f aca="false">B251/$W279</f>
        <v>0.713556489170357</v>
      </c>
      <c r="AC266" s="120" t="n">
        <f aca="false">C251/$W279</f>
        <v>0.747512154829933</v>
      </c>
      <c r="AD266" s="120" t="n">
        <f aca="false">D251/$W279</f>
        <v>0.782792638276987</v>
      </c>
      <c r="AE266" s="120" t="n">
        <f aca="false">E251/$W279</f>
        <v>0.846819429048323</v>
      </c>
      <c r="AF266" s="120" t="n">
        <f aca="false">F251/$W279</f>
        <v>0.793000349563161</v>
      </c>
      <c r="AG266" s="120" t="n">
        <f aca="false">G251/$W279</f>
        <v>0.623963151673134</v>
      </c>
      <c r="AH266" s="120" t="n">
        <f aca="false">H251/$W279</f>
        <v>0.593115144092682</v>
      </c>
      <c r="AI266" s="120" t="n">
        <f aca="false">I251/$W279</f>
        <v>0.573120280312436</v>
      </c>
      <c r="AJ266" s="120" t="n">
        <f aca="false">J251/$W279</f>
        <v>0.551540103579173</v>
      </c>
      <c r="AK266" s="120" t="n">
        <f aca="false">K251/$W279</f>
        <v>0.496386093221256</v>
      </c>
      <c r="AL266" s="120" t="n">
        <f aca="false">L251/$W279</f>
        <v>0.471566788560193</v>
      </c>
      <c r="AM266" s="120" t="n">
        <f aca="false">M251/$W279</f>
        <v>0.447988449132183</v>
      </c>
      <c r="AN266" s="120" t="n">
        <f aca="false">N251/$W279</f>
        <v>0.41438931544727</v>
      </c>
      <c r="AO266" s="120" t="n">
        <f aca="false">O251/$W279</f>
        <v>0.393669849674906</v>
      </c>
      <c r="AP266" s="120" t="n">
        <f aca="false">P251/$W279</f>
        <v>0.373986357191161</v>
      </c>
      <c r="AQ266" s="120" t="n">
        <f aca="false">Q251/$W279</f>
        <v>0.355287039331603</v>
      </c>
      <c r="AR266" s="120" t="n">
        <f aca="false">R251/$W279</f>
        <v>0.337522687365023</v>
      </c>
      <c r="AS266" s="11"/>
    </row>
    <row r="267" s="3" customFormat="true" ht="11.25" hidden="false" customHeight="false" outlineLevel="0" collapsed="false">
      <c r="B267" s="47"/>
      <c r="C267" s="47"/>
      <c r="D267" s="47"/>
      <c r="E267" s="47"/>
      <c r="F267" s="47"/>
      <c r="G267" s="47"/>
      <c r="H267" s="47"/>
      <c r="I267" s="47"/>
      <c r="K267" s="84" t="n">
        <f aca="false">J251*(1+K268/100*5)</f>
        <v>124.096523305314</v>
      </c>
      <c r="L267" s="84" t="n">
        <f aca="false">K267*(1+L268/100*5)</f>
        <v>118.015793663354</v>
      </c>
      <c r="M267" s="84" t="n">
        <f aca="false">L267*(1+M268/100*5)</f>
        <v>112.233019773849</v>
      </c>
      <c r="N267" s="84" t="n">
        <f aca="false">M267*(1+N268/100*5)</f>
        <v>103.983892820471</v>
      </c>
      <c r="O267" s="84" t="n">
        <f aca="false">N267*(1+O268/100*5)</f>
        <v>98.8886820722682</v>
      </c>
      <c r="P267" s="84" t="n">
        <f aca="false">O267*(1+P268/100*5)</f>
        <v>94.0431366507271</v>
      </c>
      <c r="Q267" s="84" t="n">
        <f aca="false">P267*(1+Q268/100*5)</f>
        <v>89.4350229548415</v>
      </c>
      <c r="R267" s="84" t="n">
        <f aca="false">Q267*(1+R268/100*5)</f>
        <v>85.0527068300542</v>
      </c>
      <c r="S267" s="28" t="s">
        <v>95</v>
      </c>
      <c r="T267" s="13"/>
      <c r="U267" s="111" t="str">
        <f aca="false">CONCATENATE(A251," Your forecast")</f>
        <v> Intensidade energética Sua previsão</v>
      </c>
      <c r="Z267" s="113"/>
      <c r="AA267" s="117" t="str">
        <f aca="false">CONCATENATE(A252," (0 - ",W292*(-1),"*(-1) % / yr)")</f>
        <v> Crescimento da intensidade energética (0 - 0*(-1) % / ano)</v>
      </c>
      <c r="AB267" s="120"/>
      <c r="AC267" s="120" t="n">
        <f aca="false">C252/1</f>
        <v>0.951730274334842</v>
      </c>
      <c r="AD267" s="120" t="n">
        <f aca="false">D252/1</f>
        <v>0.943944074195853</v>
      </c>
      <c r="AE267" s="120" t="n">
        <f aca="false">E252/1</f>
        <v>1.63585572067378</v>
      </c>
      <c r="AF267" s="120" t="n">
        <f aca="false">F252/1</f>
        <v>-1.27108749844453</v>
      </c>
      <c r="AG267" s="120" t="n">
        <f aca="false">G252/1</f>
        <v>-4.26323135880441</v>
      </c>
      <c r="AH267" s="120" t="n">
        <f aca="false">H252/1</f>
        <v>-0.988776580723873</v>
      </c>
      <c r="AI267" s="120" t="n">
        <f aca="false">I252/1</f>
        <v>-0.674232110894165</v>
      </c>
      <c r="AJ267" s="120" t="n">
        <f aca="false">J252/1</f>
        <v>-0.753076709185677</v>
      </c>
      <c r="AK267" s="120" t="n">
        <f aca="false">K252/1</f>
        <v>-2</v>
      </c>
      <c r="AL267" s="120" t="n">
        <f aca="false">L252/1</f>
        <v>-1</v>
      </c>
      <c r="AM267" s="120" t="n">
        <f aca="false">M252/1</f>
        <v>-1</v>
      </c>
      <c r="AN267" s="120" t="n">
        <f aca="false">N252/1</f>
        <v>-1.5</v>
      </c>
      <c r="AO267" s="120" t="n">
        <f aca="false">O252/1</f>
        <v>-1</v>
      </c>
      <c r="AP267" s="120" t="n">
        <f aca="false">P252/1</f>
        <v>-1</v>
      </c>
      <c r="AQ267" s="120" t="n">
        <f aca="false">Q252/1</f>
        <v>-1</v>
      </c>
      <c r="AR267" s="120" t="n">
        <f aca="false">R252/1</f>
        <v>-1</v>
      </c>
      <c r="AS267" s="11"/>
    </row>
    <row r="268" s="3" customFormat="true" ht="11.25" hidden="false" customHeight="false" outlineLevel="0" collapsed="false">
      <c r="B268" s="47"/>
      <c r="C268" s="47"/>
      <c r="D268" s="47"/>
      <c r="E268" s="47"/>
      <c r="F268" s="47"/>
      <c r="G268" s="47"/>
      <c r="H268" s="47"/>
      <c r="I268" s="47"/>
      <c r="K268" s="83" t="n">
        <f aca="false">K252</f>
        <v>-2</v>
      </c>
      <c r="L268" s="83" t="n">
        <f aca="false">L252*0.98</f>
        <v>-0.98</v>
      </c>
      <c r="M268" s="83" t="n">
        <f aca="false">M252*0.98</f>
        <v>-0.98</v>
      </c>
      <c r="N268" s="83" t="n">
        <f aca="false">N252*0.98</f>
        <v>-1.47</v>
      </c>
      <c r="O268" s="83" t="n">
        <f aca="false">O252*0.98</f>
        <v>-0.98</v>
      </c>
      <c r="P268" s="83" t="n">
        <f aca="false">P252*0.98</f>
        <v>-0.98</v>
      </c>
      <c r="Q268" s="83" t="n">
        <f aca="false">Q252*0.98</f>
        <v>-0.98</v>
      </c>
      <c r="R268" s="83" t="n">
        <f aca="false">R252*0.98</f>
        <v>-0.98</v>
      </c>
      <c r="S268" s="28" t="s">
        <v>25</v>
      </c>
      <c r="T268" s="13"/>
      <c r="U268" s="111" t="str">
        <f aca="false">CONCATENATE(A252," Your forecast")</f>
        <v> Crescimento da intensidade energética: sua previsão</v>
      </c>
      <c r="Z268" s="113"/>
      <c r="AA268" s="11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121"/>
      <c r="AS268" s="11"/>
    </row>
    <row r="269" s="3" customFormat="true" ht="11.25" hidden="false" customHeight="false" outlineLevel="0" collapsed="false">
      <c r="B269" s="47"/>
      <c r="C269" s="47"/>
      <c r="D269" s="47"/>
      <c r="E269" s="47"/>
      <c r="F269" s="47"/>
      <c r="G269" s="47"/>
      <c r="H269" s="47"/>
      <c r="I269" s="47"/>
      <c r="K269" s="83" t="n">
        <f aca="false">K253</f>
        <v>41</v>
      </c>
      <c r="L269" s="83" t="n">
        <f aca="false">L253*0.98</f>
        <v>39.2</v>
      </c>
      <c r="M269" s="83" t="n">
        <f aca="false">M253*0.98</f>
        <v>38.22</v>
      </c>
      <c r="N269" s="83" t="n">
        <f aca="false">N253*0.98</f>
        <v>37.73</v>
      </c>
      <c r="O269" s="83" t="n">
        <f aca="false">O253*0.98</f>
        <v>35.77</v>
      </c>
      <c r="P269" s="83" t="n">
        <f aca="false">P253*0.98</f>
        <v>34.3</v>
      </c>
      <c r="Q269" s="83" t="n">
        <f aca="false">Q253*0.98</f>
        <v>33.81</v>
      </c>
      <c r="R269" s="83" t="n">
        <f aca="false">R253*0.98</f>
        <v>32.83</v>
      </c>
      <c r="S269" s="28" t="s">
        <v>44</v>
      </c>
      <c r="T269" s="13"/>
      <c r="U269" s="111" t="str">
        <f aca="false">CONCATENATE(A253," Your forecast")</f>
        <v> % de petróleo Sua previsão</v>
      </c>
      <c r="Z269" s="113"/>
      <c r="AA269" s="122" t="s">
        <v>7</v>
      </c>
      <c r="AB269" s="118" t="n">
        <v>1970</v>
      </c>
      <c r="AC269" s="118" t="n">
        <v>1975</v>
      </c>
      <c r="AD269" s="118" t="n">
        <v>1980</v>
      </c>
      <c r="AE269" s="118" t="n">
        <v>1985</v>
      </c>
      <c r="AF269" s="118" t="n">
        <v>1990</v>
      </c>
      <c r="AG269" s="118" t="n">
        <v>1995</v>
      </c>
      <c r="AH269" s="118" t="n">
        <v>2000</v>
      </c>
      <c r="AI269" s="118" t="n">
        <v>2005</v>
      </c>
      <c r="AJ269" s="118" t="n">
        <v>2010</v>
      </c>
      <c r="AK269" s="118" t="n">
        <v>2015</v>
      </c>
      <c r="AL269" s="118" t="n">
        <v>2020</v>
      </c>
      <c r="AM269" s="118" t="n">
        <v>2025</v>
      </c>
      <c r="AN269" s="118" t="n">
        <v>2030</v>
      </c>
      <c r="AO269" s="118" t="n">
        <v>2035</v>
      </c>
      <c r="AP269" s="118" t="n">
        <v>2040</v>
      </c>
      <c r="AQ269" s="118" t="n">
        <v>2045</v>
      </c>
      <c r="AR269" s="119" t="n">
        <v>2050</v>
      </c>
      <c r="AS269" s="11"/>
    </row>
    <row r="270" s="3" customFormat="true" ht="11.25" hidden="false" customHeight="false" outlineLevel="0" collapsed="false">
      <c r="B270" s="47"/>
      <c r="C270" s="47"/>
      <c r="D270" s="47"/>
      <c r="E270" s="47"/>
      <c r="F270" s="47"/>
      <c r="G270" s="47"/>
      <c r="H270" s="47"/>
      <c r="I270" s="47"/>
      <c r="K270" s="83" t="n">
        <f aca="false">K254</f>
        <v>37</v>
      </c>
      <c r="L270" s="83" t="n">
        <f aca="false">L254*0.98</f>
        <v>38.22</v>
      </c>
      <c r="M270" s="83" t="n">
        <f aca="false">M254*0.98</f>
        <v>39.2</v>
      </c>
      <c r="N270" s="83" t="n">
        <f aca="false">N254*0.98</f>
        <v>40.18</v>
      </c>
      <c r="O270" s="83" t="n">
        <f aca="false">O254*0.98</f>
        <v>38.22</v>
      </c>
      <c r="P270" s="83" t="n">
        <f aca="false">P254*0.98</f>
        <v>36.26</v>
      </c>
      <c r="Q270" s="83" t="n">
        <f aca="false">Q254*0.98</f>
        <v>33.81</v>
      </c>
      <c r="R270" s="83" t="n">
        <f aca="false">R254*0.98</f>
        <v>30.38</v>
      </c>
      <c r="S270" s="28" t="s">
        <v>44</v>
      </c>
      <c r="T270" s="13"/>
      <c r="U270" s="111" t="str">
        <f aca="false">CONCATENATE(A254," Your forecast")</f>
        <v> % de gás Sua previsão</v>
      </c>
      <c r="Z270" s="113"/>
      <c r="AA270" s="122" t="str">
        <f aca="false">CONCATENATE(J145," (0 - ",W281," T$ / yr)")</f>
        <v> PIB ROW calculado a partir da sua previsão (0 - 25 T$/ano)</v>
      </c>
      <c r="AB270" s="98"/>
      <c r="AC270" s="98"/>
      <c r="AD270" s="98"/>
      <c r="AE270" s="98"/>
      <c r="AF270" s="98"/>
      <c r="AG270" s="98"/>
      <c r="AH270" s="98"/>
      <c r="AI270" s="98"/>
      <c r="AJ270" s="120"/>
      <c r="AK270" s="120" t="n">
        <f aca="false">K145/$W281</f>
        <v>0.409731241230445</v>
      </c>
      <c r="AL270" s="120" t="n">
        <f aca="false">L145/$W281</f>
        <v>0.467684467544132</v>
      </c>
      <c r="AM270" s="120" t="n">
        <f aca="false">M145/$W281</f>
        <v>0.541107873219357</v>
      </c>
      <c r="AN270" s="120" t="n">
        <f aca="false">N145/$W281</f>
        <v>0.615393406007619</v>
      </c>
      <c r="AO270" s="120" t="n">
        <f aca="false">O145/$W281</f>
        <v>0.691146032754243</v>
      </c>
      <c r="AP270" s="120" t="n">
        <f aca="false">P145/$W281</f>
        <v>0.767013435274996</v>
      </c>
      <c r="AQ270" s="120" t="n">
        <f aca="false">Q145/$W281</f>
        <v>0.84362268151937</v>
      </c>
      <c r="AR270" s="120" t="n">
        <f aca="false">R145/$W281</f>
        <v>0.918286399851418</v>
      </c>
      <c r="AS270" s="11"/>
    </row>
    <row r="271" s="3" customFormat="true" ht="11.25" hidden="false" customHeight="true" outlineLevel="0" collapsed="false">
      <c r="B271" s="47"/>
      <c r="C271" s="47"/>
      <c r="D271" s="47"/>
      <c r="E271" s="47"/>
      <c r="F271" s="47"/>
      <c r="G271" s="47"/>
      <c r="H271" s="47"/>
      <c r="I271" s="47"/>
      <c r="K271" s="83" t="n">
        <f aca="false">K255</f>
        <v>9.46191044870352</v>
      </c>
      <c r="L271" s="83" t="n">
        <f aca="false">L255*0.98</f>
        <v>10.2884549445467</v>
      </c>
      <c r="M271" s="83" t="n">
        <f aca="false">M255*0.98</f>
        <v>12.74</v>
      </c>
      <c r="N271" s="83" t="n">
        <f aca="false">N255*0.98</f>
        <v>14.7</v>
      </c>
      <c r="O271" s="83" t="n">
        <f aca="false">O255*0.98</f>
        <v>17.64</v>
      </c>
      <c r="P271" s="83" t="n">
        <f aca="false">P255*0.98</f>
        <v>20.58</v>
      </c>
      <c r="Q271" s="83" t="n">
        <f aca="false">Q255*0.98</f>
        <v>24.99</v>
      </c>
      <c r="R271" s="83" t="n">
        <f aca="false">R255*0.98</f>
        <v>29.4</v>
      </c>
      <c r="S271" s="28" t="s">
        <v>44</v>
      </c>
      <c r="T271" s="13"/>
      <c r="U271" s="111" t="str">
        <f aca="false">CONCATENATE(A255," Your forecast")</f>
        <v> % de energias renováveis Sua previsão</v>
      </c>
      <c r="V271" s="123" t="s">
        <v>102</v>
      </c>
      <c r="W271" s="123"/>
      <c r="X271" s="123"/>
      <c r="Y271" s="123"/>
      <c r="Z271" s="113"/>
      <c r="AA271" s="122" t="str">
        <f aca="false">CONCATENATE(A250," (0 - ",W280," Mtoe / yr), Your forecast")</f>
        <v> Consumo de energia (0 - 4000 Mtoe/ano), sua previsão</v>
      </c>
      <c r="AB271" s="98"/>
      <c r="AC271" s="98"/>
      <c r="AD271" s="98"/>
      <c r="AE271" s="98"/>
      <c r="AF271" s="98"/>
      <c r="AG271" s="98"/>
      <c r="AH271" s="98"/>
      <c r="AI271" s="98"/>
      <c r="AJ271" s="120"/>
      <c r="AK271" s="120" t="n">
        <f aca="false">K266/$W280</f>
        <v>0.317788890789182</v>
      </c>
      <c r="AL271" s="120" t="n">
        <f aca="false">L266/$W280</f>
        <v>0.344963460132773</v>
      </c>
      <c r="AM271" s="120" t="n">
        <f aca="false">M266/$W280</f>
        <v>0.379563566467585</v>
      </c>
      <c r="AN271" s="120" t="n">
        <f aca="false">N266/$W280</f>
        <v>0.399943762329507</v>
      </c>
      <c r="AO271" s="120" t="n">
        <f aca="false">O266/$W280</f>
        <v>0.427165751865899</v>
      </c>
      <c r="AP271" s="120" t="n">
        <f aca="false">P266/$W280</f>
        <v>0.450827183165688</v>
      </c>
      <c r="AQ271" s="120" t="n">
        <f aca="false">Q266/$W280</f>
        <v>0.471558836793186</v>
      </c>
      <c r="AR271" s="120" t="n">
        <f aca="false">R266/$W280</f>
        <v>0.488142149703679</v>
      </c>
      <c r="AS271" s="11"/>
    </row>
    <row r="272" s="3" customFormat="true" ht="11.25" hidden="false" customHeight="true" outlineLevel="0" collapsed="false">
      <c r="B272" s="47"/>
      <c r="C272" s="47"/>
      <c r="D272" s="47"/>
      <c r="E272" s="47"/>
      <c r="F272" s="47"/>
      <c r="G272" s="47"/>
      <c r="H272" s="47"/>
      <c r="I272" s="47"/>
      <c r="K272" s="83" t="n">
        <f aca="false">K256</f>
        <v>1.5</v>
      </c>
      <c r="L272" s="83" t="n">
        <f aca="false">L256*0.98</f>
        <v>1.225</v>
      </c>
      <c r="M272" s="83" t="n">
        <f aca="false">M256*0.98</f>
        <v>0.98</v>
      </c>
      <c r="N272" s="83" t="n">
        <f aca="false">N256*0.98</f>
        <v>0.98</v>
      </c>
      <c r="O272" s="83" t="n">
        <f aca="false">O256*0.98</f>
        <v>0.98</v>
      </c>
      <c r="P272" s="83" t="n">
        <f aca="false">P256*0.98</f>
        <v>0.98</v>
      </c>
      <c r="Q272" s="83" t="n">
        <f aca="false">Q256*0.98</f>
        <v>0.98</v>
      </c>
      <c r="R272" s="83" t="n">
        <f aca="false">R256*0.98</f>
        <v>0.999307020691202</v>
      </c>
      <c r="S272" s="28" t="s">
        <v>44</v>
      </c>
      <c r="T272" s="13"/>
      <c r="U272" s="111" t="str">
        <f aca="false">CONCATENATE(A256," Your forecast")</f>
        <v> % nuclear Sua previsão</v>
      </c>
      <c r="V272" s="123"/>
      <c r="W272" s="123"/>
      <c r="X272" s="123"/>
      <c r="Y272" s="123"/>
      <c r="Z272" s="113"/>
      <c r="AA272" s="122" t="str">
        <f aca="false">CONCATENATE(A251," (0 - ",W282," toe / M$), Your forecast")</f>
        <v> Intensidade energética (0 - 250 toe / M$), Sua previsão</v>
      </c>
      <c r="AB272" s="98"/>
      <c r="AC272" s="98"/>
      <c r="AD272" s="98"/>
      <c r="AE272" s="98"/>
      <c r="AF272" s="98"/>
      <c r="AG272" s="98"/>
      <c r="AH272" s="98"/>
      <c r="AI272" s="98"/>
      <c r="AJ272" s="98"/>
      <c r="AK272" s="120" t="n">
        <f aca="false">K267/$W282</f>
        <v>0.496386093221256</v>
      </c>
      <c r="AL272" s="120" t="n">
        <f aca="false">L267/$W282</f>
        <v>0.472063174653414</v>
      </c>
      <c r="AM272" s="120" t="n">
        <f aca="false">M267/$W282</f>
        <v>0.448932079095397</v>
      </c>
      <c r="AN272" s="120" t="n">
        <f aca="false">N267/$W282</f>
        <v>0.415935571281885</v>
      </c>
      <c r="AO272" s="120" t="n">
        <f aca="false">O267/$W282</f>
        <v>0.395554728289073</v>
      </c>
      <c r="AP272" s="120" t="n">
        <f aca="false">P267/$W282</f>
        <v>0.376172546602908</v>
      </c>
      <c r="AQ272" s="120" t="n">
        <f aca="false">Q267/$W282</f>
        <v>0.357740091819366</v>
      </c>
      <c r="AR272" s="120" t="n">
        <f aca="false">R267/$W282</f>
        <v>0.340210827320217</v>
      </c>
      <c r="AS272" s="11"/>
    </row>
    <row r="273" s="3" customFormat="true" ht="11.25" hidden="false" customHeight="false" outlineLevel="0" collapsed="false">
      <c r="B273" s="47"/>
      <c r="C273" s="47"/>
      <c r="D273" s="47"/>
      <c r="E273" s="47"/>
      <c r="F273" s="47"/>
      <c r="G273" s="47"/>
      <c r="H273" s="47"/>
      <c r="I273" s="47"/>
      <c r="K273" s="124" t="n">
        <f aca="false">100-SUM(K269:K272)</f>
        <v>11.0380895512965</v>
      </c>
      <c r="L273" s="124" t="n">
        <f aca="false">100-SUM(L269:L272)</f>
        <v>11.0665450554533</v>
      </c>
      <c r="M273" s="124" t="n">
        <f aca="false">100-SUM(M269:M272)</f>
        <v>8.86</v>
      </c>
      <c r="N273" s="124" t="n">
        <f aca="false">100-SUM(N269:N272)</f>
        <v>6.41</v>
      </c>
      <c r="O273" s="124" t="n">
        <f aca="false">100-SUM(O269:O272)</f>
        <v>7.39</v>
      </c>
      <c r="P273" s="124" t="n">
        <f aca="false">100-SUM(P269:P272)</f>
        <v>7.88000000000001</v>
      </c>
      <c r="Q273" s="124" t="n">
        <f aca="false">100-SUM(Q269:Q272)</f>
        <v>6.41</v>
      </c>
      <c r="R273" s="124" t="n">
        <f aca="false">100-SUM(R269:R272)</f>
        <v>6.3906929793088</v>
      </c>
      <c r="S273" s="28" t="s">
        <v>44</v>
      </c>
      <c r="T273" s="13"/>
      <c r="U273" s="111" t="str">
        <f aca="false">CONCATENATE(A257," Your forecast")</f>
        <v> % carvão Sua previsão</v>
      </c>
      <c r="Z273" s="113"/>
      <c r="AA273" s="122"/>
      <c r="AB273" s="98"/>
      <c r="AC273" s="98"/>
      <c r="AD273" s="98"/>
      <c r="AE273" s="98"/>
      <c r="AF273" s="98"/>
      <c r="AG273" s="98"/>
      <c r="AH273" s="98"/>
      <c r="AI273" s="98"/>
      <c r="AS273" s="11"/>
    </row>
    <row r="274" s="3" customFormat="true" ht="11.25" hidden="false" customHeight="false" outlineLevel="0" collapsed="false">
      <c r="B274" s="47"/>
      <c r="C274" s="47"/>
      <c r="D274" s="47"/>
      <c r="E274" s="47"/>
      <c r="F274" s="47"/>
      <c r="G274" s="107"/>
      <c r="H274" s="107"/>
      <c r="I274" s="107"/>
      <c r="J274" s="107"/>
      <c r="K274" s="125" t="s">
        <v>103</v>
      </c>
      <c r="L274" s="107"/>
      <c r="M274" s="107"/>
      <c r="N274" s="107"/>
      <c r="O274" s="107"/>
      <c r="P274" s="107"/>
      <c r="Q274" s="107"/>
      <c r="R274" s="107"/>
      <c r="T274" s="13"/>
      <c r="V274" s="3" t="s">
        <v>35</v>
      </c>
      <c r="Z274" s="113"/>
      <c r="AA274" s="122"/>
      <c r="AB274" s="98"/>
      <c r="AC274" s="98"/>
      <c r="AD274" s="98"/>
      <c r="AE274" s="98"/>
      <c r="AF274" s="98"/>
      <c r="AG274" s="98"/>
      <c r="AH274" s="98"/>
      <c r="AI274" s="98"/>
      <c r="AS274" s="11"/>
    </row>
    <row r="275" s="3" customFormat="true" ht="28.3" hidden="false" customHeight="false" outlineLevel="0" collapsed="false">
      <c r="B275" s="47"/>
      <c r="C275" s="47"/>
      <c r="D275" s="47"/>
      <c r="E275" s="47"/>
      <c r="F275" s="47"/>
      <c r="T275" s="13"/>
      <c r="U275" s="53" t="s">
        <v>37</v>
      </c>
      <c r="V275" s="54" t="s">
        <v>38</v>
      </c>
      <c r="W275" s="54" t="s">
        <v>39</v>
      </c>
      <c r="X275" s="55"/>
      <c r="Y275" s="55"/>
      <c r="Z275" s="113"/>
      <c r="AA275" s="122"/>
      <c r="AB275" s="98"/>
      <c r="AC275" s="98"/>
      <c r="AD275" s="98"/>
      <c r="AE275" s="98"/>
      <c r="AF275" s="98"/>
      <c r="AG275" s="98"/>
      <c r="AH275" s="98"/>
      <c r="AI275" s="98"/>
      <c r="AS275" s="11"/>
    </row>
    <row r="276" s="3" customFormat="true" ht="11.25" hidden="false" customHeight="false" outlineLevel="0" collapsed="false">
      <c r="B276" s="47"/>
      <c r="C276" s="47"/>
      <c r="D276" s="47"/>
      <c r="E276" s="47"/>
      <c r="F276" s="47"/>
      <c r="T276" s="13"/>
      <c r="V276" s="96" t="s">
        <v>104</v>
      </c>
      <c r="W276" s="96" t="s">
        <v>105</v>
      </c>
      <c r="Z276" s="113"/>
      <c r="AA276" s="126"/>
      <c r="AB276" s="127"/>
      <c r="AC276" s="127"/>
      <c r="AD276" s="127"/>
      <c r="AE276" s="127"/>
      <c r="AF276" s="127"/>
      <c r="AG276" s="127"/>
      <c r="AH276" s="127"/>
      <c r="AI276" s="127"/>
      <c r="AS276" s="11"/>
    </row>
    <row r="277" customFormat="false" ht="11.25" hidden="false" customHeight="false" outlineLevel="0" collapsed="false">
      <c r="B277" s="107"/>
      <c r="C277" s="107"/>
      <c r="D277" s="107"/>
      <c r="E277" s="107"/>
      <c r="F277" s="107"/>
      <c r="T277" s="13"/>
      <c r="U277" s="128" t="str">
        <f aca="false">AA264</f>
        <v> Consumo de energia (0 - 4000 Mtoe / ano)</v>
      </c>
      <c r="V277" s="129" t="n">
        <v>4000</v>
      </c>
      <c r="W277" s="70" t="n">
        <f aca="false">W280</f>
        <v>4000</v>
      </c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customFormat="false" ht="11.25" hidden="false" customHeight="false" outlineLevel="0" collapsed="false"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T278" s="13"/>
      <c r="U278" s="128" t="str">
        <f aca="false">AA265</f>
        <v> PIB Resto do Mundo (0 - 25 trilhões de dólares/ano)</v>
      </c>
      <c r="V278" s="129" t="n">
        <v>25</v>
      </c>
      <c r="W278" s="70" t="n">
        <f aca="false">W281</f>
        <v>25</v>
      </c>
    </row>
    <row r="279" customFormat="false" ht="11.25" hidden="false" customHeight="false" outlineLevel="0" collapsed="false"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T279" s="13"/>
      <c r="U279" s="128" t="str">
        <f aca="false">AA266</f>
        <v> Intensidade energética (0 - 250 toe / M$)</v>
      </c>
      <c r="V279" s="129" t="n">
        <v>250</v>
      </c>
      <c r="W279" s="70" t="n">
        <f aca="false">W282</f>
        <v>250</v>
      </c>
    </row>
    <row r="280" customFormat="false" ht="11.25" hidden="false" customHeight="false" outlineLevel="0" collapsed="false"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T280" s="13"/>
      <c r="U280" s="130" t="str">
        <f aca="false">AA271</f>
        <v> Consumo de energia (0 - 4000 Mtoe/ano), sua previsão</v>
      </c>
      <c r="W280" s="4" t="n">
        <v>4000</v>
      </c>
    </row>
    <row r="281" customFormat="false" ht="11.25" hidden="false" customHeight="false" outlineLevel="0" collapsed="false"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T281" s="13"/>
      <c r="U281" s="130" t="str">
        <f aca="false">AA270</f>
        <v> PIB ROW calculado a partir da sua previsão (0 - 25 T$/ano)</v>
      </c>
      <c r="W281" s="4" t="n">
        <v>25</v>
      </c>
    </row>
    <row r="282" customFormat="false" ht="11.25" hidden="false" customHeight="false" outlineLevel="0" collapsed="false"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T282" s="13"/>
      <c r="U282" s="130" t="str">
        <f aca="false">AA272</f>
        <v> Intensidade energética (0 - 250 toe / M$), Sua previsão</v>
      </c>
      <c r="W282" s="4" t="n">
        <v>250</v>
      </c>
    </row>
    <row r="283" customFormat="false" ht="11.25" hidden="false" customHeight="false" outlineLevel="0" collapsed="false"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T283" s="13"/>
    </row>
    <row r="284" customFormat="false" ht="11.25" hidden="false" customHeight="false" outlineLevel="0" collapsed="false"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T284" s="13"/>
    </row>
    <row r="285" s="3" customFormat="true" ht="11.25" hidden="false" customHeight="false" outlineLevel="0" collapsed="false"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T285" s="13"/>
    </row>
    <row r="286" s="3" customFormat="true" ht="11.25" hidden="false" customHeight="false" outlineLevel="0" collapsed="false"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T286" s="13"/>
    </row>
    <row r="287" s="3" customFormat="true" ht="11.25" hidden="false" customHeight="false" outlineLevel="0" collapsed="false"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T287" s="13"/>
    </row>
    <row r="288" s="3" customFormat="true" ht="11.25" hidden="false" customHeight="false" outlineLevel="0" collapsed="false">
      <c r="T288" s="13"/>
    </row>
    <row r="289" s="3" customFormat="true" ht="11.25" hidden="false" customHeight="false" outlineLevel="0" collapsed="false">
      <c r="T289" s="13"/>
    </row>
    <row r="290" s="3" customFormat="true" ht="11.25" hidden="false" customHeight="false" outlineLevel="0" collapsed="false">
      <c r="T290" s="13"/>
    </row>
    <row r="291" s="3" customFormat="true" ht="11.25" hidden="false" customHeight="false" outlineLevel="0" collapsed="false">
      <c r="T291" s="13"/>
    </row>
    <row r="292" customFormat="false" ht="11.25" hidden="false" customHeight="false" outlineLevel="0" collapsed="false">
      <c r="T292" s="13"/>
    </row>
    <row r="293" customFormat="false" ht="11.25" hidden="false" customHeight="false" outlineLevel="0" collapsed="false">
      <c r="T293" s="13"/>
    </row>
    <row r="294" s="3" customFormat="true" ht="11.25" hidden="false" customHeight="false" outlineLevel="0" collapsed="false">
      <c r="T294" s="13"/>
    </row>
    <row r="295" s="3" customFormat="true" ht="11.25" hidden="false" customHeight="false" outlineLevel="0" collapsed="false">
      <c r="S295" s="50"/>
      <c r="T295" s="13"/>
      <c r="U295" s="50"/>
    </row>
    <row r="296" s="3" customFormat="true" ht="11.25" hidden="false" customHeight="false" outlineLevel="0" collapsed="false">
      <c r="T296" s="13"/>
    </row>
    <row r="297" s="3" customFormat="true" ht="11.25" hidden="false" customHeight="false" outlineLevel="0" collapsed="false">
      <c r="T297" s="13"/>
    </row>
    <row r="298" customFormat="false" ht="11.25" hidden="false" customHeight="false" outlineLevel="0" collapsed="false">
      <c r="T298" s="13"/>
    </row>
    <row r="299" customFormat="false" ht="11.25" hidden="false" customHeight="false" outlineLevel="0" collapsed="false">
      <c r="T299" s="13"/>
    </row>
    <row r="300" customFormat="false" ht="12.65" hidden="false" customHeight="false" outlineLevel="0" collapsed="false">
      <c r="A300" s="61" t="s">
        <v>106</v>
      </c>
      <c r="T300" s="13"/>
    </row>
    <row r="301" customFormat="false" ht="12.65" hidden="false" customHeight="false" outlineLevel="0" collapsed="false">
      <c r="A301" s="23" t="str">
        <f aca="false">CONCATENATE(A300,". Shares of total energy use - ",A5," 1970 to 2050")</f>
        <v>Gráfico 7. Participação no consumo total de energia - Resto do Mundo, de 1970 a 2050</v>
      </c>
      <c r="T301" s="13"/>
      <c r="V301" s="95"/>
    </row>
    <row r="302" customFormat="false" ht="12.65" hidden="false" customHeight="false" outlineLevel="0" collapsed="false">
      <c r="T302" s="13"/>
      <c r="V302" s="95"/>
      <c r="AA302" s="52"/>
    </row>
    <row r="303" customFormat="false" ht="12.65" hidden="false" customHeight="false" outlineLevel="0" collapsed="false">
      <c r="T303" s="13"/>
      <c r="V303" s="95"/>
      <c r="AB303" s="131"/>
      <c r="AC303" s="131"/>
      <c r="AD303" s="131"/>
      <c r="AE303" s="131"/>
      <c r="AF303" s="131"/>
      <c r="AG303" s="131"/>
      <c r="AH303" s="131"/>
      <c r="AI303" s="131"/>
      <c r="AJ303" s="131"/>
    </row>
    <row r="304" customFormat="false" ht="12.65" hidden="false" customHeight="false" outlineLevel="0" collapsed="false">
      <c r="T304" s="13"/>
      <c r="V304" s="95"/>
      <c r="AB304" s="131"/>
      <c r="AC304" s="131"/>
      <c r="AD304" s="131"/>
      <c r="AE304" s="131"/>
      <c r="AF304" s="131"/>
      <c r="AG304" s="131"/>
      <c r="AH304" s="131"/>
      <c r="AI304" s="131"/>
      <c r="AJ304" s="131"/>
    </row>
    <row r="305" customFormat="false" ht="12.65" hidden="false" customHeight="false" outlineLevel="0" collapsed="false">
      <c r="T305" s="13"/>
      <c r="V305" s="95"/>
      <c r="AB305" s="131"/>
      <c r="AC305" s="131"/>
      <c r="AD305" s="131"/>
      <c r="AE305" s="131"/>
      <c r="AF305" s="131"/>
      <c r="AG305" s="131"/>
      <c r="AH305" s="131"/>
      <c r="AI305" s="131"/>
      <c r="AJ305" s="131"/>
    </row>
    <row r="306" customFormat="false" ht="12.65" hidden="false" customHeight="false" outlineLevel="0" collapsed="false">
      <c r="T306" s="13"/>
      <c r="V306" s="95"/>
      <c r="AB306" s="131"/>
      <c r="AC306" s="131"/>
      <c r="AD306" s="131"/>
      <c r="AE306" s="131"/>
      <c r="AF306" s="131"/>
      <c r="AG306" s="131"/>
      <c r="AH306" s="131"/>
      <c r="AI306" s="131"/>
      <c r="AJ306" s="131"/>
    </row>
    <row r="307" customFormat="false" ht="12.65" hidden="false" customHeight="false" outlineLevel="0" collapsed="false">
      <c r="T307" s="13"/>
      <c r="V307" s="95"/>
      <c r="AB307" s="131"/>
      <c r="AC307" s="131"/>
      <c r="AD307" s="131"/>
      <c r="AE307" s="131"/>
      <c r="AF307" s="131"/>
      <c r="AG307" s="131"/>
      <c r="AH307" s="131"/>
      <c r="AI307" s="131"/>
      <c r="AJ307" s="131"/>
    </row>
    <row r="308" customFormat="false" ht="12.65" hidden="false" customHeight="false" outlineLevel="0" collapsed="false">
      <c r="T308" s="13"/>
      <c r="V308" s="95"/>
      <c r="AB308" s="131"/>
      <c r="AC308" s="131"/>
      <c r="AD308" s="131"/>
      <c r="AE308" s="131"/>
      <c r="AF308" s="131"/>
      <c r="AG308" s="131"/>
      <c r="AH308" s="131"/>
      <c r="AI308" s="131"/>
      <c r="AJ308" s="131"/>
    </row>
    <row r="309" customFormat="false" ht="12.65" hidden="false" customHeight="false" outlineLevel="0" collapsed="false">
      <c r="T309" s="13"/>
      <c r="V309" s="95"/>
      <c r="AB309" s="131"/>
      <c r="AC309" s="131"/>
      <c r="AD309" s="131"/>
      <c r="AE309" s="131"/>
      <c r="AF309" s="131"/>
      <c r="AG309" s="131"/>
      <c r="AH309" s="131"/>
      <c r="AI309" s="131"/>
      <c r="AJ309" s="131"/>
    </row>
    <row r="310" customFormat="false" ht="12.65" hidden="false" customHeight="false" outlineLevel="0" collapsed="false">
      <c r="T310" s="13"/>
      <c r="V310" s="95"/>
      <c r="AB310" s="131"/>
      <c r="AC310" s="131"/>
      <c r="AD310" s="131"/>
      <c r="AE310" s="131"/>
      <c r="AF310" s="131"/>
      <c r="AG310" s="131"/>
      <c r="AH310" s="131"/>
      <c r="AI310" s="131"/>
      <c r="AJ310" s="131"/>
    </row>
    <row r="311" customFormat="false" ht="12.65" hidden="false" customHeight="false" outlineLevel="0" collapsed="false">
      <c r="T311" s="13"/>
      <c r="V311" s="95"/>
      <c r="AB311" s="131"/>
      <c r="AC311" s="131"/>
      <c r="AD311" s="131"/>
      <c r="AE311" s="131"/>
      <c r="AF311" s="131"/>
      <c r="AG311" s="131"/>
      <c r="AH311" s="131"/>
      <c r="AI311" s="131"/>
      <c r="AJ311" s="131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T314" s="13"/>
      <c r="V314" s="95"/>
    </row>
    <row r="315" customFormat="false" ht="12.65" hidden="false" customHeight="false" outlineLevel="0" collapsed="false">
      <c r="T315" s="13"/>
      <c r="V315" s="95"/>
    </row>
    <row r="316" customFormat="false" ht="12.65" hidden="false" customHeight="false" outlineLevel="0" collapsed="false">
      <c r="T316" s="13"/>
      <c r="V316" s="95"/>
    </row>
    <row r="317" customFormat="false" ht="12.65" hidden="false" customHeight="false" outlineLevel="0" collapsed="false">
      <c r="T317" s="13"/>
      <c r="V317" s="95"/>
    </row>
    <row r="318" customFormat="false" ht="12.65" hidden="false" customHeight="false" outlineLevel="0" collapsed="false">
      <c r="T318" s="13"/>
      <c r="V318" s="95"/>
    </row>
    <row r="319" customFormat="false" ht="12.65" hidden="false" customHeight="false" outlineLevel="0" collapsed="false">
      <c r="T319" s="13"/>
      <c r="V319" s="95"/>
    </row>
    <row r="320" customFormat="false" ht="12.65" hidden="false" customHeight="false" outlineLevel="0" collapsed="false">
      <c r="T320" s="13"/>
      <c r="V320" s="95"/>
    </row>
    <row r="321" customFormat="false" ht="12.65" hidden="false" customHeight="false" outlineLevel="0" collapsed="false">
      <c r="T321" s="13"/>
      <c r="V321" s="95"/>
    </row>
    <row r="322" customFormat="false" ht="12.65" hidden="false" customHeight="false" outlineLevel="0" collapsed="false">
      <c r="T322" s="13"/>
      <c r="V322" s="95"/>
    </row>
    <row r="323" customFormat="false" ht="12.65" hidden="false" customHeight="false" outlineLevel="0" collapsed="false">
      <c r="T323" s="13"/>
      <c r="V323" s="95"/>
    </row>
    <row r="324" customFormat="false" ht="12.65" hidden="false" customHeight="false" outlineLevel="0" collapsed="false">
      <c r="T324" s="13"/>
      <c r="V324" s="95"/>
    </row>
    <row r="325" customFormat="false" ht="12.65" hidden="false" customHeight="false" outlineLevel="0" collapsed="false">
      <c r="A325" s="61" t="s">
        <v>107</v>
      </c>
      <c r="T325" s="13"/>
      <c r="V325" s="95"/>
    </row>
    <row r="326" customFormat="false" ht="12.65" hidden="false" customHeight="false" outlineLevel="0" collapsed="false">
      <c r="A326" s="23" t="str">
        <f aca="false">CONCATENATE(A325,". Energy usages (Mtoe/yr) - ",A5," 1970 to 2050")</f>
        <v> Gráfico 8. Consumo de energia (Mtoe/ano) - Resto do Mundo, 1970 a 2050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T326" s="13"/>
    </row>
    <row r="327" customFormat="false" ht="11.25" hidden="false" customHeight="false" outlineLevel="0" collapsed="false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T334" s="13"/>
    </row>
    <row r="335" customFormat="false" ht="11.25" hidden="false" customHeight="false" outlineLevel="0" collapsed="false">
      <c r="A335" s="132"/>
      <c r="B335" s="131"/>
      <c r="C335" s="131"/>
      <c r="D335" s="131"/>
      <c r="E335" s="131"/>
      <c r="F335" s="131"/>
      <c r="G335" s="131"/>
      <c r="H335" s="131"/>
      <c r="I335" s="131"/>
      <c r="T335" s="13"/>
    </row>
    <row r="336" customFormat="false" ht="11.25" hidden="false" customHeight="false" outlineLevel="0" collapsed="false">
      <c r="A336" s="132"/>
      <c r="B336" s="131"/>
      <c r="C336" s="131"/>
      <c r="D336" s="131"/>
      <c r="E336" s="131"/>
      <c r="F336" s="131"/>
      <c r="G336" s="131"/>
      <c r="H336" s="131"/>
      <c r="I336" s="131"/>
      <c r="T336" s="13"/>
    </row>
    <row r="337" customFormat="false" ht="11.25" hidden="false" customHeight="false" outlineLevel="0" collapsed="false">
      <c r="A337" s="132"/>
      <c r="B337" s="131"/>
      <c r="C337" s="131"/>
      <c r="D337" s="131"/>
      <c r="E337" s="131"/>
      <c r="F337" s="131"/>
      <c r="G337" s="131"/>
      <c r="H337" s="131"/>
      <c r="I337" s="131"/>
      <c r="T337" s="13"/>
    </row>
    <row r="338" customFormat="false" ht="11.25" hidden="false" customHeight="false" outlineLevel="0" collapsed="false">
      <c r="A338" s="132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T338" s="13"/>
    </row>
    <row r="339" customFormat="false" ht="11.25" hidden="false" customHeight="false" outlineLevel="0" collapsed="false">
      <c r="A339" s="132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T339" s="13"/>
    </row>
    <row r="340" customFormat="false" ht="11.25" hidden="false" customHeight="false" outlineLevel="0" collapsed="false">
      <c r="A340" s="132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T340" s="13"/>
    </row>
    <row r="341" customFormat="false" ht="11.25" hidden="false" customHeight="false" outlineLevel="0" collapsed="false">
      <c r="A341" s="132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T341" s="13"/>
    </row>
    <row r="342" customFormat="false" ht="11.25" hidden="false" customHeight="false" outlineLevel="0" collapsed="false">
      <c r="A342" s="132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T342" s="13"/>
    </row>
    <row r="343" customFormat="false" ht="11.25" hidden="false" customHeight="false" outlineLevel="0" collapsed="false">
      <c r="A343" s="132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T343" s="13"/>
    </row>
    <row r="344" customFormat="false" ht="11.25" hidden="false" customHeight="false" outlineLevel="0" collapsed="false">
      <c r="A344" s="132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T344" s="13"/>
    </row>
    <row r="345" customFormat="false" ht="11.25" hidden="false" customHeight="false" outlineLevel="0" collapsed="false">
      <c r="A345" s="132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T345" s="13"/>
    </row>
    <row r="346" customFormat="false" ht="11.25" hidden="false" customHeight="false" outlineLevel="0" collapsed="false">
      <c r="T346" s="13"/>
    </row>
    <row r="347" customFormat="false" ht="12.65" hidden="false" customHeight="false" outlineLevel="0" collapsed="false">
      <c r="T347" s="13"/>
      <c r="V347" s="95"/>
      <c r="AC347" s="95"/>
    </row>
    <row r="348" customFormat="false" ht="12.65" hidden="false" customHeight="false" outlineLevel="0" collapsed="false">
      <c r="B348" s="95"/>
      <c r="T348" s="13"/>
    </row>
    <row r="349" customFormat="false" ht="12.65" hidden="false" customHeight="false" outlineLevel="0" collapsed="false">
      <c r="B349" s="95"/>
      <c r="T349" s="13"/>
    </row>
    <row r="350" customFormat="false" ht="12.65" hidden="false" customHeight="false" outlineLevel="0" collapsed="false">
      <c r="B350" s="95"/>
      <c r="T350" s="13"/>
    </row>
    <row r="351" customFormat="false" ht="12.65" hidden="false" customHeight="false" outlineLevel="0" collapsed="false">
      <c r="B351" s="95"/>
      <c r="T351" s="13"/>
    </row>
    <row r="352" customFormat="false" ht="12.65" hidden="false" customHeight="false" outlineLevel="0" collapsed="false">
      <c r="B352" s="95"/>
      <c r="T352" s="13"/>
    </row>
    <row r="353" customFormat="false" ht="11.25" hidden="false" customHeight="false" outlineLevel="0" collapsed="false">
      <c r="T353" s="13"/>
    </row>
    <row r="354" customFormat="false" ht="12.65" hidden="false" customHeight="false" outlineLevel="0" collapsed="false">
      <c r="A354" s="61" t="s">
        <v>108</v>
      </c>
      <c r="T354" s="13"/>
    </row>
    <row r="355" customFormat="false" ht="12.65" hidden="false" customHeight="false" outlineLevel="0" collapsed="false">
      <c r="A355" s="23" t="str">
        <f aca="false">CONCATENATE(A354,". CO2 Emissions from Energy Use - ",A5," 1970 to 2050")</f>
        <v> Gráfico 9. Emissões de CO2 provenientes do uso de energia - Resto do Mundo, 1970 a 2050</v>
      </c>
      <c r="T355" s="13"/>
    </row>
    <row r="356" customFormat="fals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  <c r="U356" s="103" t="s">
        <v>109</v>
      </c>
    </row>
    <row r="357" customFormat="false" ht="11.25" hidden="false" customHeight="false" outlineLevel="0" collapsed="false">
      <c r="A357" s="63" t="s">
        <v>110</v>
      </c>
      <c r="B357" s="62" t="n">
        <v>842.250933333333</v>
      </c>
      <c r="C357" s="62" t="n">
        <v>1066.868</v>
      </c>
      <c r="D357" s="62" t="n">
        <v>1353.528</v>
      </c>
      <c r="E357" s="62" t="n">
        <v>1454.37013333333</v>
      </c>
      <c r="F357" s="62" t="n">
        <v>1654.5496</v>
      </c>
      <c r="G357" s="62" t="n">
        <v>2203.1768</v>
      </c>
      <c r="H357" s="62" t="n">
        <v>2256.32293333333</v>
      </c>
      <c r="I357" s="62" t="n">
        <v>2657.77013333333</v>
      </c>
      <c r="J357" s="62" t="n">
        <v>2956.83226666667</v>
      </c>
      <c r="K357" s="27" t="n">
        <f aca="false">K365*44/12</f>
        <v>3055.4188670367</v>
      </c>
      <c r="L357" s="27" t="n">
        <f aca="false">L365*44/12</f>
        <v>3310.76654663981</v>
      </c>
      <c r="M357" s="27" t="n">
        <f aca="false">M365*44/12</f>
        <v>3500.69280511352</v>
      </c>
      <c r="N357" s="27" t="n">
        <f aca="false">N365*44/12</f>
        <v>3544.39670756317</v>
      </c>
      <c r="O357" s="27" t="n">
        <f aca="false">O365*44/12</f>
        <v>3684.3465911501</v>
      </c>
      <c r="P357" s="27" t="n">
        <f aca="false">P365*44/12</f>
        <v>3772.11587858495</v>
      </c>
      <c r="Q357" s="27" t="n">
        <f aca="false">Q365*44/12</f>
        <v>3708.54495703151</v>
      </c>
      <c r="R357" s="27" t="n">
        <f aca="false">R365*44/12</f>
        <v>3636.85136641397</v>
      </c>
      <c r="S357" s="28" t="str">
        <f aca="false"> EUA!S357</f>
        <v> MtCO2 / ano</v>
      </c>
      <c r="T357" s="13"/>
      <c r="U357" s="103" t="s">
        <v>85</v>
      </c>
    </row>
    <row r="358" customFormat="false" ht="11.25" hidden="false" customHeight="false" outlineLevel="0" collapsed="false">
      <c r="A358" s="63" t="str">
        <f aca="false">A250</f>
        <v> Consumo de energia</v>
      </c>
      <c r="B358" s="26" t="n">
        <f aca="false">B250</f>
        <v>306.245890706731</v>
      </c>
      <c r="C358" s="26" t="n">
        <f aca="false">C250</f>
        <v>413.50545011012</v>
      </c>
      <c r="D358" s="26" t="n">
        <f aca="false">D250</f>
        <v>543.48657312519</v>
      </c>
      <c r="E358" s="26" t="n">
        <f aca="false">E250</f>
        <v>679.727690816976</v>
      </c>
      <c r="F358" s="26" t="n">
        <f aca="false">F250</f>
        <v>781.753918779082</v>
      </c>
      <c r="G358" s="26" t="n">
        <f aca="false">G250</f>
        <v>749.777215964046</v>
      </c>
      <c r="H358" s="26" t="n">
        <f aca="false">H250</f>
        <v>799.457053528441</v>
      </c>
      <c r="I358" s="26" t="n">
        <f aca="false">I250</f>
        <v>993.421911671294</v>
      </c>
      <c r="J358" s="26" t="n">
        <f aca="false">J250</f>
        <v>1141.93363813838</v>
      </c>
      <c r="K358" s="27" t="n">
        <f aca="false">K250</f>
        <v>1271.15556315673</v>
      </c>
      <c r="L358" s="27" t="n">
        <f aca="false">L250</f>
        <v>1410.52561497467</v>
      </c>
      <c r="M358" s="27" t="n">
        <f aca="false">M250</f>
        <v>1554.77076912034</v>
      </c>
      <c r="N358" s="27" t="n">
        <f aca="false">N250</f>
        <v>1640.24213149837</v>
      </c>
      <c r="O358" s="27" t="n">
        <f aca="false">O250</f>
        <v>1755.00932082028</v>
      </c>
      <c r="P358" s="27" t="n">
        <f aca="false">P250</f>
        <v>1855.52607790489</v>
      </c>
      <c r="Q358" s="27" t="n">
        <f aca="false">Q250</f>
        <v>1944.31587427115</v>
      </c>
      <c r="R358" s="27" t="n">
        <f aca="false">R250</f>
        <v>2016.28170687747</v>
      </c>
      <c r="S358" s="28" t="str">
        <f aca="false"> EUA!S358</f>
        <v> Mtoe / ano</v>
      </c>
      <c r="T358" s="13"/>
    </row>
    <row r="359" customFormat="false" ht="11.25" hidden="false" customHeight="false" outlineLevel="0" collapsed="false">
      <c r="A359" s="63" t="str">
        <f aca="false">A134</f>
        <v> PIB ROW</v>
      </c>
      <c r="B359" s="133" t="n">
        <f aca="false">B134</f>
        <v>1.71672962325827</v>
      </c>
      <c r="C359" s="133" t="n">
        <f aca="false">C134</f>
        <v>2.21270221461053</v>
      </c>
      <c r="D359" s="133" t="n">
        <f aca="false">D134</f>
        <v>2.77716752329947</v>
      </c>
      <c r="E359" s="133" t="n">
        <f aca="false">E134</f>
        <v>3.21073261902302</v>
      </c>
      <c r="F359" s="133" t="n">
        <f aca="false">F134</f>
        <v>3.94327149646139</v>
      </c>
      <c r="G359" s="133" t="n">
        <f aca="false">G134</f>
        <v>4.80654804023953</v>
      </c>
      <c r="H359" s="133" t="n">
        <f aca="false">H134</f>
        <v>5.39158078488393</v>
      </c>
      <c r="I359" s="133" t="n">
        <f aca="false">I134</f>
        <v>6.93342703650082</v>
      </c>
      <c r="J359" s="133" t="n">
        <f aca="false">J134</f>
        <v>8.28178136623534</v>
      </c>
      <c r="K359" s="134" t="n">
        <f aca="false">K134</f>
        <v>10.2432810307611</v>
      </c>
      <c r="L359" s="134" t="n">
        <f aca="false">L134</f>
        <v>11.9645882550919</v>
      </c>
      <c r="M359" s="134" t="n">
        <f aca="false">M134</f>
        <v>13.8822397955318</v>
      </c>
      <c r="N359" s="134" t="n">
        <f aca="false">N134</f>
        <v>15.8328612283642</v>
      </c>
      <c r="O359" s="134" t="n">
        <f aca="false">O134</f>
        <v>17.8322959939103</v>
      </c>
      <c r="P359" s="134" t="n">
        <f aca="false">P134</f>
        <v>19.8459226356906</v>
      </c>
      <c r="Q359" s="134" t="n">
        <f aca="false">Q134</f>
        <v>21.8900850189072</v>
      </c>
      <c r="R359" s="134" t="n">
        <f aca="false">R134</f>
        <v>23.8950658116432</v>
      </c>
      <c r="S359" s="28" t="str">
        <f aca="false"> EUA!S359</f>
        <v> T$ / ano</v>
      </c>
      <c r="T359" s="13"/>
    </row>
    <row r="360" customFormat="false" ht="11.25" hidden="false" customHeight="false" outlineLevel="0" collapsed="false">
      <c r="A360" s="63" t="s">
        <v>112</v>
      </c>
      <c r="B360" s="135" t="n">
        <f aca="false">B255</f>
        <v>5.86673454835539</v>
      </c>
      <c r="C360" s="135" t="n">
        <f aca="false">C255</f>
        <v>5.66869954336124</v>
      </c>
      <c r="D360" s="135" t="n">
        <f aca="false">D255</f>
        <v>6.9424560390323</v>
      </c>
      <c r="E360" s="135" t="n">
        <f aca="false">E255</f>
        <v>6.72398988683217</v>
      </c>
      <c r="F360" s="135" t="n">
        <f aca="false">F255</f>
        <v>7.63350194115955</v>
      </c>
      <c r="G360" s="135" t="n">
        <f aca="false">G255</f>
        <v>8.74752462533911</v>
      </c>
      <c r="H360" s="135" t="n">
        <f aca="false">H255</f>
        <v>9.33172278464786</v>
      </c>
      <c r="I360" s="135" t="n">
        <f aca="false">I255</f>
        <v>8.84552661254713</v>
      </c>
      <c r="J360" s="135" t="n">
        <f aca="false">J255</f>
        <v>8.73496030660134</v>
      </c>
      <c r="K360" s="136" t="n">
        <f aca="false">K255</f>
        <v>9.46191044870352</v>
      </c>
      <c r="L360" s="136" t="n">
        <f aca="false">L255</f>
        <v>10.4984234128028</v>
      </c>
      <c r="M360" s="136" t="n">
        <f aca="false">M255</f>
        <v>13</v>
      </c>
      <c r="N360" s="136" t="n">
        <f aca="false">N255</f>
        <v>15</v>
      </c>
      <c r="O360" s="136" t="n">
        <f aca="false">O255</f>
        <v>18</v>
      </c>
      <c r="P360" s="136" t="n">
        <f aca="false">P255</f>
        <v>21</v>
      </c>
      <c r="Q360" s="136" t="n">
        <f aca="false">Q255</f>
        <v>25.5</v>
      </c>
      <c r="R360" s="136" t="n">
        <f aca="false">R255</f>
        <v>30</v>
      </c>
      <c r="S360" s="28" t="str">
        <f aca="false"> EUA!S360</f>
        <v> %</v>
      </c>
      <c r="T360" s="13"/>
    </row>
    <row r="361" customFormat="false" ht="11.25" hidden="false" customHeight="false" outlineLevel="0" collapsed="false">
      <c r="A361" s="63" t="s">
        <v>113</v>
      </c>
      <c r="B361" s="75" t="n">
        <f aca="false">B357/B358</f>
        <v>2.75024403230245</v>
      </c>
      <c r="C361" s="75" t="n">
        <f aca="false">C357/C358</f>
        <v>2.58005789214117</v>
      </c>
      <c r="D361" s="75" t="n">
        <f aca="false">D357/D358</f>
        <v>2.49045342963463</v>
      </c>
      <c r="E361" s="75" t="n">
        <f aca="false">E357/E358</f>
        <v>2.1396364352691</v>
      </c>
      <c r="F361" s="75" t="n">
        <f aca="false">F357/F358</f>
        <v>2.1164583384296</v>
      </c>
      <c r="G361" s="75" t="n">
        <f aca="false">G357/G358</f>
        <v>2.93844191726633</v>
      </c>
      <c r="H361" s="75" t="n">
        <f aca="false">H357/H358</f>
        <v>2.82231912693114</v>
      </c>
      <c r="I361" s="75" t="n">
        <f aca="false">I357/I358</f>
        <v>2.67536894657579</v>
      </c>
      <c r="J361" s="75" t="n">
        <f aca="false">J357/J358</f>
        <v>2.58932057688309</v>
      </c>
      <c r="K361" s="75" t="n">
        <f aca="false">K357/K358</f>
        <v>2.40365456093274</v>
      </c>
      <c r="L361" s="75" t="n">
        <f aca="false">L357/L358</f>
        <v>2.34718640448033</v>
      </c>
      <c r="M361" s="75" t="n">
        <f aca="false">M357/M358</f>
        <v>2.2515813100179</v>
      </c>
      <c r="N361" s="75" t="n">
        <f aca="false">N357/N358</f>
        <v>2.16089846706069</v>
      </c>
      <c r="O361" s="75" t="n">
        <f aca="false">O357/O358</f>
        <v>2.09933163741151</v>
      </c>
      <c r="P361" s="75" t="n">
        <f aca="false">P357/P358</f>
        <v>2.03290911591182</v>
      </c>
      <c r="Q361" s="75" t="n">
        <f aca="false">Q357/Q358</f>
        <v>1.90737781144831</v>
      </c>
      <c r="R361" s="75" t="n">
        <f aca="false">R357/R358</f>
        <v>1.80374168649588</v>
      </c>
      <c r="S361" s="28" t="str">
        <f aca="false"> EUA!S361</f>
        <v> tCO2 / dedo do pé</v>
      </c>
      <c r="T361" s="13"/>
    </row>
    <row r="362" customFormat="false" ht="11.25" hidden="false" customHeight="false" outlineLevel="0" collapsed="false">
      <c r="A362" s="63" t="s">
        <v>115</v>
      </c>
      <c r="K362" s="27" t="n">
        <f aca="false">K242*$D$375</f>
        <v>414.408246988539</v>
      </c>
      <c r="L362" s="27" t="n">
        <f aca="false">L242*$D$375</f>
        <v>448.628437471364</v>
      </c>
      <c r="M362" s="27" t="n">
        <f aca="false">M242*$D$375</f>
        <v>482.144041935322</v>
      </c>
      <c r="N362" s="27" t="n">
        <f aca="false">N242*$D$375</f>
        <v>502.128096498054</v>
      </c>
      <c r="O362" s="27" t="n">
        <f aca="false">O242*$D$375</f>
        <v>509.352124769669</v>
      </c>
      <c r="P362" s="27" t="n">
        <f aca="false">P242*$D$375</f>
        <v>516.393702218365</v>
      </c>
      <c r="Q362" s="27" t="n">
        <f aca="false">Q242*$D$375</f>
        <v>533.373884282564</v>
      </c>
      <c r="R362" s="27" t="n">
        <f aca="false">R242*$D$375</f>
        <v>537.083545645235</v>
      </c>
      <c r="S362" s="28" t="str">
        <f aca="false"> EUA!S362</f>
        <v> MtC / ano</v>
      </c>
      <c r="T362" s="13"/>
      <c r="U362" s="41"/>
      <c r="V362" s="41"/>
      <c r="W362" s="41"/>
      <c r="X362" s="41"/>
      <c r="Y362" s="41"/>
    </row>
    <row r="363" customFormat="false" ht="11.25" hidden="false" customHeight="false" outlineLevel="0" collapsed="false">
      <c r="A363" s="63" t="s">
        <v>117</v>
      </c>
      <c r="K363" s="27" t="n">
        <f aca="false">K243*$C$375</f>
        <v>270.157840896455</v>
      </c>
      <c r="L363" s="27" t="n">
        <f aca="false">L243*$C$375</f>
        <v>315.982284425901</v>
      </c>
      <c r="M363" s="27" t="n">
        <f aca="false">M243*$C$375</f>
        <v>357.226368390544</v>
      </c>
      <c r="N363" s="27" t="n">
        <f aca="false">N243*$C$375</f>
        <v>386.286001346703</v>
      </c>
      <c r="O363" s="27" t="n">
        <f aca="false">O243*$C$375</f>
        <v>393.1526294129</v>
      </c>
      <c r="P363" s="27" t="n">
        <f aca="false">P243*$C$375</f>
        <v>394.353715204599</v>
      </c>
      <c r="Q363" s="27" t="n">
        <f aca="false">Q243*$C$375</f>
        <v>385.303600432387</v>
      </c>
      <c r="R363" s="27" t="n">
        <f aca="false">R243*$C$375</f>
        <v>359.029433619287</v>
      </c>
      <c r="S363" s="28" t="str">
        <f aca="false"> EUA!S363</f>
        <v> MtC / ano</v>
      </c>
      <c r="T363" s="13"/>
      <c r="U363" s="41"/>
      <c r="V363" s="41"/>
      <c r="W363" s="41"/>
      <c r="X363" s="41"/>
      <c r="Y363" s="41"/>
    </row>
    <row r="364" customFormat="false" ht="11.25" hidden="false" customHeight="false" outlineLevel="0" collapsed="false">
      <c r="A364" s="63" t="s">
        <v>118</v>
      </c>
      <c r="K364" s="27" t="n">
        <f aca="false">K244*$E$375</f>
        <v>148.729966761378</v>
      </c>
      <c r="L364" s="27" t="n">
        <f aca="false">L244*$E$375</f>
        <v>138.325609004502</v>
      </c>
      <c r="M364" s="27" t="n">
        <f aca="false">M244*$E$375</f>
        <v>115.363991068729</v>
      </c>
      <c r="N364" s="27" t="n">
        <f aca="false">N244*$E$375</f>
        <v>78.239549672472</v>
      </c>
      <c r="O364" s="27" t="n">
        <f aca="false">O244*$E$375</f>
        <v>102.317043403822</v>
      </c>
      <c r="P364" s="27" t="n">
        <f aca="false">P244*$E$375</f>
        <v>118.011458554751</v>
      </c>
      <c r="Q364" s="27" t="n">
        <f aca="false">Q244*$E$375</f>
        <v>92.743867202734</v>
      </c>
      <c r="R364" s="27" t="n">
        <f aca="false">R244*$E$375</f>
        <v>95.7555752120147</v>
      </c>
      <c r="S364" s="28" t="str">
        <f aca="false"> EUA!S364</f>
        <v> MtC / ano</v>
      </c>
      <c r="T364" s="13"/>
      <c r="U364" s="41"/>
      <c r="V364" s="41"/>
      <c r="W364" s="41"/>
      <c r="X364" s="41"/>
      <c r="Y364" s="41"/>
    </row>
    <row r="365" customFormat="false" ht="11.25" hidden="false" customHeight="false" outlineLevel="0" collapsed="false">
      <c r="A365" s="63" t="s">
        <v>119</v>
      </c>
      <c r="K365" s="27" t="n">
        <f aca="false">SUM(K362:K364)</f>
        <v>833.296054646372</v>
      </c>
      <c r="L365" s="27" t="n">
        <f aca="false">SUM(L362:L364)</f>
        <v>902.936330901767</v>
      </c>
      <c r="M365" s="27" t="n">
        <f aca="false">SUM(M362:M364)</f>
        <v>954.734401394595</v>
      </c>
      <c r="N365" s="27" t="n">
        <f aca="false">SUM(N362:N364)</f>
        <v>966.653647517229</v>
      </c>
      <c r="O365" s="27" t="n">
        <f aca="false">SUM(O362:O364)</f>
        <v>1004.82179758639</v>
      </c>
      <c r="P365" s="27" t="n">
        <f aca="false">SUM(P362:P364)</f>
        <v>1028.75887597771</v>
      </c>
      <c r="Q365" s="27" t="n">
        <f aca="false">SUM(Q362:Q364)</f>
        <v>1011.42135191768</v>
      </c>
      <c r="R365" s="27" t="n">
        <f aca="false">SUM(R362:R364)</f>
        <v>991.868554476537</v>
      </c>
      <c r="S365" s="28" t="str">
        <f aca="false"> EUA!S365</f>
        <v> MtC / ano</v>
      </c>
      <c r="T365" s="13"/>
      <c r="U365" s="41"/>
      <c r="V365" s="41"/>
      <c r="W365" s="41"/>
      <c r="X365" s="41"/>
      <c r="Y365" s="41"/>
    </row>
    <row r="366" customFormat="false" ht="12.65" hidden="false" customHeight="false" outlineLevel="0" collapsed="false">
      <c r="A366" s="108" t="s">
        <v>7</v>
      </c>
      <c r="S366" s="41"/>
      <c r="T366" s="13"/>
      <c r="U366" s="41"/>
      <c r="V366" s="41"/>
      <c r="W366" s="41"/>
      <c r="X366" s="41"/>
      <c r="Y366" s="41"/>
    </row>
    <row r="367" s="3" customFormat="true" ht="11.25" hidden="false" customHeight="false" outlineLevel="0" collapsed="false">
      <c r="B367" s="24" t="n">
        <v>1970</v>
      </c>
      <c r="C367" s="24" t="n">
        <v>1975</v>
      </c>
      <c r="D367" s="24" t="n">
        <v>1980</v>
      </c>
      <c r="E367" s="24" t="n">
        <v>1985</v>
      </c>
      <c r="F367" s="24" t="n">
        <v>1990</v>
      </c>
      <c r="G367" s="24" t="n">
        <v>1995</v>
      </c>
      <c r="H367" s="24" t="n">
        <v>2000</v>
      </c>
      <c r="I367" s="24" t="n">
        <v>2005</v>
      </c>
      <c r="J367" s="24" t="n">
        <v>2010</v>
      </c>
      <c r="K367" s="24" t="n">
        <v>2015</v>
      </c>
      <c r="L367" s="24" t="n">
        <v>2020</v>
      </c>
      <c r="M367" s="24" t="n">
        <v>2025</v>
      </c>
      <c r="N367" s="24" t="n">
        <v>2030</v>
      </c>
      <c r="O367" s="24" t="n">
        <v>2035</v>
      </c>
      <c r="P367" s="24" t="n">
        <v>2040</v>
      </c>
      <c r="Q367" s="24" t="n">
        <v>2045</v>
      </c>
      <c r="R367" s="24" t="n">
        <v>2050</v>
      </c>
      <c r="S367" s="25" t="s">
        <v>15</v>
      </c>
      <c r="T367" s="13"/>
      <c r="U367" s="41"/>
      <c r="V367" s="41"/>
      <c r="W367" s="41"/>
      <c r="X367" s="41"/>
      <c r="Y367" s="41"/>
    </row>
    <row r="368" s="3" customFormat="true" ht="11.25" hidden="false" customHeight="false" outlineLevel="0" collapsed="false">
      <c r="G368" s="8"/>
      <c r="H368" s="8"/>
      <c r="I368" s="8"/>
      <c r="J368" s="37" t="str">
        <f aca="false">CONCATENATE(A357," Your forecast")</f>
        <v> Emissões de CO2: Sua previsão</v>
      </c>
      <c r="K368" s="84" t="n">
        <f aca="false">K373/12*44</f>
        <v>3055.4188670367</v>
      </c>
      <c r="L368" s="84" t="n">
        <f aca="false">L373/12*44</f>
        <v>3281.25932970854</v>
      </c>
      <c r="M368" s="84" t="n">
        <f aca="false">M373/12*44</f>
        <v>3468.12243524449</v>
      </c>
      <c r="N368" s="84" t="n">
        <f aca="false">N373/12*44</f>
        <v>3512.16826984599</v>
      </c>
      <c r="O368" s="84" t="n">
        <f aca="false">O373/12*44</f>
        <v>3648.12937417167</v>
      </c>
      <c r="P368" s="84" t="n">
        <f aca="false">P373/12*44</f>
        <v>3732.82070502382</v>
      </c>
      <c r="Q368" s="84" t="n">
        <f aca="false">Q373/12*44</f>
        <v>3672.43154038634</v>
      </c>
      <c r="R368" s="84" t="n">
        <f aca="false">R373/12*44</f>
        <v>3603.27045562432</v>
      </c>
      <c r="S368" s="28" t="str">
        <f aca="false"> EUA!S368</f>
        <v> MtCO2 / ano</v>
      </c>
      <c r="T368" s="13"/>
      <c r="U368" s="41"/>
      <c r="V368" s="41"/>
      <c r="W368" s="41"/>
      <c r="X368" s="41"/>
      <c r="Y368" s="41"/>
    </row>
    <row r="369" s="3" customFormat="true" ht="11.25" hidden="false" customHeight="false" outlineLevel="0" collapsed="false">
      <c r="G369" s="8"/>
      <c r="H369" s="8"/>
      <c r="I369" s="8"/>
      <c r="J369" s="37" t="str">
        <f aca="false">CONCATENATE(A361," Your forecast")</f>
        <v> Intensidade climática Sua previsão</v>
      </c>
      <c r="K369" s="137" t="n">
        <f aca="false">K368/K266</f>
        <v>2.40365456093274</v>
      </c>
      <c r="L369" s="137" t="n">
        <f aca="false">L368/L266</f>
        <v>2.37797600972406</v>
      </c>
      <c r="M369" s="137" t="n">
        <f aca="false">M368/M266</f>
        <v>2.28428301715087</v>
      </c>
      <c r="N369" s="137" t="n">
        <f aca="false">N368/N266</f>
        <v>2.19541383105281</v>
      </c>
      <c r="O369" s="137" t="n">
        <f aca="false">O368/O266</f>
        <v>2.13507833799661</v>
      </c>
      <c r="P369" s="137" t="n">
        <f aca="false">P368/P266</f>
        <v>2.06998426692692</v>
      </c>
      <c r="Q369" s="137" t="n">
        <f aca="false">Q368/Q266</f>
        <v>1.94696358855267</v>
      </c>
      <c r="R369" s="137" t="n">
        <f aca="false">R368/R266</f>
        <v>1.8454001860993</v>
      </c>
      <c r="S369" s="28" t="str">
        <f aca="false"> EUA!S369</f>
        <v> tCO2 / toe</v>
      </c>
      <c r="T369" s="13"/>
      <c r="U369" s="41"/>
      <c r="V369" s="41"/>
      <c r="W369" s="41"/>
      <c r="X369" s="41"/>
      <c r="Y369" s="41"/>
    </row>
    <row r="370" s="3" customFormat="true" ht="11.25" hidden="false" customHeight="false" outlineLevel="0" collapsed="false">
      <c r="G370" s="8"/>
      <c r="H370" s="8"/>
      <c r="I370" s="8"/>
      <c r="J370" s="37" t="str">
        <f aca="false">CONCATENATE(A362," Your forecast")</f>
        <v> Emissões de CO2 provenientes do petróleo: Sua previsão</v>
      </c>
      <c r="K370" s="84" t="n">
        <f aca="false">K261*$D$375</f>
        <v>414.408246988539</v>
      </c>
      <c r="L370" s="84" t="n">
        <f aca="false">L261*$D$375</f>
        <v>430.095584601553</v>
      </c>
      <c r="M370" s="84" t="n">
        <f aca="false">M261*$D$375</f>
        <v>461.403647220292</v>
      </c>
      <c r="N370" s="84" t="n">
        <f aca="false">N261*$D$375</f>
        <v>479.945091773265</v>
      </c>
      <c r="O370" s="84" t="n">
        <f aca="false">O261*$D$375</f>
        <v>485.983123041726</v>
      </c>
      <c r="P370" s="84" t="n">
        <f aca="false">P261*$D$375</f>
        <v>491.824360818903</v>
      </c>
      <c r="Q370" s="84" t="n">
        <f aca="false">Q261*$D$375</f>
        <v>507.092141438354</v>
      </c>
      <c r="R370" s="84" t="n">
        <f aca="false">R261*$D$375</f>
        <v>509.709835355893</v>
      </c>
      <c r="S370" s="28" t="str">
        <f aca="false"> EUA!S370</f>
        <v> MtC / ano</v>
      </c>
      <c r="T370" s="13"/>
      <c r="U370" s="41"/>
      <c r="V370" s="41"/>
      <c r="W370" s="41"/>
      <c r="X370" s="41"/>
      <c r="Y370" s="41"/>
    </row>
    <row r="371" s="3" customFormat="true" ht="11.25" hidden="false" customHeight="false" outlineLevel="0" collapsed="false">
      <c r="G371" s="8"/>
      <c r="H371" s="8"/>
      <c r="I371" s="8"/>
      <c r="J371" s="37" t="str">
        <f aca="false">CONCATENATE(A363," Your forecast")</f>
        <v> Emissões de CO2 provenientes do gás: Sua previsão</v>
      </c>
      <c r="K371" s="84" t="n">
        <f aca="false">K262*$C$375</f>
        <v>270.157840896455</v>
      </c>
      <c r="L371" s="84" t="n">
        <f aca="false">L262*$C$375</f>
        <v>302.929047721294</v>
      </c>
      <c r="M371" s="84" t="n">
        <f aca="false">M262*$C$375</f>
        <v>341.859558394725</v>
      </c>
      <c r="N371" s="84" t="n">
        <f aca="false">N262*$C$375</f>
        <v>369.220666320132</v>
      </c>
      <c r="O371" s="84" t="n">
        <f aca="false">O262*$C$375</f>
        <v>375.114843705713</v>
      </c>
      <c r="P371" s="84" t="n">
        <f aca="false">P262*$C$375</f>
        <v>375.590877820284</v>
      </c>
      <c r="Q371" s="84" t="n">
        <f aca="false">Q262*$C$375</f>
        <v>366.317949949831</v>
      </c>
      <c r="R371" s="84" t="n">
        <f aca="false">R262*$C$375</f>
        <v>340.730664683006</v>
      </c>
      <c r="S371" s="28" t="str">
        <f aca="false"> EUA!S371</f>
        <v> MtC / ano</v>
      </c>
      <c r="T371" s="13"/>
      <c r="V371" s="41"/>
      <c r="W371" s="41"/>
      <c r="X371" s="41"/>
      <c r="Y371" s="41"/>
    </row>
    <row r="372" s="3" customFormat="true" ht="11.25" hidden="false" customHeight="false" outlineLevel="0" collapsed="false">
      <c r="G372" s="8"/>
      <c r="H372" s="8"/>
      <c r="I372" s="8"/>
      <c r="J372" s="37" t="str">
        <f aca="false">CONCATENATE(A364," Your forecast")</f>
        <v> Emissões de CO2 provenientes do carvão: Sua previsão</v>
      </c>
      <c r="K372" s="84" t="n">
        <f aca="false">K263*$E$375</f>
        <v>148.729966761378</v>
      </c>
      <c r="L372" s="84" t="n">
        <f aca="false">L263*$E$375</f>
        <v>161.864275779482</v>
      </c>
      <c r="M372" s="84" t="n">
        <f aca="false">M263*$E$375</f>
        <v>142.588367633479</v>
      </c>
      <c r="N372" s="84" t="n">
        <f aca="false">N263*$E$375</f>
        <v>108.698315500963</v>
      </c>
      <c r="O372" s="84" t="n">
        <f aca="false">O263*$E$375</f>
        <v>133.846408026653</v>
      </c>
      <c r="P372" s="84" t="n">
        <f aca="false">P263*$E$375</f>
        <v>150.626771821855</v>
      </c>
      <c r="Q372" s="84" t="n">
        <f aca="false">Q263*$E$375</f>
        <v>128.162146898999</v>
      </c>
      <c r="R372" s="84" t="n">
        <f aca="false">R263*$E$375</f>
        <v>132.269624222279</v>
      </c>
      <c r="S372" s="28" t="str">
        <f aca="false"> EUA!S372</f>
        <v> MtC / ano</v>
      </c>
      <c r="T372" s="13"/>
      <c r="V372" s="41"/>
      <c r="W372" s="41"/>
      <c r="X372" s="41"/>
      <c r="Y372" s="41"/>
    </row>
    <row r="373" s="3" customFormat="true" ht="11.25" hidden="false" customHeight="false" outlineLevel="0" collapsed="false">
      <c r="F373" s="8"/>
      <c r="G373" s="8"/>
      <c r="H373" s="8"/>
      <c r="I373" s="8"/>
      <c r="J373" s="37" t="str">
        <f aca="false">CONCATENATE(A365," Your forecast")</f>
        <v> Emissões de CO2 provenientes de carvão, petróleo e gás: sua previsão</v>
      </c>
      <c r="K373" s="84" t="n">
        <f aca="false">SUM(K370:K372)</f>
        <v>833.296054646372</v>
      </c>
      <c r="L373" s="84" t="n">
        <f aca="false">SUM(L370:L372)</f>
        <v>894.888908102329</v>
      </c>
      <c r="M373" s="84" t="n">
        <f aca="false">SUM(M370:M372)</f>
        <v>945.851573248497</v>
      </c>
      <c r="N373" s="84" t="n">
        <f aca="false">SUM(N370:N372)</f>
        <v>957.86407359436</v>
      </c>
      <c r="O373" s="84" t="n">
        <f aca="false">SUM(O370:O372)</f>
        <v>994.944374774092</v>
      </c>
      <c r="P373" s="84" t="n">
        <f aca="false">SUM(P370:P372)</f>
        <v>1018.04201046104</v>
      </c>
      <c r="Q373" s="84" t="n">
        <f aca="false">SUM(Q370:Q372)</f>
        <v>1001.57223828718</v>
      </c>
      <c r="R373" s="84" t="n">
        <f aca="false">SUM(R370:R372)</f>
        <v>982.710124261177</v>
      </c>
      <c r="S373" s="28" t="str">
        <f aca="false"> EUA!S373</f>
        <v> MtC / ano</v>
      </c>
      <c r="T373" s="13"/>
      <c r="X373" s="15" t="s">
        <v>33</v>
      </c>
    </row>
    <row r="374" customFormat="false" ht="11.25" hidden="false" customHeight="false" outlineLevel="0" collapsed="false">
      <c r="C374" s="15" t="s">
        <v>120</v>
      </c>
      <c r="D374" s="15" t="s">
        <v>121</v>
      </c>
      <c r="E374" s="15" t="s">
        <v>122</v>
      </c>
      <c r="S374" s="41"/>
      <c r="T374" s="13"/>
      <c r="V374" s="3" t="s">
        <v>35</v>
      </c>
    </row>
    <row r="375" customFormat="false" ht="28.3" hidden="false" customHeight="false" outlineLevel="0" collapsed="false">
      <c r="B375" s="15" t="s">
        <v>123</v>
      </c>
      <c r="C375" s="32" t="n">
        <v>0.574403596153046</v>
      </c>
      <c r="D375" s="32" t="n">
        <v>0.795144080881188</v>
      </c>
      <c r="E375" s="32" t="n">
        <v>1.06</v>
      </c>
      <c r="F375" s="3" t="s">
        <v>124</v>
      </c>
      <c r="H375" s="153" t="str">
        <f aca="false"> EUA!H375</f>
        <v> Unidades: tC / dedo do pé</v>
      </c>
      <c r="S375" s="41"/>
      <c r="T375" s="13"/>
      <c r="U375" s="53" t="s">
        <v>37</v>
      </c>
      <c r="V375" s="54" t="s">
        <v>38</v>
      </c>
      <c r="W375" s="54" t="s">
        <v>39</v>
      </c>
      <c r="X375" s="55"/>
      <c r="Y375" s="55"/>
    </row>
    <row r="376" s="3" customFormat="true" ht="11.25" hidden="false" customHeight="false" outlineLevel="0" collapsed="false">
      <c r="T376" s="13"/>
      <c r="U376" s="15" t="str">
        <f aca="false">AA381</f>
        <v> Emissões de CO2 (0 - 6 MtCO2 / ano)</v>
      </c>
      <c r="V376" s="25" t="n">
        <v>6000</v>
      </c>
      <c r="W376" s="70" t="n">
        <f aca="false">W380</f>
        <v>6000</v>
      </c>
    </row>
    <row r="377" s="3" customFormat="true" ht="11.25" hidden="false" customHeight="false" outlineLevel="0" collapsed="false">
      <c r="T377" s="13"/>
      <c r="U377" s="15" t="str">
        <f aca="false">AA382</f>
        <v> Consumo de energia (0 - 2,5 Mtoe/ano)</v>
      </c>
      <c r="V377" s="25" t="n">
        <v>2500</v>
      </c>
      <c r="W377" s="70" t="n">
        <f aca="false">W381</f>
        <v>2500</v>
      </c>
    </row>
    <row r="378" s="3" customFormat="true" ht="11.25" hidden="false" customHeight="false" outlineLevel="0" collapsed="false">
      <c r="T378" s="13"/>
      <c r="U378" s="15" t="str">
        <f aca="false">AA383</f>
        <v> Intensidade climática (0 - 5 tCO2 / toe)</v>
      </c>
      <c r="V378" s="25" t="n">
        <v>5</v>
      </c>
      <c r="W378" s="70" t="n">
        <f aca="false">W382</f>
        <v>5</v>
      </c>
    </row>
    <row r="379" s="3" customFormat="true" ht="11.25" hidden="false" customHeight="false" outlineLevel="0" collapsed="false">
      <c r="T379" s="13"/>
      <c r="U379" s="15" t="str">
        <f aca="false">AA384</f>
        <v> Fração renovável (0 - 40%)</v>
      </c>
      <c r="V379" s="25" t="n">
        <v>40</v>
      </c>
      <c r="W379" s="70" t="n">
        <f aca="false">W383</f>
        <v>40</v>
      </c>
      <c r="AA379" s="52" t="s">
        <v>36</v>
      </c>
    </row>
    <row r="380" s="3" customFormat="true" ht="15" hidden="false" customHeight="false" outlineLevel="0" collapsed="false">
      <c r="T380" s="13"/>
      <c r="U380" s="37" t="str">
        <f aca="false">AA386</f>
        <v> Emissões de CO2 (0 - 6 MtCO2/ano), sua previsão</v>
      </c>
      <c r="W380" s="4" t="n">
        <v>6000</v>
      </c>
      <c r="AA380" s="16"/>
      <c r="AB380" s="24" t="n">
        <v>1970</v>
      </c>
      <c r="AC380" s="24" t="n">
        <v>1975</v>
      </c>
      <c r="AD380" s="24" t="n">
        <v>1980</v>
      </c>
      <c r="AE380" s="24" t="n">
        <v>1985</v>
      </c>
      <c r="AF380" s="24" t="n">
        <v>1990</v>
      </c>
      <c r="AG380" s="24" t="n">
        <v>1995</v>
      </c>
      <c r="AH380" s="24" t="n">
        <v>2000</v>
      </c>
      <c r="AI380" s="24" t="n">
        <v>2005</v>
      </c>
      <c r="AJ380" s="24" t="n">
        <v>2010</v>
      </c>
      <c r="AK380" s="24" t="n">
        <v>2015</v>
      </c>
      <c r="AL380" s="24" t="n">
        <v>2020</v>
      </c>
      <c r="AM380" s="24" t="n">
        <v>2025</v>
      </c>
      <c r="AN380" s="24" t="n">
        <v>2030</v>
      </c>
      <c r="AO380" s="24" t="n">
        <v>2035</v>
      </c>
      <c r="AP380" s="24" t="n">
        <v>2040</v>
      </c>
      <c r="AQ380" s="24" t="n">
        <v>2045</v>
      </c>
      <c r="AR380" s="24" t="n">
        <v>2050</v>
      </c>
    </row>
    <row r="381" s="3" customFormat="true" ht="11.25" hidden="false" customHeight="false" outlineLevel="0" collapsed="false">
      <c r="T381" s="13"/>
      <c r="U381" s="37" t="str">
        <f aca="false">AA387</f>
        <v> Consumo de energia (0 - 2,5 Mtoe/ano), sua previsão</v>
      </c>
      <c r="W381" s="4" t="n">
        <v>2500</v>
      </c>
      <c r="AA381" s="29" t="str">
        <f aca="false">CONCATENATE(A357," (0 - ",W376/1000," MtCO2 / yr)")</f>
        <v> Emissões de CO2 (0 - 6 MtCO2 / ano)</v>
      </c>
      <c r="AB381" s="57" t="n">
        <f aca="false">B357/$W376</f>
        <v>0.140375155555556</v>
      </c>
      <c r="AC381" s="57" t="n">
        <f aca="false">C357/$W376</f>
        <v>0.177811333333333</v>
      </c>
      <c r="AD381" s="57" t="n">
        <f aca="false">D357/$W376</f>
        <v>0.225588</v>
      </c>
      <c r="AE381" s="57" t="n">
        <f aca="false">E357/$W376</f>
        <v>0.242395022222222</v>
      </c>
      <c r="AF381" s="57" t="n">
        <f aca="false">F357/$W376</f>
        <v>0.275758266666667</v>
      </c>
      <c r="AG381" s="57" t="n">
        <f aca="false">G357/$W376</f>
        <v>0.367196133333333</v>
      </c>
      <c r="AH381" s="57" t="n">
        <f aca="false">H357/$W376</f>
        <v>0.376053822222222</v>
      </c>
      <c r="AI381" s="57" t="n">
        <f aca="false">I357/$W376</f>
        <v>0.442961688888889</v>
      </c>
      <c r="AJ381" s="57" t="n">
        <f aca="false">J357/$W376</f>
        <v>0.492805377777778</v>
      </c>
      <c r="AK381" s="57" t="n">
        <f aca="false">K357/$W376</f>
        <v>0.50923647783945</v>
      </c>
      <c r="AL381" s="57" t="n">
        <f aca="false">L357/$W376</f>
        <v>0.551794424439968</v>
      </c>
      <c r="AM381" s="57" t="n">
        <f aca="false">M357/$W376</f>
        <v>0.583448800852253</v>
      </c>
      <c r="AN381" s="57" t="n">
        <f aca="false">N357/$W376</f>
        <v>0.590732784593862</v>
      </c>
      <c r="AO381" s="57" t="n">
        <f aca="false">O357/$W376</f>
        <v>0.614057765191684</v>
      </c>
      <c r="AP381" s="57" t="n">
        <f aca="false">P357/$W376</f>
        <v>0.628685979764159</v>
      </c>
      <c r="AQ381" s="57" t="n">
        <f aca="false">Q357/$W376</f>
        <v>0.618090826171918</v>
      </c>
      <c r="AR381" s="57" t="n">
        <f aca="false">R357/$W376</f>
        <v>0.606141894402328</v>
      </c>
    </row>
    <row r="382" s="3" customFormat="true" ht="11.25" hidden="false" customHeight="false" outlineLevel="0" collapsed="false">
      <c r="T382" s="13"/>
      <c r="U382" s="37" t="str">
        <f aca="false">AA388</f>
        <v>Intensidade climática (0 - 5 tCO2/tep), Sua previsão</v>
      </c>
      <c r="W382" s="4" t="n">
        <v>5</v>
      </c>
      <c r="AA382" s="29" t="str">
        <f aca="false">CONCATENATE(A358," (0 - ",W377/1000," Mtoe / yr)")</f>
        <v> Consumo de energia (0 - 2,5 Mtoe/ano)</v>
      </c>
      <c r="AB382" s="57" t="n">
        <f aca="false">B358/$W377</f>
        <v>0.122498356282692</v>
      </c>
      <c r="AC382" s="57" t="n">
        <f aca="false">C358/$W377</f>
        <v>0.165402180044048</v>
      </c>
      <c r="AD382" s="57" t="n">
        <f aca="false">D358/$W377</f>
        <v>0.217394629250076</v>
      </c>
      <c r="AE382" s="57" t="n">
        <f aca="false">E358/$W377</f>
        <v>0.271891076326791</v>
      </c>
      <c r="AF382" s="57" t="n">
        <f aca="false">F358/$W377</f>
        <v>0.312701567511633</v>
      </c>
      <c r="AG382" s="57" t="n">
        <f aca="false">G358/$W377</f>
        <v>0.299910886385618</v>
      </c>
      <c r="AH382" s="57" t="n">
        <f aca="false">H358/$W377</f>
        <v>0.319782821411377</v>
      </c>
      <c r="AI382" s="57" t="n">
        <f aca="false">I358/$W377</f>
        <v>0.397368764668518</v>
      </c>
      <c r="AJ382" s="57" t="n">
        <f aca="false">J358/$W377</f>
        <v>0.456773455255351</v>
      </c>
      <c r="AK382" s="57" t="n">
        <f aca="false">K358/$W377</f>
        <v>0.508462225262692</v>
      </c>
      <c r="AL382" s="57" t="n">
        <f aca="false">L358/$W377</f>
        <v>0.56421024598987</v>
      </c>
      <c r="AM382" s="57" t="n">
        <f aca="false">M358/$W377</f>
        <v>0.621908307648137</v>
      </c>
      <c r="AN382" s="57" t="n">
        <f aca="false">N358/$W377</f>
        <v>0.656096852599346</v>
      </c>
      <c r="AO382" s="57" t="n">
        <f aca="false">O358/$W377</f>
        <v>0.702003728328112</v>
      </c>
      <c r="AP382" s="57" t="n">
        <f aca="false">P358/$W377</f>
        <v>0.742210431161954</v>
      </c>
      <c r="AQ382" s="57" t="n">
        <f aca="false">Q358/$W377</f>
        <v>0.777726349708461</v>
      </c>
      <c r="AR382" s="57" t="n">
        <f aca="false">R358/$W377</f>
        <v>0.80651268275099</v>
      </c>
    </row>
    <row r="383" s="3" customFormat="true" ht="11.25" hidden="false" customHeight="false" outlineLevel="0" collapsed="false">
      <c r="T383" s="13"/>
      <c r="U383" s="37" t="str">
        <f aca="false">AA389</f>
        <v> Fração renovável (0 - 40%), Sua previsão</v>
      </c>
      <c r="W383" s="4" t="n">
        <v>40</v>
      </c>
      <c r="AA383" s="29" t="str">
        <f aca="false">CONCATENATE(A361," (0 - ",W378," tCO2 / toe)")</f>
        <v> Intensidade climática (0 - 5 tCO2 / toe)</v>
      </c>
      <c r="AB383" s="57" t="n">
        <f aca="false">B361/$W378</f>
        <v>0.55004880646049</v>
      </c>
      <c r="AC383" s="57" t="n">
        <f aca="false">C361/$W378</f>
        <v>0.516011578428233</v>
      </c>
      <c r="AD383" s="57" t="n">
        <f aca="false">D361/$W378</f>
        <v>0.498090685926926</v>
      </c>
      <c r="AE383" s="57" t="n">
        <f aca="false">E361/$W378</f>
        <v>0.42792728705382</v>
      </c>
      <c r="AF383" s="57" t="n">
        <f aca="false">F361/$W378</f>
        <v>0.423291667685919</v>
      </c>
      <c r="AG383" s="57" t="n">
        <f aca="false">G361/$W378</f>
        <v>0.587688383453266</v>
      </c>
      <c r="AH383" s="57" t="n">
        <f aca="false">H361/$W378</f>
        <v>0.564463825386228</v>
      </c>
      <c r="AI383" s="57" t="n">
        <f aca="false">I361/$W378</f>
        <v>0.535073789315157</v>
      </c>
      <c r="AJ383" s="57" t="n">
        <f aca="false">J361/$W378</f>
        <v>0.517864115376618</v>
      </c>
      <c r="AK383" s="57" t="n">
        <f aca="false">K361/$W378</f>
        <v>0.480730912186548</v>
      </c>
      <c r="AL383" s="57" t="n">
        <f aca="false">L361/$W378</f>
        <v>0.469437280896066</v>
      </c>
      <c r="AM383" s="57" t="n">
        <f aca="false">M361/$W378</f>
        <v>0.45031626200358</v>
      </c>
      <c r="AN383" s="57" t="n">
        <f aca="false">N361/$W378</f>
        <v>0.432179693412138</v>
      </c>
      <c r="AO383" s="57" t="n">
        <f aca="false">O361/$W378</f>
        <v>0.419866327482302</v>
      </c>
      <c r="AP383" s="57" t="n">
        <f aca="false">P361/$W378</f>
        <v>0.406581823182365</v>
      </c>
      <c r="AQ383" s="57" t="n">
        <f aca="false">Q361/$W378</f>
        <v>0.381475562289661</v>
      </c>
      <c r="AR383" s="57" t="n">
        <f aca="false">R361/$W378</f>
        <v>0.360748337299176</v>
      </c>
    </row>
    <row r="384" s="3" customFormat="true" ht="11.25" hidden="false" customHeight="false" outlineLevel="0" collapsed="false">
      <c r="T384" s="13"/>
      <c r="AA384" s="29" t="str">
        <f aca="false">CONCATENATE(A360," (0 - ",W379," %)")</f>
        <v> Fração renovável (0 - 40%)</v>
      </c>
      <c r="AB384" s="57" t="n">
        <f aca="false">B360/$W379</f>
        <v>0.146668363708885</v>
      </c>
      <c r="AC384" s="57" t="n">
        <f aca="false">C360/$W379</f>
        <v>0.141717488584031</v>
      </c>
      <c r="AD384" s="57" t="n">
        <f aca="false">D360/$W379</f>
        <v>0.173561400975808</v>
      </c>
      <c r="AE384" s="57" t="n">
        <f aca="false">E360/$W379</f>
        <v>0.168099747170804</v>
      </c>
      <c r="AF384" s="57" t="n">
        <f aca="false">F360/$W379</f>
        <v>0.190837548528989</v>
      </c>
      <c r="AG384" s="57" t="n">
        <f aca="false">G360/$W379</f>
        <v>0.218688115633478</v>
      </c>
      <c r="AH384" s="57" t="n">
        <f aca="false">H360/$W379</f>
        <v>0.233293069616197</v>
      </c>
      <c r="AI384" s="57" t="n">
        <f aca="false">I360/$W379</f>
        <v>0.221138165313678</v>
      </c>
      <c r="AJ384" s="57" t="n">
        <f aca="false">J360/$W379</f>
        <v>0.218374007665034</v>
      </c>
      <c r="AK384" s="57" t="n">
        <f aca="false">K360/$W379</f>
        <v>0.236547761217588</v>
      </c>
      <c r="AL384" s="57" t="n">
        <f aca="false">L360/$W379</f>
        <v>0.262460585320069</v>
      </c>
      <c r="AM384" s="57" t="n">
        <f aca="false">M360/$W379</f>
        <v>0.325</v>
      </c>
      <c r="AN384" s="57" t="n">
        <f aca="false">N360/$W379</f>
        <v>0.375</v>
      </c>
      <c r="AO384" s="57" t="n">
        <f aca="false">O360/$W379</f>
        <v>0.45</v>
      </c>
      <c r="AP384" s="57" t="n">
        <f aca="false">P360/$W379</f>
        <v>0.525</v>
      </c>
      <c r="AQ384" s="57" t="n">
        <f aca="false">Q360/$W379</f>
        <v>0.6375</v>
      </c>
      <c r="AR384" s="57" t="n">
        <f aca="false">R360/$W379</f>
        <v>0.75</v>
      </c>
    </row>
    <row r="385" s="3" customFormat="true" ht="11.25" hidden="false" customHeight="false" outlineLevel="0" collapsed="false">
      <c r="T385" s="13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</row>
    <row r="386" s="3" customFormat="true" ht="11.25" hidden="false" customHeight="false" outlineLevel="0" collapsed="false">
      <c r="T386" s="13"/>
      <c r="AA386" s="29" t="str">
        <f aca="false">CONCATENATE(A357," (0 - ",W380/1000," MtCO2 / yr), Your forecast")</f>
        <v> Emissões de CO2 (0 - 6 MtCO2/ano), sua previsão</v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57" t="n">
        <f aca="false">K368/$W380</f>
        <v>0.50923647783945</v>
      </c>
      <c r="AL386" s="57" t="n">
        <f aca="false">L368/$W380</f>
        <v>0.546876554951424</v>
      </c>
      <c r="AM386" s="57" t="n">
        <f aca="false">M368/$W380</f>
        <v>0.578020405874081</v>
      </c>
      <c r="AN386" s="57" t="n">
        <f aca="false">N368/$W380</f>
        <v>0.585361378307664</v>
      </c>
      <c r="AO386" s="57" t="n">
        <f aca="false">O368/$W380</f>
        <v>0.608021562361945</v>
      </c>
      <c r="AP386" s="57" t="n">
        <f aca="false">P368/$W380</f>
        <v>0.622136784170637</v>
      </c>
      <c r="AQ386" s="57" t="n">
        <f aca="false">Q368/$W380</f>
        <v>0.612071923397723</v>
      </c>
      <c r="AR386" s="57" t="n">
        <f aca="false">R368/$W380</f>
        <v>0.600545075937386</v>
      </c>
    </row>
    <row r="387" s="3" customFormat="true" ht="11.25" hidden="false" customHeight="false" outlineLevel="0" collapsed="false">
      <c r="T387" s="13"/>
      <c r="AA387" s="29" t="str">
        <f aca="false">CONCATENATE(A358," (0 - ",W381/1000," Mtoe / yr), Your forecast")</f>
        <v> Consumo de energia (0 - 2,5 Mtoe/ano), sua previsão</v>
      </c>
      <c r="AB387" s="29"/>
      <c r="AC387" s="29"/>
      <c r="AD387" s="29"/>
      <c r="AE387" s="29"/>
      <c r="AF387" s="29"/>
      <c r="AG387" s="29"/>
      <c r="AH387" s="29"/>
      <c r="AI387" s="29"/>
      <c r="AJ387" s="29"/>
      <c r="AK387" s="57" t="n">
        <f aca="false">K266/$W381</f>
        <v>0.508462225262692</v>
      </c>
      <c r="AL387" s="57" t="n">
        <f aca="false">L266/$W381</f>
        <v>0.551941536212437</v>
      </c>
      <c r="AM387" s="57" t="n">
        <f aca="false">M266/$W381</f>
        <v>0.607301706348136</v>
      </c>
      <c r="AN387" s="57" t="n">
        <f aca="false">N266/$W381</f>
        <v>0.639910019727211</v>
      </c>
      <c r="AO387" s="57" t="n">
        <f aca="false">O266/$W381</f>
        <v>0.683465202985438</v>
      </c>
      <c r="AP387" s="57" t="n">
        <f aca="false">P266/$W381</f>
        <v>0.721323493065101</v>
      </c>
      <c r="AQ387" s="57" t="n">
        <f aca="false">Q266/$W381</f>
        <v>0.754494138869097</v>
      </c>
      <c r="AR387" s="57" t="n">
        <f aca="false">R266/$W381</f>
        <v>0.781027439525886</v>
      </c>
    </row>
    <row r="388" s="3" customFormat="true" ht="11.25" hidden="false" customHeight="false" outlineLevel="0" collapsed="false">
      <c r="S388" s="41"/>
      <c r="T388" s="13"/>
      <c r="U388" s="41"/>
      <c r="AA388" s="29" t="str">
        <f aca="false">CONCATENATE(A361," (0 - ",W382,"  tCO2 / toe), Your forecast")</f>
        <v> Intensidade climática (0 - 5 tCO2/tep), Sua previsão</v>
      </c>
      <c r="AB388" s="29"/>
      <c r="AC388" s="29"/>
      <c r="AD388" s="29"/>
      <c r="AE388" s="29"/>
      <c r="AF388" s="29"/>
      <c r="AG388" s="29"/>
      <c r="AH388" s="29"/>
      <c r="AI388" s="29"/>
      <c r="AJ388" s="29"/>
      <c r="AK388" s="57" t="n">
        <f aca="false">K369/$W382</f>
        <v>0.480730912186548</v>
      </c>
      <c r="AL388" s="57" t="n">
        <f aca="false">L369/$W382</f>
        <v>0.475595201944811</v>
      </c>
      <c r="AM388" s="57" t="n">
        <f aca="false">M369/$W382</f>
        <v>0.456856603430175</v>
      </c>
      <c r="AN388" s="57" t="n">
        <f aca="false">N369/$W382</f>
        <v>0.439082766210562</v>
      </c>
      <c r="AO388" s="57" t="n">
        <f aca="false">O369/$W382</f>
        <v>0.427015667599323</v>
      </c>
      <c r="AP388" s="57" t="n">
        <f aca="false">P369/$W382</f>
        <v>0.413996853385384</v>
      </c>
      <c r="AQ388" s="57" t="n">
        <f aca="false">Q369/$W382</f>
        <v>0.389392717710534</v>
      </c>
      <c r="AR388" s="57" t="n">
        <f aca="false">R369/$W382</f>
        <v>0.369080037219859</v>
      </c>
    </row>
    <row r="389" s="3" customFormat="true" ht="11.25" hidden="false" customHeight="false" outlineLevel="0" collapsed="false">
      <c r="S389" s="41"/>
      <c r="T389" s="13"/>
      <c r="U389" s="41"/>
      <c r="AA389" s="29" t="str">
        <f aca="false">CONCATENATE(A360," (0 - ",W383," %), Your forecast")</f>
        <v> Fração renovável (0 - 40%), Sua previsão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57" t="n">
        <f aca="false">K271/$W383</f>
        <v>0.236547761217588</v>
      </c>
      <c r="AL389" s="57" t="n">
        <f aca="false">L271/$W383</f>
        <v>0.257211373613668</v>
      </c>
      <c r="AM389" s="57" t="n">
        <f aca="false">M271/$W383</f>
        <v>0.3185</v>
      </c>
      <c r="AN389" s="57" t="n">
        <f aca="false">N271/$W383</f>
        <v>0.3675</v>
      </c>
      <c r="AO389" s="57" t="n">
        <f aca="false">O271/$W383</f>
        <v>0.441</v>
      </c>
      <c r="AP389" s="57" t="n">
        <f aca="false">P271/$W383</f>
        <v>0.5145</v>
      </c>
      <c r="AQ389" s="57" t="n">
        <f aca="false">Q271/$W383</f>
        <v>0.62475</v>
      </c>
      <c r="AR389" s="57" t="n">
        <f aca="false">R271/$W383</f>
        <v>0.735</v>
      </c>
    </row>
    <row r="390" s="3" customFormat="true" ht="11.25" hidden="false" customHeight="false" outlineLevel="0" collapsed="false">
      <c r="S390" s="41"/>
      <c r="T390" s="13"/>
      <c r="U390" s="41"/>
    </row>
    <row r="391" s="3" customFormat="true" ht="11.25" hidden="false" customHeight="false" outlineLevel="0" collapsed="false">
      <c r="S391" s="41"/>
      <c r="T391" s="13"/>
      <c r="U391" s="41"/>
    </row>
    <row r="392" customFormat="false" ht="11.25" hidden="false" customHeight="false" outlineLevel="0" collapsed="false">
      <c r="S392" s="41"/>
      <c r="T392" s="13"/>
      <c r="U392" s="41"/>
    </row>
    <row r="393" customFormat="false" ht="11.25" hidden="false" customHeight="false" outlineLevel="0" collapsed="false">
      <c r="K393" s="36"/>
      <c r="T393" s="13"/>
    </row>
    <row r="394" customFormat="false" ht="11.25" hidden="false" customHeight="false" outlineLevel="0" collapsed="false">
      <c r="T394" s="13"/>
    </row>
    <row r="395" customFormat="false" ht="11.25" hidden="false" customHeight="false" outlineLevel="0" collapsed="false">
      <c r="T395" s="13"/>
    </row>
    <row r="396" customFormat="false" ht="11.25" hidden="false" customHeight="false" outlineLevel="0" collapsed="false">
      <c r="T396" s="13"/>
    </row>
    <row r="397" customFormat="false" ht="11.25" hidden="false" customHeight="false" outlineLevel="0" collapsed="false">
      <c r="T397" s="13"/>
    </row>
    <row r="398" s="35" customFormat="true" ht="13.8" hidden="false" customHeight="false" outlineLevel="0" collapsed="false">
      <c r="A398" s="73"/>
      <c r="T398" s="13"/>
    </row>
    <row r="399" s="35" customFormat="true" ht="13.8" hidden="false" customHeight="false" outlineLevel="0" collapsed="false">
      <c r="A399" s="73"/>
      <c r="T399" s="13"/>
    </row>
    <row r="400" customFormat="false" ht="11.25" hidden="false" customHeight="false" outlineLevel="0" collapsed="false">
      <c r="T400" s="13"/>
    </row>
    <row r="401" customFormat="false" ht="11.25" hidden="false" customHeight="false" outlineLevel="0" collapsed="false">
      <c r="T401" s="13"/>
    </row>
    <row r="402" customFormat="false" ht="11.25" hidden="false" customHeight="false" outlineLevel="0" collapsed="false">
      <c r="T402" s="13"/>
    </row>
    <row r="403" customFormat="false" ht="11.25" hidden="false" customHeight="false" outlineLevel="0" collapsed="false">
      <c r="T403" s="13"/>
    </row>
    <row r="404" customFormat="false" ht="12.65" hidden="false" customHeight="false" outlineLevel="0" collapsed="false">
      <c r="A404" s="61" t="s">
        <v>126</v>
      </c>
      <c r="T404" s="13"/>
    </row>
    <row r="405" customFormat="false" ht="12.65" hidden="false" customHeight="false" outlineLevel="0" collapsed="false">
      <c r="A405" s="23" t="str">
        <f aca="false">CONCATENATE(A404,". Climate Change - ",A5," 1970 to 2050")</f>
        <v> Gráfico 10. Mudanças Climáticas - Resto do Mundo, 1970 a 2050</v>
      </c>
      <c r="D405" s="51" t="s">
        <v>127</v>
      </c>
      <c r="T405" s="13"/>
    </row>
    <row r="406" customFormat="false" ht="12.65" hidden="false" customHeight="false" outlineLevel="0" collapsed="false">
      <c r="A406" s="23"/>
      <c r="D406" s="51"/>
      <c r="T406" s="13"/>
    </row>
    <row r="407" customFormat="false" ht="12.65" hidden="false" customHeight="false" outlineLevel="0" collapsed="false">
      <c r="A407" s="23"/>
      <c r="D407" s="51"/>
      <c r="T407" s="13"/>
    </row>
    <row r="408" customFormat="false" ht="12.65" hidden="false" customHeight="false" outlineLevel="0" collapsed="false">
      <c r="A408" s="23"/>
      <c r="D408" s="51"/>
      <c r="T408" s="13"/>
    </row>
    <row r="409" customFormat="false" ht="12.65" hidden="false" customHeight="false" outlineLevel="0" collapsed="false">
      <c r="A409" s="61" t="s">
        <v>128</v>
      </c>
      <c r="T409" s="13"/>
    </row>
    <row r="410" customFormat="false" ht="12.65" hidden="false" customHeight="false" outlineLevel="0" collapsed="false">
      <c r="A410" s="23" t="str">
        <f aca="false">CONCATENATE(A409,". Food Production - ",A5," 1970 to 2050")</f>
        <v> Gráfico 11. Produção de Alimentos - Resto do Mundo, 1970 a 2050</v>
      </c>
      <c r="T410" s="13"/>
    </row>
    <row r="411" customFormat="false" ht="13.8" hidden="false" customHeight="false" outlineLevel="0" collapsed="false">
      <c r="B411" s="24" t="n">
        <v>1970</v>
      </c>
      <c r="C411" s="24" t="n">
        <v>1975</v>
      </c>
      <c r="D411" s="24" t="n">
        <v>1980</v>
      </c>
      <c r="E411" s="24" t="n">
        <v>1985</v>
      </c>
      <c r="F411" s="24" t="n">
        <v>1990</v>
      </c>
      <c r="G411" s="24" t="n">
        <v>1995</v>
      </c>
      <c r="H411" s="24" t="n">
        <v>2000</v>
      </c>
      <c r="I411" s="24" t="n">
        <v>2005</v>
      </c>
      <c r="J411" s="24" t="n">
        <v>2010</v>
      </c>
      <c r="K411" s="24" t="n">
        <v>2015</v>
      </c>
      <c r="L411" s="24" t="n">
        <v>2020</v>
      </c>
      <c r="M411" s="24" t="n">
        <v>2025</v>
      </c>
      <c r="N411" s="24" t="n">
        <v>2030</v>
      </c>
      <c r="O411" s="24" t="n">
        <v>2035</v>
      </c>
      <c r="P411" s="24" t="n">
        <v>2040</v>
      </c>
      <c r="Q411" s="24" t="n">
        <v>2045</v>
      </c>
      <c r="R411" s="24" t="n">
        <v>2050</v>
      </c>
      <c r="S411" s="25" t="s">
        <v>15</v>
      </c>
      <c r="T411" s="13"/>
      <c r="X411" s="138"/>
    </row>
    <row r="412" customFormat="false" ht="11.25" hidden="false" customHeight="false" outlineLevel="0" collapsed="false">
      <c r="A412" s="63" t="s">
        <v>130</v>
      </c>
      <c r="B412" s="62" t="n">
        <v>476.541435</v>
      </c>
      <c r="C412" s="62" t="n">
        <v>538.102014</v>
      </c>
      <c r="D412" s="62" t="n">
        <v>588.939709</v>
      </c>
      <c r="E412" s="62" t="n">
        <v>664.409503</v>
      </c>
      <c r="F412" s="62" t="n">
        <v>734.594513</v>
      </c>
      <c r="G412" s="62" t="n">
        <v>903.254657</v>
      </c>
      <c r="H412" s="62" t="n">
        <v>988.610279</v>
      </c>
      <c r="I412" s="62" t="n">
        <v>1225.022272</v>
      </c>
      <c r="J412" s="62" t="n">
        <v>1349.3974</v>
      </c>
      <c r="K412" s="27" t="n">
        <f aca="false">K413*K414</f>
        <v>1433.75</v>
      </c>
      <c r="L412" s="27" t="n">
        <f aca="false">L413*L414</f>
        <v>1654</v>
      </c>
      <c r="M412" s="27" t="n">
        <f aca="false">M413*M414</f>
        <v>1825</v>
      </c>
      <c r="N412" s="27" t="n">
        <f aca="false">N413*N414</f>
        <v>2100</v>
      </c>
      <c r="O412" s="27" t="n">
        <f aca="false">O413*O414</f>
        <v>2252</v>
      </c>
      <c r="P412" s="27" t="n">
        <f aca="false">P413*P414</f>
        <v>2427.6</v>
      </c>
      <c r="Q412" s="27" t="n">
        <f aca="false">Q413*Q414</f>
        <v>2422.6</v>
      </c>
      <c r="R412" s="27" t="n">
        <f aca="false">R413*R414</f>
        <v>2474.5</v>
      </c>
      <c r="S412" s="76" t="s">
        <v>131</v>
      </c>
      <c r="T412" s="13"/>
      <c r="U412" s="103" t="s">
        <v>129</v>
      </c>
    </row>
    <row r="413" customFormat="false" ht="11.25" hidden="false" customHeight="false" outlineLevel="0" collapsed="false">
      <c r="A413" s="63" t="s">
        <v>132</v>
      </c>
      <c r="B413" s="62" t="n">
        <v>265.592241</v>
      </c>
      <c r="C413" s="62" t="n">
        <v>262.962989</v>
      </c>
      <c r="D413" s="62" t="n">
        <v>264.201568</v>
      </c>
      <c r="E413" s="62" t="n">
        <v>290.876073</v>
      </c>
      <c r="F413" s="62" t="n">
        <v>314.515039</v>
      </c>
      <c r="G413" s="62" t="n">
        <v>385.055974</v>
      </c>
      <c r="H413" s="62" t="n">
        <v>382.138216</v>
      </c>
      <c r="I413" s="62" t="n">
        <v>437.644681</v>
      </c>
      <c r="J413" s="62" t="n">
        <v>448.218678</v>
      </c>
      <c r="K413" s="139" t="n">
        <v>450</v>
      </c>
      <c r="L413" s="139" t="n">
        <v>465</v>
      </c>
      <c r="M413" s="139" t="n">
        <v>476</v>
      </c>
      <c r="N413" s="139" t="n">
        <v>498</v>
      </c>
      <c r="O413" s="139" t="n">
        <v>515</v>
      </c>
      <c r="P413" s="139" t="n">
        <v>513</v>
      </c>
      <c r="Q413" s="139" t="n">
        <v>491</v>
      </c>
      <c r="R413" s="139" t="n">
        <v>475</v>
      </c>
      <c r="S413" s="140" t="s">
        <v>133</v>
      </c>
      <c r="T413" s="13"/>
      <c r="U413" s="103" t="s">
        <v>85</v>
      </c>
    </row>
    <row r="414" customFormat="false" ht="11.25" hidden="false" customHeight="false" outlineLevel="0" collapsed="false">
      <c r="A414" s="63" t="s">
        <v>134</v>
      </c>
      <c r="B414" s="75" t="n">
        <f aca="false">B412/B413</f>
        <v>1.79425962598056</v>
      </c>
      <c r="C414" s="75" t="n">
        <f aca="false">C412/C413</f>
        <v>2.04630323090829</v>
      </c>
      <c r="D414" s="75" t="n">
        <f aca="false">D412/D413</f>
        <v>2.22913025633519</v>
      </c>
      <c r="E414" s="75" t="n">
        <f aca="false">E412/E413</f>
        <v>2.28416691736621</v>
      </c>
      <c r="F414" s="75" t="n">
        <f aca="false">F412/F413</f>
        <v>2.33564193094118</v>
      </c>
      <c r="G414" s="75" t="n">
        <f aca="false">G412/G413</f>
        <v>2.34577494699511</v>
      </c>
      <c r="H414" s="75" t="n">
        <f aca="false">H412/H413</f>
        <v>2.58704897235402</v>
      </c>
      <c r="I414" s="75" t="n">
        <f aca="false">I412/I413</f>
        <v>2.79912523831176</v>
      </c>
      <c r="J414" s="75" t="n">
        <f aca="false">J412/J413</f>
        <v>3.01057824279246</v>
      </c>
      <c r="K414" s="33" t="n">
        <v>3.18611111111111</v>
      </c>
      <c r="L414" s="33" t="n">
        <v>3.55698924731183</v>
      </c>
      <c r="M414" s="33" t="n">
        <v>3.83403361344538</v>
      </c>
      <c r="N414" s="33" t="n">
        <v>4.21686746987952</v>
      </c>
      <c r="O414" s="33" t="n">
        <v>4.37281553398058</v>
      </c>
      <c r="P414" s="33" t="n">
        <v>4.73216374269006</v>
      </c>
      <c r="Q414" s="33" t="n">
        <v>4.93401221995927</v>
      </c>
      <c r="R414" s="33" t="n">
        <v>5.20947368421053</v>
      </c>
      <c r="S414" s="140" t="s">
        <v>135</v>
      </c>
      <c r="T414" s="13"/>
      <c r="U414" s="141"/>
      <c r="W414" s="142"/>
      <c r="X414" s="142"/>
      <c r="Y414" s="142"/>
    </row>
    <row r="415" customFormat="false" ht="11.25" hidden="false" customHeight="false" outlineLevel="0" collapsed="false">
      <c r="A415" s="63" t="s">
        <v>136</v>
      </c>
      <c r="B415" s="143" t="n">
        <f aca="false">B412/B9</f>
        <v>0.552231151698865</v>
      </c>
      <c r="C415" s="143" t="n">
        <f aca="false">C412/C9</f>
        <v>0.555460801149459</v>
      </c>
      <c r="D415" s="143" t="n">
        <f aca="false">D412/D9</f>
        <v>0.538370937607548</v>
      </c>
      <c r="E415" s="143" t="n">
        <f aca="false">E412/E9</f>
        <v>0.537285350365352</v>
      </c>
      <c r="F415" s="143" t="n">
        <f aca="false">F412/F9</f>
        <v>0.526979662058719</v>
      </c>
      <c r="G415" s="143" t="n">
        <f aca="false">G412/G9</f>
        <v>0.579883306791721</v>
      </c>
      <c r="H415" s="143" t="n">
        <f aca="false">H412/H9</f>
        <v>0.573802695986083</v>
      </c>
      <c r="I415" s="143" t="n">
        <f aca="false">I412/I9</f>
        <v>0.646100007515615</v>
      </c>
      <c r="J415" s="143" t="n">
        <f aca="false">J412/J9</f>
        <v>0.647613293349002</v>
      </c>
      <c r="K415" s="143" t="n">
        <f aca="false">K412/K9</f>
        <v>0.628676548612802</v>
      </c>
      <c r="L415" s="143" t="n">
        <f aca="false">L412/L9</f>
        <v>0.671530247283137</v>
      </c>
      <c r="M415" s="143" t="n">
        <f aca="false">M412/M9</f>
        <v>0.695407689500774</v>
      </c>
      <c r="N415" s="143" t="n">
        <f aca="false">N412/N9</f>
        <v>0.757760558297855</v>
      </c>
      <c r="O415" s="143" t="n">
        <f aca="false">O412/O9</f>
        <v>0.777615300654714</v>
      </c>
      <c r="P415" s="143" t="n">
        <f aca="false">P412/P9</f>
        <v>0.810686612488612</v>
      </c>
      <c r="Q415" s="143" t="n">
        <f aca="false">Q412/Q9</f>
        <v>0.790827843523378</v>
      </c>
      <c r="R415" s="143" t="n">
        <f aca="false">R412/R9</f>
        <v>0.798191657510436</v>
      </c>
      <c r="S415" s="76" t="s">
        <v>137</v>
      </c>
      <c r="T415" s="13"/>
      <c r="U415" s="142"/>
      <c r="W415" s="144"/>
      <c r="X415" s="144"/>
      <c r="Y415" s="144"/>
    </row>
    <row r="416" customFormat="false" ht="13.8" hidden="false" customHeight="false" outlineLevel="0" collapsed="false">
      <c r="A416" s="63" t="s">
        <v>139</v>
      </c>
      <c r="B416" s="47"/>
      <c r="C416" s="31" t="n">
        <f aca="false">(C412-B412)/B412*100/5</f>
        <v>2.58364014033743</v>
      </c>
      <c r="D416" s="31" t="n">
        <f aca="false">(D412-C412)/C412*100/5</f>
        <v>1.88951885246056</v>
      </c>
      <c r="E416" s="31" t="n">
        <f aca="false">(E412-D412)/D412*100/5</f>
        <v>2.56290390499038</v>
      </c>
      <c r="F416" s="31" t="n">
        <f aca="false">(F412-E412)/E412*100/5</f>
        <v>2.11270337594795</v>
      </c>
      <c r="G416" s="31" t="n">
        <f aca="false">(G412-F412)/F412*100/5</f>
        <v>4.59192496037606</v>
      </c>
      <c r="H416" s="31" t="n">
        <f aca="false">(H412-G412)/G412*100/5</f>
        <v>1.88995697588748</v>
      </c>
      <c r="I416" s="31" t="n">
        <f aca="false">(I412-H412)/H412*100/5</f>
        <v>4.78271363391317</v>
      </c>
      <c r="J416" s="31" t="n">
        <f aca="false">(J412-I412)/I412*100/5</f>
        <v>2.03057741631003</v>
      </c>
      <c r="K416" s="31" t="n">
        <f aca="false">(K412-J412)/J412*100/5</f>
        <v>1.25022621208548</v>
      </c>
      <c r="L416" s="31" t="n">
        <f aca="false">(L412-K412)/K412*100/5</f>
        <v>3.0723626852659</v>
      </c>
      <c r="M416" s="31" t="n">
        <f aca="false">(M412-L412)/L412*100/5</f>
        <v>2.06771463119711</v>
      </c>
      <c r="N416" s="31" t="n">
        <f aca="false">(N412-M412)/M412*100/5</f>
        <v>3.01369863013699</v>
      </c>
      <c r="O416" s="31" t="n">
        <f aca="false">(O412-N412)/N412*100/5</f>
        <v>1.44761904761905</v>
      </c>
      <c r="P416" s="31" t="n">
        <f aca="false">(P412-O412)/O412*100/5</f>
        <v>1.5595026642984</v>
      </c>
      <c r="Q416" s="31" t="n">
        <f aca="false">(Q412-P412)/P412*100/5</f>
        <v>-0.0411929477673385</v>
      </c>
      <c r="R416" s="31" t="n">
        <f aca="false">(R412-Q412)/Q412*100/5</f>
        <v>0.428465285230737</v>
      </c>
      <c r="S416" s="76" t="s">
        <v>25</v>
      </c>
      <c r="T416" s="13"/>
      <c r="U416" s="144" t="s">
        <v>138</v>
      </c>
      <c r="W416" s="145"/>
      <c r="X416" s="145"/>
      <c r="Y416" s="145"/>
    </row>
    <row r="417" customFormat="false" ht="11.25" hidden="false" customHeight="false" outlineLevel="0" collapsed="false">
      <c r="A417" s="63" t="s">
        <v>141</v>
      </c>
      <c r="B417" s="47"/>
      <c r="C417" s="31" t="n">
        <f aca="false">(C413-B413)/B413*100/5</f>
        <v>-0.19799162732318</v>
      </c>
      <c r="D417" s="31" t="n">
        <f aca="false">(D413-C413)/C413*100/5</f>
        <v>0.0942017737712903</v>
      </c>
      <c r="E417" s="31" t="n">
        <f aca="false">(E413-D413)/D413*100/5</f>
        <v>2.01925410223152</v>
      </c>
      <c r="F417" s="31" t="n">
        <f aca="false">(F413-E413)/E413*100/5</f>
        <v>1.62536338972095</v>
      </c>
      <c r="G417" s="31" t="n">
        <f aca="false">(G413-F413)/F413*100/5</f>
        <v>4.48569551550125</v>
      </c>
      <c r="H417" s="31" t="n">
        <f aca="false">(H413-G413)/G413*100/5</f>
        <v>-0.151549810781535</v>
      </c>
      <c r="I417" s="31" t="n">
        <f aca="false">(I413-H413)/H413*100/5</f>
        <v>2.90504653426236</v>
      </c>
      <c r="J417" s="31" t="n">
        <f aca="false">(J413-I413)/I413*100/5</f>
        <v>0.483222918456995</v>
      </c>
      <c r="K417" s="31" t="n">
        <f aca="false">(K413-J413)/J413*100/5</f>
        <v>0.0794845055519971</v>
      </c>
      <c r="L417" s="31" t="n">
        <f aca="false">(L413-K413)/K413*100/5</f>
        <v>0.666666666666667</v>
      </c>
      <c r="M417" s="31" t="n">
        <f aca="false">(M413-L413)/L413*100/5</f>
        <v>0.473118279569893</v>
      </c>
      <c r="N417" s="31" t="n">
        <f aca="false">(N413-M413)/M413*100/5</f>
        <v>0.92436974789916</v>
      </c>
      <c r="O417" s="31" t="n">
        <f aca="false">(O413-N413)/N413*100/5</f>
        <v>0.682730923694779</v>
      </c>
      <c r="P417" s="31" t="n">
        <f aca="false">(P413-O413)/O413*100/5</f>
        <v>-0.0776699029126214</v>
      </c>
      <c r="Q417" s="31" t="n">
        <f aca="false">(Q413-P413)/P413*100/5</f>
        <v>-0.857699805068226</v>
      </c>
      <c r="R417" s="31" t="n">
        <f aca="false">(R413-Q413)/Q413*100/5</f>
        <v>-0.65173116089613</v>
      </c>
      <c r="S417" s="76" t="s">
        <v>25</v>
      </c>
      <c r="T417" s="13"/>
      <c r="U417" s="144" t="s">
        <v>140</v>
      </c>
      <c r="V417" s="41"/>
    </row>
    <row r="418" customFormat="false" ht="12.65" hidden="false" customHeight="false" outlineLevel="0" collapsed="false">
      <c r="A418" s="108" t="s">
        <v>7</v>
      </c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T418" s="13"/>
    </row>
    <row r="419" customFormat="false" ht="11.25" hidden="false" customHeight="false" outlineLevel="0" collapsed="false">
      <c r="B419" s="24" t="n">
        <v>1970</v>
      </c>
      <c r="C419" s="24" t="n">
        <v>1975</v>
      </c>
      <c r="D419" s="24" t="n">
        <v>1980</v>
      </c>
      <c r="E419" s="24" t="n">
        <v>1985</v>
      </c>
      <c r="F419" s="24" t="n">
        <v>1990</v>
      </c>
      <c r="G419" s="24" t="n">
        <v>1995</v>
      </c>
      <c r="H419" s="24" t="n">
        <v>2000</v>
      </c>
      <c r="I419" s="24" t="n">
        <v>2005</v>
      </c>
      <c r="J419" s="24" t="n">
        <v>2010</v>
      </c>
      <c r="K419" s="24" t="n">
        <v>2015</v>
      </c>
      <c r="L419" s="24" t="n">
        <v>2020</v>
      </c>
      <c r="M419" s="24" t="n">
        <v>2025</v>
      </c>
      <c r="N419" s="24" t="n">
        <v>2030</v>
      </c>
      <c r="O419" s="24" t="n">
        <v>2035</v>
      </c>
      <c r="P419" s="24" t="n">
        <v>2040</v>
      </c>
      <c r="Q419" s="24" t="n">
        <v>2045</v>
      </c>
      <c r="R419" s="24" t="n">
        <v>2050</v>
      </c>
      <c r="S419" s="25" t="s">
        <v>15</v>
      </c>
      <c r="T419" s="13"/>
    </row>
    <row r="420" s="3" customFormat="true" ht="11.25" hidden="false" customHeight="false" outlineLevel="0" collapsed="false">
      <c r="J420" s="146" t="str">
        <f aca="false">CONCATENATE(A412,", Your forecast")</f>
        <v> Produção de alimentos, sua previsão</v>
      </c>
      <c r="K420" s="84" t="n">
        <f aca="false">K421*K422</f>
        <v>1433.75</v>
      </c>
      <c r="L420" s="84" t="n">
        <f aca="false">L421*L422</f>
        <v>1588.5016</v>
      </c>
      <c r="M420" s="84" t="n">
        <f aca="false">M421*M422</f>
        <v>1752.73</v>
      </c>
      <c r="N420" s="84" t="n">
        <f aca="false">N421*N422</f>
        <v>2016.84</v>
      </c>
      <c r="O420" s="84" t="n">
        <f aca="false">O421*O422</f>
        <v>2162.8208</v>
      </c>
      <c r="P420" s="84" t="n">
        <f aca="false">P421*P422</f>
        <v>2331.46704</v>
      </c>
      <c r="Q420" s="84" t="n">
        <f aca="false">Q421*Q422</f>
        <v>2326.66504</v>
      </c>
      <c r="R420" s="84" t="n">
        <f aca="false">R421*R422</f>
        <v>2376.5098</v>
      </c>
      <c r="S420" s="76" t="str">
        <f aca="false">S412</f>
        <v> Monte</v>
      </c>
      <c r="T420" s="13"/>
      <c r="AA420" s="52" t="s">
        <v>36</v>
      </c>
    </row>
    <row r="421" s="3" customFormat="true" ht="15" hidden="false" customHeight="false" outlineLevel="0" collapsed="false">
      <c r="H421" s="5"/>
      <c r="I421" s="5"/>
      <c r="J421" s="147" t="str">
        <f aca="false">CONCATENATE(A413,", Your forecast")</f>
        <v> Terra cultivada, sua previsão</v>
      </c>
      <c r="K421" s="68" t="n">
        <f aca="false">K413</f>
        <v>450</v>
      </c>
      <c r="L421" s="68" t="n">
        <f aca="false">L413*0.98</f>
        <v>455.7</v>
      </c>
      <c r="M421" s="68" t="n">
        <f aca="false">M413*0.98</f>
        <v>466.48</v>
      </c>
      <c r="N421" s="68" t="n">
        <f aca="false">N413*0.98</f>
        <v>488.04</v>
      </c>
      <c r="O421" s="68" t="n">
        <f aca="false">O413*0.98</f>
        <v>504.7</v>
      </c>
      <c r="P421" s="68" t="n">
        <f aca="false">P413*0.98</f>
        <v>502.74</v>
      </c>
      <c r="Q421" s="68" t="n">
        <f aca="false">Q413*0.98</f>
        <v>481.18</v>
      </c>
      <c r="R421" s="68" t="n">
        <f aca="false">R413*0.98</f>
        <v>465.5</v>
      </c>
      <c r="S421" s="76" t="str">
        <f aca="false">S413</f>
        <v> Mha</v>
      </c>
      <c r="T421" s="13"/>
      <c r="AA421" s="16"/>
      <c r="AB421" s="24" t="n">
        <v>1970</v>
      </c>
      <c r="AC421" s="24" t="n">
        <v>1975</v>
      </c>
      <c r="AD421" s="24" t="n">
        <v>1980</v>
      </c>
      <c r="AE421" s="24" t="n">
        <v>1985</v>
      </c>
      <c r="AF421" s="24" t="n">
        <v>1990</v>
      </c>
      <c r="AG421" s="24" t="n">
        <v>1995</v>
      </c>
      <c r="AH421" s="24" t="n">
        <v>2000</v>
      </c>
      <c r="AI421" s="24" t="n">
        <v>2005</v>
      </c>
      <c r="AJ421" s="24" t="n">
        <v>2010</v>
      </c>
      <c r="AK421" s="24" t="n">
        <v>2015</v>
      </c>
      <c r="AL421" s="24" t="n">
        <v>2020</v>
      </c>
      <c r="AM421" s="24" t="n">
        <v>2025</v>
      </c>
      <c r="AN421" s="24" t="n">
        <v>2030</v>
      </c>
      <c r="AO421" s="24" t="n">
        <v>2035</v>
      </c>
      <c r="AP421" s="24" t="n">
        <v>2040</v>
      </c>
      <c r="AQ421" s="24" t="n">
        <v>2045</v>
      </c>
      <c r="AR421" s="24" t="n">
        <v>2050</v>
      </c>
    </row>
    <row r="422" s="3" customFormat="true" ht="11.25" hidden="false" customHeight="false" outlineLevel="0" collapsed="false">
      <c r="H422" s="5"/>
      <c r="I422" s="5"/>
      <c r="J422" s="147" t="str">
        <f aca="false">CONCATENATE(A414,", Your forecast")</f>
        <v> Rendimento bruto, sua previsão</v>
      </c>
      <c r="K422" s="39" t="n">
        <f aca="false">K414</f>
        <v>3.18611111111111</v>
      </c>
      <c r="L422" s="39" t="n">
        <f aca="false">L414*0.98</f>
        <v>3.48584946236559</v>
      </c>
      <c r="M422" s="39" t="n">
        <f aca="false">M414*0.98</f>
        <v>3.75735294117647</v>
      </c>
      <c r="N422" s="39" t="n">
        <f aca="false">N414*0.98</f>
        <v>4.13253012048193</v>
      </c>
      <c r="O422" s="39" t="n">
        <f aca="false">O414*0.98</f>
        <v>4.28535922330097</v>
      </c>
      <c r="P422" s="39" t="n">
        <f aca="false">P414*0.98</f>
        <v>4.63752046783626</v>
      </c>
      <c r="Q422" s="39" t="n">
        <f aca="false">Q414*0.98</f>
        <v>4.83533197556008</v>
      </c>
      <c r="R422" s="39" t="n">
        <f aca="false">R414*0.98</f>
        <v>5.10528421052632</v>
      </c>
      <c r="S422" s="76" t="str">
        <f aca="false">S414</f>
        <v> t / ha</v>
      </c>
      <c r="T422" s="13"/>
      <c r="AA422" s="148" t="str">
        <f aca="false">CONCATENATE("Food production (0 - ",W428," Mt / yr)")</f>
        <v> Produção de alimentos (0 - 2500 Mt/ano)</v>
      </c>
      <c r="AB422" s="57" t="n">
        <f aca="false">B412/$W428</f>
        <v>0.190616574</v>
      </c>
      <c r="AC422" s="57" t="n">
        <f aca="false">C412/$W428</f>
        <v>0.2152408056</v>
      </c>
      <c r="AD422" s="57" t="n">
        <f aca="false">D412/$W428</f>
        <v>0.2355758836</v>
      </c>
      <c r="AE422" s="57" t="n">
        <f aca="false">E412/$W428</f>
        <v>0.2657638012</v>
      </c>
      <c r="AF422" s="57" t="n">
        <f aca="false">F412/$W428</f>
        <v>0.2938378052</v>
      </c>
      <c r="AG422" s="57" t="n">
        <f aca="false">G412/$W428</f>
        <v>0.3613018628</v>
      </c>
      <c r="AH422" s="57" t="n">
        <f aca="false">H412/$W428</f>
        <v>0.3954441116</v>
      </c>
      <c r="AI422" s="57" t="n">
        <f aca="false">I412/$W428</f>
        <v>0.4900089088</v>
      </c>
      <c r="AJ422" s="57" t="n">
        <f aca="false">J412/$W428</f>
        <v>0.53975896</v>
      </c>
      <c r="AK422" s="57" t="n">
        <f aca="false">K412/$W428</f>
        <v>0.5735</v>
      </c>
      <c r="AL422" s="57" t="n">
        <f aca="false">L412/$W428</f>
        <v>0.6616</v>
      </c>
      <c r="AM422" s="57" t="n">
        <f aca="false">M412/$W428</f>
        <v>0.73</v>
      </c>
      <c r="AN422" s="57" t="n">
        <f aca="false">N412/$W428</f>
        <v>0.84</v>
      </c>
      <c r="AO422" s="57" t="n">
        <f aca="false">O412/$W428</f>
        <v>0.9008</v>
      </c>
      <c r="AP422" s="57" t="n">
        <f aca="false">P412/$W428</f>
        <v>0.97104</v>
      </c>
      <c r="AQ422" s="57" t="n">
        <f aca="false">Q412/$W428</f>
        <v>0.96904</v>
      </c>
      <c r="AR422" s="57" t="n">
        <f aca="false">R412/$W428</f>
        <v>0.9898</v>
      </c>
    </row>
    <row r="423" s="3" customFormat="true" ht="11.25" hidden="false" customHeight="false" outlineLevel="0" collapsed="false">
      <c r="G423" s="8"/>
      <c r="H423" s="8"/>
      <c r="I423" s="8"/>
      <c r="J423" s="146" t="str">
        <f aca="false">CONCATENATE(A415,", Your forecast")</f>
        <v> Alimentação por pessoa, sua previsão</v>
      </c>
      <c r="K423" s="149" t="n">
        <f aca="false">K420/K17</f>
        <v>0.628676548612802</v>
      </c>
      <c r="L423" s="149" t="n">
        <f aca="false">L420/L17</f>
        <v>0.645894530276319</v>
      </c>
      <c r="M423" s="149" t="n">
        <f aca="false">M420/M17</f>
        <v>0.669683805334993</v>
      </c>
      <c r="N423" s="149" t="n">
        <f aca="false">N420/N17</f>
        <v>0.730504951912201</v>
      </c>
      <c r="O423" s="149" t="n">
        <f aca="false">O420/O17</f>
        <v>0.750291730725608</v>
      </c>
      <c r="P423" s="149" t="n">
        <f aca="false">P420/P17</f>
        <v>0.7827157399247</v>
      </c>
      <c r="Q423" s="149" t="n">
        <f aca="false">Q420/Q17</f>
        <v>0.763885639187836</v>
      </c>
      <c r="R423" s="149" t="n">
        <f aca="false">R420/R17</f>
        <v>0.771181469026004</v>
      </c>
      <c r="S423" s="76" t="str">
        <f aca="false">S415</f>
        <v> t / pessoa-ano</v>
      </c>
      <c r="T423" s="13"/>
      <c r="AA423" s="148" t="str">
        <f aca="false">CONCATENATE("Cultivated land (0 - ",W429," Mha)")</f>
        <v> Terra cultivada (0 - 700 milhões de hectares)</v>
      </c>
      <c r="AB423" s="57" t="n">
        <f aca="false">B413/$W429</f>
        <v>0.379417487142857</v>
      </c>
      <c r="AC423" s="57" t="n">
        <f aca="false">C413/$W429</f>
        <v>0.375661412857143</v>
      </c>
      <c r="AD423" s="57" t="n">
        <f aca="false">D413/$W429</f>
        <v>0.377430811428571</v>
      </c>
      <c r="AE423" s="57" t="n">
        <f aca="false">E413/$W429</f>
        <v>0.415537247142857</v>
      </c>
      <c r="AF423" s="57" t="n">
        <f aca="false">F413/$W429</f>
        <v>0.449307198571429</v>
      </c>
      <c r="AG423" s="57" t="n">
        <f aca="false">G413/$W429</f>
        <v>0.550079962857143</v>
      </c>
      <c r="AH423" s="57" t="n">
        <f aca="false">H413/$W429</f>
        <v>0.545911737142857</v>
      </c>
      <c r="AI423" s="57" t="n">
        <f aca="false">I413/$W429</f>
        <v>0.625206687142857</v>
      </c>
      <c r="AJ423" s="57" t="n">
        <f aca="false">J413/$W429</f>
        <v>0.640312397142857</v>
      </c>
      <c r="AK423" s="57" t="n">
        <f aca="false">K413/$W429</f>
        <v>0.642857142857143</v>
      </c>
      <c r="AL423" s="57" t="n">
        <f aca="false">L413/$W429</f>
        <v>0.664285714285714</v>
      </c>
      <c r="AM423" s="57" t="n">
        <f aca="false">M413/$W429</f>
        <v>0.68</v>
      </c>
      <c r="AN423" s="57" t="n">
        <f aca="false">N413/$W429</f>
        <v>0.711428571428571</v>
      </c>
      <c r="AO423" s="57" t="n">
        <f aca="false">O413/$W429</f>
        <v>0.735714285714286</v>
      </c>
      <c r="AP423" s="57" t="n">
        <f aca="false">P413/$W429</f>
        <v>0.732857142857143</v>
      </c>
      <c r="AQ423" s="57" t="n">
        <f aca="false">Q413/$W429</f>
        <v>0.701428571428571</v>
      </c>
      <c r="AR423" s="57" t="n">
        <f aca="false">R413/$W429</f>
        <v>0.678571428571429</v>
      </c>
    </row>
    <row r="424" s="3" customFormat="true" ht="11.25" hidden="false" customHeight="false" outlineLevel="0" collapsed="false">
      <c r="G424" s="8"/>
      <c r="H424" s="8"/>
      <c r="I424" s="8"/>
      <c r="J424" s="146" t="str">
        <f aca="false">CONCATENATE(A416,", Your forecast")</f>
        <v> Crescimento na produção de alimentos, sua previsão</v>
      </c>
      <c r="K424" s="91" t="n">
        <f aca="false">(K420-J412)/J412*100/5</f>
        <v>1.25022621208548</v>
      </c>
      <c r="L424" s="91" t="n">
        <f aca="false">(L420-K420)/K420*100/5</f>
        <v>2.15869712292937</v>
      </c>
      <c r="M424" s="91" t="n">
        <f aca="false">(M420-L420)/L420*100/5</f>
        <v>2.06771463119711</v>
      </c>
      <c r="N424" s="91" t="n">
        <f aca="false">(N420-M420)/M420*100/5</f>
        <v>3.01369863013698</v>
      </c>
      <c r="O424" s="91" t="n">
        <f aca="false">(O420-N420)/N420*100/5</f>
        <v>1.44761904761906</v>
      </c>
      <c r="P424" s="91" t="n">
        <f aca="false">(P420-O420)/O420*100/5</f>
        <v>1.5595026642984</v>
      </c>
      <c r="Q424" s="91" t="n">
        <f aca="false">(Q420-P420)/P420*100/5</f>
        <v>-0.0411929477673395</v>
      </c>
      <c r="R424" s="91" t="n">
        <f aca="false">(R420-Q420)/Q420*100/5</f>
        <v>0.428465285230735</v>
      </c>
      <c r="S424" s="76" t="str">
        <f aca="false">S416</f>
        <v> % por ano</v>
      </c>
      <c r="T424" s="13"/>
      <c r="AA424" s="148" t="str">
        <f aca="false">CONCATENATE("Gross yield (0 - ",W430," t / ha-yr)")</f>
        <v> Rendimento bruto (0 - 6 t / ha-ano)</v>
      </c>
      <c r="AB424" s="57" t="n">
        <f aca="false">B414/$W430</f>
        <v>0.299043270996761</v>
      </c>
      <c r="AC424" s="57" t="n">
        <f aca="false">C414/$W430</f>
        <v>0.341050538484714</v>
      </c>
      <c r="AD424" s="57" t="n">
        <f aca="false">D414/$W430</f>
        <v>0.371521709389199</v>
      </c>
      <c r="AE424" s="57" t="n">
        <f aca="false">E414/$W430</f>
        <v>0.380694486227702</v>
      </c>
      <c r="AF424" s="57" t="n">
        <f aca="false">F414/$W430</f>
        <v>0.389273655156863</v>
      </c>
      <c r="AG424" s="57" t="n">
        <f aca="false">G414/$W430</f>
        <v>0.390962491165851</v>
      </c>
      <c r="AH424" s="57" t="n">
        <f aca="false">H414/$W430</f>
        <v>0.431174828725671</v>
      </c>
      <c r="AI424" s="57" t="n">
        <f aca="false">I414/$W430</f>
        <v>0.46652087305196</v>
      </c>
      <c r="AJ424" s="57" t="n">
        <f aca="false">J414/$W430</f>
        <v>0.50176304046541</v>
      </c>
      <c r="AK424" s="57" t="n">
        <f aca="false">K414/$W430</f>
        <v>0.531018518518518</v>
      </c>
      <c r="AL424" s="57" t="n">
        <f aca="false">L414/$W430</f>
        <v>0.592831541218638</v>
      </c>
      <c r="AM424" s="57" t="n">
        <f aca="false">M414/$W430</f>
        <v>0.639005602240896</v>
      </c>
      <c r="AN424" s="57" t="n">
        <f aca="false">N414/$W430</f>
        <v>0.70281124497992</v>
      </c>
      <c r="AO424" s="57" t="n">
        <f aca="false">O414/$W430</f>
        <v>0.728802588996764</v>
      </c>
      <c r="AP424" s="57" t="n">
        <f aca="false">P414/$W430</f>
        <v>0.78869395711501</v>
      </c>
      <c r="AQ424" s="57" t="n">
        <f aca="false">Q414/$W430</f>
        <v>0.822335369993211</v>
      </c>
      <c r="AR424" s="57" t="n">
        <f aca="false">R414/$W430</f>
        <v>0.868245614035088</v>
      </c>
    </row>
    <row r="425" s="3" customFormat="true" ht="11.25" hidden="false" customHeight="false" outlineLevel="0" collapsed="false">
      <c r="G425" s="8"/>
      <c r="H425" s="8"/>
      <c r="I425" s="8"/>
      <c r="J425" s="146" t="str">
        <f aca="false">CONCATENATE(A417,", Your forecast")</f>
        <v> Crescimento das terras cultivadas, sua previsão</v>
      </c>
      <c r="K425" s="91" t="n">
        <f aca="false">(K421-J413)/J413*100/5</f>
        <v>0.0794845055519971</v>
      </c>
      <c r="L425" s="91" t="n">
        <f aca="false">(L421-K421)/K421*100/5</f>
        <v>0.253333333333333</v>
      </c>
      <c r="M425" s="91" t="n">
        <f aca="false">(M421-L421)/L421*100/5</f>
        <v>0.473118279569894</v>
      </c>
      <c r="N425" s="91" t="n">
        <f aca="false">(N421-M421)/M421*100/5</f>
        <v>0.924369747899157</v>
      </c>
      <c r="O425" s="91" t="n">
        <f aca="false">(O421-N421)/N421*100/5</f>
        <v>0.68273092369478</v>
      </c>
      <c r="P425" s="91" t="n">
        <f aca="false">(P421-O421)/O421*100/5</f>
        <v>-0.0776699029126206</v>
      </c>
      <c r="Q425" s="91" t="n">
        <f aca="false">(Q421-P421)/P421*100/5</f>
        <v>-0.857699805068226</v>
      </c>
      <c r="R425" s="91" t="n">
        <f aca="false">(R421-Q421)/Q421*100/5</f>
        <v>-0.651731160896131</v>
      </c>
      <c r="S425" s="76" t="str">
        <f aca="false">S417</f>
        <v> % por ano</v>
      </c>
      <c r="T425" s="13"/>
      <c r="X425" s="15" t="s">
        <v>33</v>
      </c>
      <c r="AA425" s="148" t="str">
        <f aca="false">CONCATENATE("Food per person (0 - ",W431," t / person - yr)")</f>
        <v> Alimento por pessoa (0 - 2 t / pessoa - ano)</v>
      </c>
      <c r="AB425" s="57" t="n">
        <f aca="false">B415/$W431</f>
        <v>0.276115575849432</v>
      </c>
      <c r="AC425" s="57" t="n">
        <f aca="false">C415/$W431</f>
        <v>0.27773040057473</v>
      </c>
      <c r="AD425" s="57" t="n">
        <f aca="false">D415/$W431</f>
        <v>0.269185468803774</v>
      </c>
      <c r="AE425" s="57" t="n">
        <f aca="false">E415/$W431</f>
        <v>0.268642675182676</v>
      </c>
      <c r="AF425" s="57" t="n">
        <f aca="false">F415/$W431</f>
        <v>0.263489831029359</v>
      </c>
      <c r="AG425" s="57" t="n">
        <f aca="false">G415/$W431</f>
        <v>0.28994165339586</v>
      </c>
      <c r="AH425" s="57" t="n">
        <f aca="false">H415/$W431</f>
        <v>0.286901347993042</v>
      </c>
      <c r="AI425" s="57" t="n">
        <f aca="false">I415/$W431</f>
        <v>0.323050003757808</v>
      </c>
      <c r="AJ425" s="57" t="n">
        <f aca="false">J415/$W431</f>
        <v>0.323806646674501</v>
      </c>
      <c r="AK425" s="57" t="n">
        <f aca="false">K415/$W431</f>
        <v>0.314338274306401</v>
      </c>
      <c r="AL425" s="57" t="n">
        <f aca="false">L415/$W431</f>
        <v>0.335765123641569</v>
      </c>
      <c r="AM425" s="57" t="n">
        <f aca="false">M415/$W431</f>
        <v>0.347703844750387</v>
      </c>
      <c r="AN425" s="57" t="n">
        <f aca="false">N415/$W431</f>
        <v>0.378880279148927</v>
      </c>
      <c r="AO425" s="57" t="n">
        <f aca="false">O415/$W431</f>
        <v>0.388807650327357</v>
      </c>
      <c r="AP425" s="57" t="n">
        <f aca="false">P415/$W431</f>
        <v>0.405343306244306</v>
      </c>
      <c r="AQ425" s="57" t="n">
        <f aca="false">Q415/$W431</f>
        <v>0.395413921761689</v>
      </c>
      <c r="AR425" s="57" t="n">
        <f aca="false">R415/$W431</f>
        <v>0.399095828755218</v>
      </c>
    </row>
    <row r="426" customFormat="false" ht="11.25" hidden="false" customHeight="false" outlineLevel="0" collapsed="false">
      <c r="T426" s="13"/>
      <c r="V426" s="3" t="s">
        <v>35</v>
      </c>
      <c r="AA426" s="148" t="s">
        <v>142</v>
      </c>
      <c r="AB426" s="57" t="n">
        <f aca="false">B416/$W430</f>
        <v>0</v>
      </c>
      <c r="AC426" s="57" t="n">
        <f aca="false">C416/$W430</f>
        <v>0.430606690056239</v>
      </c>
      <c r="AD426" s="57" t="n">
        <f aca="false">D416/$W430</f>
        <v>0.314919808743427</v>
      </c>
      <c r="AE426" s="57" t="n">
        <f aca="false">E416/$W430</f>
        <v>0.42715065083173</v>
      </c>
      <c r="AF426" s="57" t="n">
        <f aca="false">F416/$W430</f>
        <v>0.352117229324659</v>
      </c>
      <c r="AG426" s="57" t="n">
        <f aca="false">G416/$W430</f>
        <v>0.765320826729344</v>
      </c>
      <c r="AH426" s="57" t="n">
        <f aca="false">H416/$W430</f>
        <v>0.31499282931458</v>
      </c>
      <c r="AI426" s="57" t="n">
        <f aca="false">I416/$W430</f>
        <v>0.797118938985528</v>
      </c>
      <c r="AJ426" s="57" t="n">
        <f aca="false">J416/$W430</f>
        <v>0.338429569385005</v>
      </c>
      <c r="AK426" s="57" t="n">
        <f aca="false">K416/$W430</f>
        <v>0.20837103534758</v>
      </c>
      <c r="AL426" s="57" t="n">
        <f aca="false">L416/$W430</f>
        <v>0.512060447544316</v>
      </c>
      <c r="AM426" s="57" t="n">
        <f aca="false">M416/$W430</f>
        <v>0.344619105199518</v>
      </c>
      <c r="AN426" s="57" t="n">
        <f aca="false">N416/$W430</f>
        <v>0.502283105022831</v>
      </c>
      <c r="AO426" s="57" t="n">
        <f aca="false">O416/$W430</f>
        <v>0.241269841269842</v>
      </c>
      <c r="AP426" s="57" t="n">
        <f aca="false">P416/$W430</f>
        <v>0.2599171107164</v>
      </c>
      <c r="AQ426" s="57" t="n">
        <f aca="false">Q416/$W430</f>
        <v>-0.00686549129455641</v>
      </c>
      <c r="AR426" s="57" t="n">
        <f aca="false">R416/$W430</f>
        <v>0.0714108808717895</v>
      </c>
    </row>
    <row r="427" customFormat="false" ht="28.3" hidden="false" customHeight="false" outlineLevel="0" collapsed="false">
      <c r="T427" s="13"/>
      <c r="U427" s="53" t="s">
        <v>37</v>
      </c>
      <c r="V427" s="54" t="s">
        <v>38</v>
      </c>
      <c r="W427" s="54" t="s">
        <v>39</v>
      </c>
      <c r="X427" s="55"/>
      <c r="Y427" s="55"/>
      <c r="AA427" s="148" t="s">
        <v>143</v>
      </c>
      <c r="AB427" s="57" t="n">
        <f aca="false">B417/$W431</f>
        <v>0</v>
      </c>
      <c r="AC427" s="57" t="n">
        <f aca="false">C417/$W431</f>
        <v>-0.0989958136615899</v>
      </c>
      <c r="AD427" s="57" t="n">
        <f aca="false">D417/$W431</f>
        <v>0.0471008868856452</v>
      </c>
      <c r="AE427" s="57" t="n">
        <f aca="false">E417/$W431</f>
        <v>1.00962705111576</v>
      </c>
      <c r="AF427" s="57" t="n">
        <f aca="false">F417/$W431</f>
        <v>0.812681694860477</v>
      </c>
      <c r="AG427" s="57" t="n">
        <f aca="false">G417/$W431</f>
        <v>2.24284775775062</v>
      </c>
      <c r="AH427" s="57" t="n">
        <f aca="false">H417/$W431</f>
        <v>-0.0757749053907677</v>
      </c>
      <c r="AI427" s="57" t="n">
        <f aca="false">I417/$W431</f>
        <v>1.45252326713118</v>
      </c>
      <c r="AJ427" s="57" t="n">
        <f aca="false">J417/$W431</f>
        <v>0.241611459228497</v>
      </c>
      <c r="AK427" s="57" t="n">
        <f aca="false">K417/$W431</f>
        <v>0.0397422527759985</v>
      </c>
      <c r="AL427" s="57" t="n">
        <f aca="false">L417/$W431</f>
        <v>0.333333333333333</v>
      </c>
      <c r="AM427" s="57" t="n">
        <f aca="false">M417/$W431</f>
        <v>0.236559139784946</v>
      </c>
      <c r="AN427" s="57" t="n">
        <f aca="false">N417/$W431</f>
        <v>0.46218487394958</v>
      </c>
      <c r="AO427" s="57" t="n">
        <f aca="false">O417/$W431</f>
        <v>0.34136546184739</v>
      </c>
      <c r="AP427" s="57" t="n">
        <f aca="false">P417/$W431</f>
        <v>-0.0388349514563107</v>
      </c>
      <c r="AQ427" s="57" t="n">
        <f aca="false">Q417/$W431</f>
        <v>-0.428849902534113</v>
      </c>
      <c r="AR427" s="57" t="n">
        <f aca="false">R417/$W431</f>
        <v>-0.325865580448065</v>
      </c>
    </row>
    <row r="428" customFormat="false" ht="12" hidden="false" customHeight="false" outlineLevel="0" collapsed="false">
      <c r="T428" s="13"/>
      <c r="U428" s="15" t="str">
        <f aca="false">AA422</f>
        <v>Produção de alimentos (0 - 2500 Mt/ano)</v>
      </c>
      <c r="V428" s="25" t="n">
        <v>2500</v>
      </c>
      <c r="W428" s="70" t="n">
        <f aca="false">W432</f>
        <v>2500</v>
      </c>
      <c r="AA428" s="150"/>
      <c r="AB428" s="24" t="n">
        <v>1970</v>
      </c>
      <c r="AC428" s="24" t="n">
        <v>1975</v>
      </c>
      <c r="AD428" s="24" t="n">
        <v>1980</v>
      </c>
      <c r="AE428" s="24" t="n">
        <v>1985</v>
      </c>
      <c r="AF428" s="24" t="n">
        <v>1990</v>
      </c>
      <c r="AG428" s="24" t="n">
        <v>1995</v>
      </c>
      <c r="AH428" s="24" t="n">
        <v>2000</v>
      </c>
      <c r="AI428" s="24" t="n">
        <v>2005</v>
      </c>
      <c r="AJ428" s="24" t="n">
        <v>2010</v>
      </c>
      <c r="AK428" s="24" t="n">
        <v>2015</v>
      </c>
      <c r="AL428" s="24" t="n">
        <v>2020</v>
      </c>
      <c r="AM428" s="24" t="n">
        <v>2025</v>
      </c>
      <c r="AN428" s="24" t="n">
        <v>2030</v>
      </c>
      <c r="AO428" s="24" t="n">
        <v>2035</v>
      </c>
      <c r="AP428" s="24" t="n">
        <v>2040</v>
      </c>
      <c r="AQ428" s="24" t="n">
        <v>2045</v>
      </c>
      <c r="AR428" s="24" t="n">
        <v>2050</v>
      </c>
    </row>
    <row r="429" customFormat="false" ht="11.25" hidden="false" customHeight="false" outlineLevel="0" collapsed="false">
      <c r="T429" s="13"/>
      <c r="U429" s="15" t="str">
        <f aca="false">AA423</f>
        <v> Terra cultivada (0 - 700 milhões de hectares)</v>
      </c>
      <c r="V429" s="25" t="n">
        <v>700</v>
      </c>
      <c r="W429" s="70" t="n">
        <f aca="false">W433</f>
        <v>700</v>
      </c>
      <c r="AA429" s="148" t="str">
        <f aca="false">CONCATENATE("Food production (0 - ",W432," Mt / yr), Your forecast")</f>
        <v> Produção de alimentos (0 - 2500 Mt/ano), sua previsão</v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57" t="n">
        <f aca="false">K420/$W432</f>
        <v>0.5735</v>
      </c>
      <c r="AL429" s="57" t="n">
        <f aca="false">L420/$W432</f>
        <v>0.63540064</v>
      </c>
      <c r="AM429" s="57" t="n">
        <f aca="false">M420/$W432</f>
        <v>0.701092</v>
      </c>
      <c r="AN429" s="57" t="n">
        <f aca="false">N420/$W432</f>
        <v>0.806736</v>
      </c>
      <c r="AO429" s="57" t="n">
        <f aca="false">O420/$W432</f>
        <v>0.86512832</v>
      </c>
      <c r="AP429" s="57" t="n">
        <f aca="false">P420/$W432</f>
        <v>0.932586816</v>
      </c>
      <c r="AQ429" s="57" t="n">
        <f aca="false">Q420/$W432</f>
        <v>0.930666016</v>
      </c>
      <c r="AR429" s="57" t="n">
        <f aca="false">R420/$W432</f>
        <v>0.95060392</v>
      </c>
    </row>
    <row r="430" s="3" customFormat="true" ht="11.25" hidden="false" customHeight="false" outlineLevel="0" collapsed="false">
      <c r="T430" s="13"/>
      <c r="U430" s="15" t="str">
        <f aca="false">AA424</f>
        <v> Rendimento bruto (0 - 6 t / ha-ano)</v>
      </c>
      <c r="V430" s="25" t="n">
        <v>6</v>
      </c>
      <c r="W430" s="70" t="n">
        <f aca="false">W434</f>
        <v>6</v>
      </c>
      <c r="AA430" s="148" t="str">
        <f aca="false">CONCATENATE("Cultivated land (0 - ",W433," Mha), Your forecast")</f>
        <v> Terra cultivada (0 - 700 Mha), Sua previsão</v>
      </c>
      <c r="AB430" s="29"/>
      <c r="AC430" s="29"/>
      <c r="AD430" s="29"/>
      <c r="AE430" s="29"/>
      <c r="AF430" s="29"/>
      <c r="AG430" s="29"/>
      <c r="AH430" s="29"/>
      <c r="AI430" s="29"/>
      <c r="AJ430" s="29"/>
      <c r="AK430" s="57" t="n">
        <f aca="false">K421/$W433</f>
        <v>0.642857142857143</v>
      </c>
      <c r="AL430" s="57" t="n">
        <f aca="false">L421/$W433</f>
        <v>0.651</v>
      </c>
      <c r="AM430" s="57" t="n">
        <f aca="false">M421/$W433</f>
        <v>0.6664</v>
      </c>
      <c r="AN430" s="57" t="n">
        <f aca="false">N421/$W433</f>
        <v>0.6972</v>
      </c>
      <c r="AO430" s="57" t="n">
        <f aca="false">O421/$W433</f>
        <v>0.721</v>
      </c>
      <c r="AP430" s="57" t="n">
        <f aca="false">P421/$W433</f>
        <v>0.7182</v>
      </c>
      <c r="AQ430" s="57" t="n">
        <f aca="false">Q421/$W433</f>
        <v>0.6874</v>
      </c>
      <c r="AR430" s="57" t="n">
        <f aca="false">R421/$W433</f>
        <v>0.665</v>
      </c>
    </row>
    <row r="431" s="3" customFormat="true" ht="11.25" hidden="false" customHeight="false" outlineLevel="0" collapsed="false">
      <c r="T431" s="13"/>
      <c r="U431" s="15" t="str">
        <f aca="false">AA425</f>
        <v> Alimento por pessoa (0 - 2 t / pessoa - ano)</v>
      </c>
      <c r="V431" s="25" t="n">
        <v>2</v>
      </c>
      <c r="W431" s="70" t="n">
        <f aca="false">W435</f>
        <v>2</v>
      </c>
      <c r="AA431" s="148" t="str">
        <f aca="false">CONCATENATE("Gross yield (0 - ",W434," t / ha-yr), Your forecast")</f>
        <v> Produtividade bruta (0 - 6 t/ha-ano), Sua previsão</v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57" t="n">
        <f aca="false">K422/$W434</f>
        <v>0.531018518518518</v>
      </c>
      <c r="AL431" s="57" t="n">
        <f aca="false">L422/$W434</f>
        <v>0.580974910394265</v>
      </c>
      <c r="AM431" s="57" t="n">
        <f aca="false">M422/$W434</f>
        <v>0.626225490196078</v>
      </c>
      <c r="AN431" s="57" t="n">
        <f aca="false">N422/$W434</f>
        <v>0.688755020080321</v>
      </c>
      <c r="AO431" s="57" t="n">
        <f aca="false">O422/$W434</f>
        <v>0.714226537216829</v>
      </c>
      <c r="AP431" s="57" t="n">
        <f aca="false">P422/$W434</f>
        <v>0.77292007797271</v>
      </c>
      <c r="AQ431" s="57" t="n">
        <f aca="false">Q422/$W434</f>
        <v>0.805888662593347</v>
      </c>
      <c r="AR431" s="57" t="n">
        <f aca="false">R422/$W434</f>
        <v>0.850880701754386</v>
      </c>
    </row>
    <row r="432" s="3" customFormat="true" ht="11.25" hidden="false" customHeight="false" outlineLevel="0" collapsed="false">
      <c r="S432" s="131"/>
      <c r="T432" s="13"/>
      <c r="U432" s="37" t="str">
        <f aca="false">AA429</f>
        <v> Produção de alimentos (0 - 2500 Mt/ano), sua previsão</v>
      </c>
      <c r="W432" s="4" t="n">
        <v>2500</v>
      </c>
      <c r="AA432" s="148" t="str">
        <f aca="false">CONCATENATE("Food per person (0 - ",W435," t / person - yr), Your forecast")</f>
        <v> Alimentação por pessoa (0 - 2 t/pessoa-ano), Sua previsão</v>
      </c>
      <c r="AB432" s="29"/>
      <c r="AC432" s="29"/>
      <c r="AD432" s="29"/>
      <c r="AE432" s="29"/>
      <c r="AF432" s="29"/>
      <c r="AG432" s="29"/>
      <c r="AH432" s="29"/>
      <c r="AI432" s="29"/>
      <c r="AJ432" s="29"/>
      <c r="AK432" s="57" t="n">
        <f aca="false">K423/$W435</f>
        <v>0.314338274306401</v>
      </c>
      <c r="AL432" s="57" t="n">
        <f aca="false">L423/$W435</f>
        <v>0.32294726513816</v>
      </c>
      <c r="AM432" s="57" t="n">
        <f aca="false">M423/$W435</f>
        <v>0.334841902667496</v>
      </c>
      <c r="AN432" s="57" t="n">
        <f aca="false">N423/$W435</f>
        <v>0.3652524759561</v>
      </c>
      <c r="AO432" s="57" t="n">
        <f aca="false">O423/$W435</f>
        <v>0.375145865362804</v>
      </c>
      <c r="AP432" s="57" t="n">
        <f aca="false">P423/$W435</f>
        <v>0.39135786996235</v>
      </c>
      <c r="AQ432" s="57" t="n">
        <f aca="false">Q423/$W435</f>
        <v>0.381942819593918</v>
      </c>
      <c r="AR432" s="57" t="n">
        <f aca="false">R423/$W435</f>
        <v>0.385590734513002</v>
      </c>
    </row>
    <row r="433" s="3" customFormat="true" ht="11.25" hidden="false" customHeight="false" outlineLevel="0" collapsed="false">
      <c r="T433" s="13"/>
      <c r="U433" s="37" t="str">
        <f aca="false">AA430</f>
        <v> Terra cultivada (0 - 700 Mha), Sua previsão</v>
      </c>
      <c r="W433" s="4" t="n">
        <v>700</v>
      </c>
      <c r="AA433" s="148"/>
      <c r="AB433" s="29"/>
      <c r="AC433" s="29"/>
      <c r="AD433" s="29"/>
      <c r="AE433" s="29"/>
      <c r="AF433" s="29"/>
      <c r="AG433" s="29"/>
      <c r="AH433" s="29"/>
      <c r="AI433" s="29"/>
      <c r="AJ433" s="29"/>
      <c r="AK433" s="57"/>
      <c r="AL433" s="57"/>
      <c r="AM433" s="57"/>
      <c r="AN433" s="57"/>
      <c r="AO433" s="57"/>
      <c r="AP433" s="57"/>
      <c r="AQ433" s="57"/>
      <c r="AR433" s="57"/>
    </row>
    <row r="434" s="3" customFormat="true" ht="11.25" hidden="false" customHeight="false" outlineLevel="0" collapsed="false">
      <c r="T434" s="13"/>
      <c r="U434" s="37" t="str">
        <f aca="false">AA431</f>
        <v> Produtividade bruta (0 - 6 t/ha-ano), Sua previsão</v>
      </c>
      <c r="W434" s="4" t="n">
        <v>6</v>
      </c>
      <c r="AA434" s="148"/>
      <c r="AB434" s="29"/>
      <c r="AC434" s="29"/>
      <c r="AD434" s="29"/>
      <c r="AE434" s="29"/>
      <c r="AF434" s="29"/>
      <c r="AG434" s="29"/>
      <c r="AH434" s="29"/>
      <c r="AI434" s="29"/>
      <c r="AJ434" s="29"/>
      <c r="AK434" s="57"/>
      <c r="AL434" s="57"/>
      <c r="AM434" s="57"/>
      <c r="AN434" s="57"/>
      <c r="AO434" s="57"/>
      <c r="AP434" s="57"/>
      <c r="AQ434" s="57"/>
      <c r="AR434" s="57"/>
    </row>
    <row r="435" s="3" customFormat="true" ht="11.25" hidden="false" customHeight="false" outlineLevel="0" collapsed="false">
      <c r="T435" s="13"/>
      <c r="U435" s="37" t="str">
        <f aca="false">AA432</f>
        <v> Alimentação por pessoa (0 - 2 t/pessoa-ano), Sua previsão</v>
      </c>
      <c r="W435" s="4" t="n">
        <v>2</v>
      </c>
    </row>
    <row r="436" s="3" customFormat="true" ht="11.25" hidden="false" customHeight="false" outlineLevel="0" collapsed="false">
      <c r="T436" s="13"/>
    </row>
    <row r="437" s="3" customFormat="true" ht="11.25" hidden="false" customHeight="false" outlineLevel="0" collapsed="false">
      <c r="T437" s="13"/>
    </row>
    <row r="438" s="3" customFormat="true" ht="11.25" hidden="false" customHeight="false" outlineLevel="0" collapsed="false">
      <c r="T438" s="13"/>
    </row>
    <row r="439" s="3" customFormat="true" ht="11.25" hidden="false" customHeight="false" outlineLevel="0" collapsed="false">
      <c r="S439" s="131"/>
      <c r="T439" s="13"/>
    </row>
    <row r="440" s="3" customFormat="true" ht="11.25" hidden="false" customHeight="false" outlineLevel="0" collapsed="false">
      <c r="T440" s="13"/>
    </row>
    <row r="441" s="3" customFormat="true" ht="11.25" hidden="false" customHeight="false" outlineLevel="0" collapsed="false">
      <c r="T441" s="13"/>
    </row>
    <row r="442" customFormat="false" ht="11.25" hidden="false" customHeight="false" outlineLevel="0" collapsed="false">
      <c r="T442" s="13"/>
    </row>
    <row r="443" customFormat="false" ht="11.25" hidden="false" customHeight="false" outlineLevel="0" collapsed="false">
      <c r="T443" s="13"/>
    </row>
    <row r="444" customFormat="false" ht="11.25" hidden="false" customHeight="false" outlineLevel="0" collapsed="false">
      <c r="T444" s="13"/>
    </row>
    <row r="445" customFormat="false" ht="11.25" hidden="false" customHeight="false" outlineLevel="0" collapsed="false">
      <c r="T445" s="13"/>
    </row>
    <row r="446" customFormat="false" ht="11.25" hidden="false" customHeight="false" outlineLevel="0" collapsed="false">
      <c r="T446" s="13"/>
    </row>
    <row r="447" customFormat="false" ht="11.25" hidden="false" customHeight="false" outlineLevel="0" collapsed="false">
      <c r="T447" s="13"/>
    </row>
    <row r="448" s="35" customFormat="true" ht="13.8" hidden="false" customHeight="false" outlineLevel="0" collapsed="false">
      <c r="A448" s="73"/>
      <c r="T448" s="13"/>
    </row>
    <row r="449" s="35" customFormat="true" ht="13.8" hidden="false" customHeight="false" outlineLevel="0" collapsed="false">
      <c r="A449" s="73"/>
      <c r="T449" s="13"/>
    </row>
    <row r="450" customFormat="false" ht="11.25" hidden="false" customHeight="false" outlineLevel="0" collapsed="false">
      <c r="T450" s="13"/>
    </row>
    <row r="451" customFormat="false" ht="11.25" hidden="false" customHeight="false" outlineLevel="0" collapsed="false">
      <c r="T451" s="13"/>
    </row>
    <row r="452" customFormat="false" ht="11.25" hidden="false" customHeight="false" outlineLevel="0" collapsed="false">
      <c r="T452" s="13"/>
    </row>
    <row r="453" customFormat="false" ht="11.25" hidden="false" customHeight="false" outlineLevel="0" collapsed="false">
      <c r="T453" s="13"/>
    </row>
    <row r="454" customFormat="false" ht="12.65" hidden="false" customHeight="false" outlineLevel="0" collapsed="false">
      <c r="A454" s="61" t="s">
        <v>144</v>
      </c>
      <c r="T454" s="13"/>
    </row>
    <row r="455" customFormat="false" ht="12.65" hidden="false" customHeight="false" outlineLevel="0" collapsed="false">
      <c r="A455" s="23" t="str">
        <f aca="false">CONCATENATE(A454,". Non-energy Ecological Footprint - ",A5," 1970 to 2050")</f>
        <v> Gráfico 12. Pegada Ecológica Não Energética - Resto do Mundo, 1970 a 2050</v>
      </c>
      <c r="T455" s="13"/>
    </row>
    <row r="456" customFormat="false" ht="11.25" hidden="false" customHeight="false" outlineLevel="0" collapsed="false">
      <c r="B456" s="24" t="n">
        <v>1970</v>
      </c>
      <c r="C456" s="24" t="n">
        <v>1975</v>
      </c>
      <c r="D456" s="24" t="n">
        <v>1980</v>
      </c>
      <c r="E456" s="24" t="n">
        <v>1985</v>
      </c>
      <c r="F456" s="24" t="n">
        <v>1990</v>
      </c>
      <c r="G456" s="24" t="n">
        <v>1995</v>
      </c>
      <c r="H456" s="24" t="n">
        <v>2000</v>
      </c>
      <c r="I456" s="24" t="n">
        <v>2005</v>
      </c>
      <c r="J456" s="24" t="n">
        <v>2010</v>
      </c>
      <c r="K456" s="24" t="n">
        <v>2015</v>
      </c>
      <c r="L456" s="24" t="n">
        <v>2020</v>
      </c>
      <c r="M456" s="24" t="n">
        <v>2025</v>
      </c>
      <c r="N456" s="24" t="n">
        <v>2030</v>
      </c>
      <c r="O456" s="24" t="n">
        <v>2035</v>
      </c>
      <c r="P456" s="24" t="n">
        <v>2040</v>
      </c>
      <c r="Q456" s="24" t="n">
        <v>2045</v>
      </c>
      <c r="R456" s="24" t="n">
        <v>2050</v>
      </c>
      <c r="S456" s="25" t="s">
        <v>15</v>
      </c>
      <c r="T456" s="13"/>
    </row>
    <row r="457" customFormat="false" ht="11.25" hidden="false" customHeight="false" outlineLevel="0" collapsed="false">
      <c r="A457" s="11" t="s">
        <v>192</v>
      </c>
      <c r="B457" s="62" t="n">
        <v>2521.76035642292</v>
      </c>
      <c r="C457" s="62" t="n">
        <v>2527.02063875922</v>
      </c>
      <c r="D457" s="62" t="n">
        <v>2474.37754980826</v>
      </c>
      <c r="E457" s="62" t="n">
        <v>2484.90879814869</v>
      </c>
      <c r="F457" s="62" t="n">
        <v>2520.60071060478</v>
      </c>
      <c r="G457" s="62" t="n">
        <v>2860.7425529829</v>
      </c>
      <c r="H457" s="62" t="n">
        <v>2860.89010162836</v>
      </c>
      <c r="I457" s="62" t="n">
        <v>2934.63817585286</v>
      </c>
      <c r="J457" s="62" t="n">
        <v>2915.71689535716</v>
      </c>
      <c r="K457" s="64" t="n">
        <v>2990</v>
      </c>
      <c r="L457" s="64" t="n">
        <v>3010</v>
      </c>
      <c r="M457" s="64" t="n">
        <v>3040</v>
      </c>
      <c r="N457" s="64" t="n">
        <v>3070</v>
      </c>
      <c r="O457" s="64" t="n">
        <v>3000</v>
      </c>
      <c r="P457" s="64" t="n">
        <v>2910</v>
      </c>
      <c r="Q457" s="64" t="n">
        <v>2800</v>
      </c>
      <c r="R457" s="64" t="n">
        <v>2550</v>
      </c>
      <c r="S457" s="28" t="s">
        <v>147</v>
      </c>
      <c r="T457" s="13"/>
      <c r="U457" s="103" t="s">
        <v>145</v>
      </c>
    </row>
    <row r="458" customFormat="false" ht="11.25" hidden="false" customHeight="false" outlineLevel="0" collapsed="false">
      <c r="A458" s="11" t="s">
        <v>148</v>
      </c>
      <c r="B458" s="47"/>
      <c r="C458" s="75" t="n">
        <f aca="false">(C457-B457)/B457*100/5</f>
        <v>0.0417191294398715</v>
      </c>
      <c r="D458" s="75" t="n">
        <f aca="false">(D457-C457)/C457*100/5</f>
        <v>-0.41664154335366</v>
      </c>
      <c r="E458" s="75" t="n">
        <f aca="false">(E457-D457)/D457*100/5</f>
        <v>0.0851224045517348</v>
      </c>
      <c r="F458" s="75" t="n">
        <f aca="false">(F457-E457)/E457*100/5</f>
        <v>0.28726939582395</v>
      </c>
      <c r="G458" s="75" t="n">
        <f aca="false">(G457-F457)/F457*100/5</f>
        <v>2.69889507645593</v>
      </c>
      <c r="H458" s="75" t="n">
        <f aca="false">(H457-G457)/G457*100/5</f>
        <v>0.00103154088651117</v>
      </c>
      <c r="I458" s="75" t="n">
        <f aca="false">(I457-H457)/H457*100/5</f>
        <v>0.515560343842071</v>
      </c>
      <c r="J458" s="75" t="n">
        <f aca="false">(J457-I457)/I457*100/5</f>
        <v>-0.128951368869848</v>
      </c>
      <c r="K458" s="75" t="n">
        <f aca="false">(K457-J457)/J457*100/5</f>
        <v>0.509535783540053</v>
      </c>
      <c r="L458" s="75" t="n">
        <f aca="false">(L457-K457)/K457*100/5</f>
        <v>0.133779264214047</v>
      </c>
      <c r="M458" s="75" t="n">
        <f aca="false">(M457-L457)/L457*100/5</f>
        <v>0.199335548172757</v>
      </c>
      <c r="N458" s="75" t="n">
        <f aca="false">(N457-M457)/M457*100/5</f>
        <v>0.197368421052632</v>
      </c>
      <c r="O458" s="75" t="n">
        <f aca="false">(O457-N457)/N457*100/5</f>
        <v>-0.456026058631922</v>
      </c>
      <c r="P458" s="75" t="n">
        <f aca="false">(P457-O457)/O457*100/5</f>
        <v>-0.6</v>
      </c>
      <c r="Q458" s="75" t="n">
        <f aca="false">(Q457-P457)/P457*100/5</f>
        <v>-0.756013745704467</v>
      </c>
      <c r="R458" s="75" t="n">
        <f aca="false">(R457-Q457)/Q457*100/5</f>
        <v>-1.78571428571429</v>
      </c>
      <c r="S458" s="28" t="s">
        <v>25</v>
      </c>
      <c r="T458" s="13"/>
      <c r="U458" s="103" t="s">
        <v>85</v>
      </c>
    </row>
    <row r="459" customFormat="false" ht="11.25" hidden="false" customHeight="false" outlineLevel="0" collapsed="false">
      <c r="A459" s="11" t="s">
        <v>149</v>
      </c>
      <c r="B459" s="62" t="n">
        <v>1458.08904372001</v>
      </c>
      <c r="C459" s="62" t="n">
        <v>1561.80226925062</v>
      </c>
      <c r="D459" s="62" t="n">
        <v>1590.55638402942</v>
      </c>
      <c r="E459" s="62" t="n">
        <v>1519.365096983</v>
      </c>
      <c r="F459" s="62" t="n">
        <v>1630.58378807183</v>
      </c>
      <c r="G459" s="62" t="n">
        <v>1910.5586521428</v>
      </c>
      <c r="H459" s="62" t="n">
        <v>2025.55181187467</v>
      </c>
      <c r="I459" s="62" t="n">
        <v>2187.34618370391</v>
      </c>
      <c r="J459" s="62" t="n">
        <v>2218.93062571059</v>
      </c>
      <c r="K459" s="27" t="n">
        <f aca="false">K460*K9</f>
        <v>2363.50180007381</v>
      </c>
      <c r="L459" s="27" t="n">
        <f aca="false">L460*L9</f>
        <v>2511.66879326441</v>
      </c>
      <c r="M459" s="27" t="n">
        <f aca="false">M460*M9</f>
        <v>2619.92784814215</v>
      </c>
      <c r="N459" s="27" t="n">
        <f aca="false">N460*N9</f>
        <v>2732.09512863427</v>
      </c>
      <c r="O459" s="27" t="n">
        <f aca="false">O460*O9</f>
        <v>2806.24307695895</v>
      </c>
      <c r="P459" s="27" t="n">
        <f aca="false">P460*P9</f>
        <v>2858.74960766399</v>
      </c>
      <c r="Q459" s="27" t="n">
        <f aca="false">Q460*Q9</f>
        <v>2890.41424847601</v>
      </c>
      <c r="R459" s="27" t="n">
        <f aca="false">R460*R9</f>
        <v>2900.08149763113</v>
      </c>
      <c r="S459" s="28" t="s">
        <v>147</v>
      </c>
      <c r="T459" s="13"/>
    </row>
    <row r="460" customFormat="false" ht="11.25" hidden="false" customHeight="false" outlineLevel="0" collapsed="false">
      <c r="A460" s="117" t="s">
        <v>150</v>
      </c>
      <c r="B460" s="32" t="n">
        <f aca="false">B459/B9</f>
        <v>1.68967928653046</v>
      </c>
      <c r="C460" s="32" t="n">
        <f aca="false">C459/C9</f>
        <v>1.61218489644046</v>
      </c>
      <c r="D460" s="32" t="n">
        <f aca="false">D459/D9</f>
        <v>1.45398470964299</v>
      </c>
      <c r="E460" s="32" t="n">
        <f aca="false">E459/E9</f>
        <v>1.22865883883271</v>
      </c>
      <c r="F460" s="32" t="n">
        <f aca="false">F459/F9</f>
        <v>1.16973987470625</v>
      </c>
      <c r="G460" s="32" t="n">
        <f aca="false">G459/G9</f>
        <v>1.22656557642758</v>
      </c>
      <c r="H460" s="32" t="n">
        <f aca="false">H459/H9</f>
        <v>1.17565750144621</v>
      </c>
      <c r="I460" s="32" t="n">
        <f aca="false">I459/I9</f>
        <v>1.15364791157883</v>
      </c>
      <c r="J460" s="32" t="n">
        <f aca="false">J459/J9</f>
        <v>1.06492644066855</v>
      </c>
      <c r="K460" s="32" t="n">
        <f aca="false">J460*(1+K461/20)</f>
        <v>1.03635791059149</v>
      </c>
      <c r="L460" s="32" t="n">
        <f aca="false">K460*(1+L461/20)</f>
        <v>1.01974701682841</v>
      </c>
      <c r="M460" s="32" t="n">
        <f aca="false">L460*(1+M461/20)</f>
        <v>0.998311217279599</v>
      </c>
      <c r="N460" s="32" t="n">
        <f aca="false">M460*(1+N461/20)</f>
        <v>0.985844728569882</v>
      </c>
      <c r="O460" s="32" t="n">
        <f aca="false">N460*(1+O461/20)</f>
        <v>0.968995361456323</v>
      </c>
      <c r="P460" s="32" t="n">
        <f aca="false">O460*(1+P461/20)</f>
        <v>0.954667175560333</v>
      </c>
      <c r="Q460" s="32" t="n">
        <f aca="false">P460*(1+Q461/20)</f>
        <v>0.943540026009877</v>
      </c>
      <c r="R460" s="32" t="n">
        <f aca="false">Q460*(1+R461/20)</f>
        <v>0.935470138415655</v>
      </c>
      <c r="S460" s="28" t="s">
        <v>151</v>
      </c>
      <c r="T460" s="13"/>
      <c r="Y460" s="142"/>
      <c r="Z460" s="142"/>
    </row>
    <row r="461" customFormat="false" ht="11.25" hidden="false" customHeight="false" outlineLevel="0" collapsed="false">
      <c r="A461" s="117" t="s">
        <v>152</v>
      </c>
      <c r="C461" s="75" t="n">
        <f aca="false">(C460-B460)/B460*100/5</f>
        <v>-0.917267444866639</v>
      </c>
      <c r="D461" s="75" t="n">
        <f aca="false">(D460-C460)/C460*100/5</f>
        <v>-1.96255636864934</v>
      </c>
      <c r="E461" s="75" t="n">
        <f aca="false">(E460-D460)/D460*100/5</f>
        <v>-3.09942558977256</v>
      </c>
      <c r="F461" s="75" t="n">
        <f aca="false">(F460-E460)/E460*100/5</f>
        <v>-0.959077691288788</v>
      </c>
      <c r="G461" s="75" t="n">
        <f aca="false">(G460-F460)/F460*100/5</f>
        <v>0.971595530768726</v>
      </c>
      <c r="H461" s="75" t="n">
        <f aca="false">(H460-G460)/G460*100/5</f>
        <v>-0.830091369914986</v>
      </c>
      <c r="I461" s="75" t="n">
        <f aca="false">(I460-H460)/H460*100/5</f>
        <v>-0.374421799551497</v>
      </c>
      <c r="J461" s="75" t="n">
        <f aca="false">(J460-I460)/I460*100/5</f>
        <v>-1.53810309054961</v>
      </c>
      <c r="K461" s="78" t="n">
        <v>-0.536535275791014</v>
      </c>
      <c r="L461" s="78" t="n">
        <v>-0.320562878776134</v>
      </c>
      <c r="M461" s="78" t="n">
        <v>-0.420414067314016</v>
      </c>
      <c r="N461" s="78" t="n">
        <v>-0.249751550296875</v>
      </c>
      <c r="O461" s="78" t="n">
        <v>-0.341825981825795</v>
      </c>
      <c r="P461" s="78" t="n">
        <v>-0.295732806696938</v>
      </c>
      <c r="Q461" s="78" t="n">
        <v>-0.233110550678044</v>
      </c>
      <c r="R461" s="78" t="n">
        <v>-0.171055543416603</v>
      </c>
      <c r="S461" s="28" t="s">
        <v>25</v>
      </c>
      <c r="T461" s="13"/>
    </row>
    <row r="462" customFormat="false" ht="11.25" hidden="false" customHeight="false" outlineLevel="0" collapsed="false">
      <c r="A462" s="117" t="s">
        <v>153</v>
      </c>
      <c r="B462" s="27" t="n">
        <f aca="false">B457-B459</f>
        <v>1063.67131270291</v>
      </c>
      <c r="C462" s="27" t="n">
        <f aca="false">C457-C459</f>
        <v>965.2183695086</v>
      </c>
      <c r="D462" s="27" t="n">
        <f aca="false">D457-D459</f>
        <v>883.821165778842</v>
      </c>
      <c r="E462" s="27" t="n">
        <f aca="false">E457-E459</f>
        <v>965.543701165687</v>
      </c>
      <c r="F462" s="27" t="n">
        <f aca="false">F457-F459</f>
        <v>890.016922532946</v>
      </c>
      <c r="G462" s="27" t="n">
        <f aca="false">G457-G459</f>
        <v>950.183900840105</v>
      </c>
      <c r="H462" s="27" t="n">
        <f aca="false">H457-H459</f>
        <v>835.338289753692</v>
      </c>
      <c r="I462" s="27" t="n">
        <f aca="false">I457-I459</f>
        <v>747.291992148948</v>
      </c>
      <c r="J462" s="27" t="n">
        <f aca="false">J457-J459</f>
        <v>696.78626964657</v>
      </c>
      <c r="K462" s="27" t="n">
        <f aca="false">K457-K459</f>
        <v>626.49819992619</v>
      </c>
      <c r="L462" s="27" t="n">
        <f aca="false">L457-L459</f>
        <v>498.331206735594</v>
      </c>
      <c r="M462" s="27" t="n">
        <f aca="false">M457-M459</f>
        <v>420.072151857848</v>
      </c>
      <c r="N462" s="27" t="n">
        <f aca="false">N457-N459</f>
        <v>337.904871365731</v>
      </c>
      <c r="O462" s="27" t="n">
        <f aca="false">O457-O459</f>
        <v>193.756923041054</v>
      </c>
      <c r="P462" s="27" t="n">
        <f aca="false">P457-P459</f>
        <v>51.2503923360146</v>
      </c>
      <c r="Q462" s="27" t="n">
        <f aca="false">Q457-Q459</f>
        <v>-90.41424847601</v>
      </c>
      <c r="R462" s="27" t="n">
        <f aca="false">R457-R459</f>
        <v>-350.081497631131</v>
      </c>
      <c r="S462" s="28" t="s">
        <v>147</v>
      </c>
      <c r="T462" s="13"/>
    </row>
    <row r="463" customFormat="false" ht="11.25" hidden="false" customHeight="false" outlineLevel="0" collapsed="false">
      <c r="A463" s="117" t="s">
        <v>154</v>
      </c>
      <c r="B463" s="32" t="n">
        <f aca="false">B462/B9</f>
        <v>1.23261565711064</v>
      </c>
      <c r="C463" s="32" t="n">
        <f aca="false">C462/C9</f>
        <v>0.996355625629422</v>
      </c>
      <c r="D463" s="32" t="n">
        <f aca="false">D462/D9</f>
        <v>0.807932666835599</v>
      </c>
      <c r="E463" s="32" t="n">
        <f aca="false">E462/E9</f>
        <v>0.780802326624556</v>
      </c>
      <c r="F463" s="32" t="n">
        <f aca="false">F462/F9</f>
        <v>0.638475796868568</v>
      </c>
      <c r="G463" s="32" t="n">
        <f aca="false">G462/G9</f>
        <v>0.610011560094748</v>
      </c>
      <c r="H463" s="32" t="n">
        <f aca="false">H462/H9</f>
        <v>0.48484157296636</v>
      </c>
      <c r="I463" s="32" t="n">
        <f aca="false">I462/I9</f>
        <v>0.394135986569063</v>
      </c>
      <c r="J463" s="32" t="n">
        <f aca="false">J462/J9</f>
        <v>0.334407084855937</v>
      </c>
      <c r="K463" s="32" t="n">
        <f aca="false">K462/K9</f>
        <v>0.274709486341224</v>
      </c>
      <c r="L463" s="32" t="n">
        <f aca="false">L462/L9</f>
        <v>0.202324352169322</v>
      </c>
      <c r="M463" s="32" t="n">
        <f aca="false">M462/M9</f>
        <v>0.160066523039498</v>
      </c>
      <c r="N463" s="32" t="n">
        <f aca="false">N462/N9</f>
        <v>0.121929039989362</v>
      </c>
      <c r="O463" s="32" t="n">
        <f aca="false">O462/O9</f>
        <v>0.066904239771093</v>
      </c>
      <c r="P463" s="32" t="n">
        <f aca="false">P462/P9</f>
        <v>0.0171148488019426</v>
      </c>
      <c r="Q463" s="32" t="n">
        <f aca="false">Q462/Q9</f>
        <v>-0.0295146145240939</v>
      </c>
      <c r="R463" s="32" t="n">
        <f aca="false">R462/R9</f>
        <v>-0.112924684121208</v>
      </c>
      <c r="S463" s="28" t="s">
        <v>151</v>
      </c>
      <c r="T463" s="13"/>
    </row>
    <row r="464" customFormat="false" ht="12.65" hidden="false" customHeight="false" outlineLevel="0" collapsed="false">
      <c r="A464" s="108" t="s">
        <v>7</v>
      </c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T464" s="13"/>
    </row>
    <row r="465" customFormat="false" ht="11.25" hidden="false" customHeight="false" outlineLevel="0" collapsed="false">
      <c r="A465" s="117"/>
      <c r="B465" s="24" t="n">
        <v>1970</v>
      </c>
      <c r="C465" s="24" t="n">
        <v>1975</v>
      </c>
      <c r="D465" s="24" t="n">
        <v>1980</v>
      </c>
      <c r="E465" s="24" t="n">
        <v>1985</v>
      </c>
      <c r="F465" s="24" t="n">
        <v>1990</v>
      </c>
      <c r="G465" s="24" t="n">
        <v>1995</v>
      </c>
      <c r="H465" s="24" t="n">
        <v>2000</v>
      </c>
      <c r="I465" s="24" t="n">
        <v>2005</v>
      </c>
      <c r="J465" s="24" t="n">
        <v>2010</v>
      </c>
      <c r="K465" s="24" t="n">
        <v>2015</v>
      </c>
      <c r="L465" s="24" t="n">
        <v>2020</v>
      </c>
      <c r="M465" s="24" t="n">
        <v>2025</v>
      </c>
      <c r="N465" s="24" t="n">
        <v>2030</v>
      </c>
      <c r="O465" s="24" t="n">
        <v>2035</v>
      </c>
      <c r="P465" s="24" t="n">
        <v>2040</v>
      </c>
      <c r="Q465" s="24" t="n">
        <v>2045</v>
      </c>
      <c r="R465" s="24" t="n">
        <v>2050</v>
      </c>
      <c r="S465" s="25" t="s">
        <v>15</v>
      </c>
      <c r="T465" s="13"/>
    </row>
    <row r="466" s="3" customFormat="true" ht="11.25" hidden="false" customHeight="false" outlineLevel="0" collapsed="false">
      <c r="G466" s="5"/>
      <c r="H466" s="5"/>
      <c r="I466" s="5"/>
      <c r="J466" s="147" t="str">
        <f aca="false">CONCATENATE(A457,", Your forecast")</f>
        <v> Biocapacidade total, ROW, Sua previsão</v>
      </c>
      <c r="K466" s="151" t="n">
        <f aca="false">K457</f>
        <v>2990</v>
      </c>
      <c r="L466" s="151" t="n">
        <f aca="false">L457*0.98</f>
        <v>2949.8</v>
      </c>
      <c r="M466" s="151" t="n">
        <f aca="false">M457*0.98</f>
        <v>2979.2</v>
      </c>
      <c r="N466" s="151" t="n">
        <f aca="false">N457*0.98</f>
        <v>3008.6</v>
      </c>
      <c r="O466" s="151" t="n">
        <f aca="false">O457*0.98</f>
        <v>2940</v>
      </c>
      <c r="P466" s="151" t="n">
        <f aca="false">P457*0.98</f>
        <v>2851.8</v>
      </c>
      <c r="Q466" s="151" t="n">
        <f aca="false">Q457*0.98</f>
        <v>2744</v>
      </c>
      <c r="R466" s="151" t="n">
        <f aca="false">R457*0.98</f>
        <v>2499</v>
      </c>
      <c r="S466" s="28" t="s">
        <v>147</v>
      </c>
      <c r="T466" s="13"/>
    </row>
    <row r="467" s="3" customFormat="true" ht="11.25" hidden="false" customHeight="false" outlineLevel="0" collapsed="false">
      <c r="F467" s="8"/>
      <c r="G467" s="8"/>
      <c r="H467" s="8"/>
      <c r="I467" s="8"/>
      <c r="J467" s="146" t="str">
        <f aca="false">CONCATENATE(A458,", Your forecast")</f>
        <v> Crescimento da capacidade biológica total, sua previsão</v>
      </c>
      <c r="K467" s="137" t="n">
        <f aca="false">(K466-J457)/J457*100/5</f>
        <v>0.509535783540053</v>
      </c>
      <c r="L467" s="137" t="n">
        <f aca="false">(L466-K466)/K466*100/5</f>
        <v>-0.268896321070236</v>
      </c>
      <c r="M467" s="137" t="n">
        <f aca="false">(M466-L466)/L466*100/5</f>
        <v>0.199335548172758</v>
      </c>
      <c r="N467" s="137" t="n">
        <f aca="false">(N466-M466)/M466*100/5</f>
        <v>0.197368421052632</v>
      </c>
      <c r="O467" s="137" t="n">
        <f aca="false">(O466-N466)/N466*100/5</f>
        <v>-0.456026058631921</v>
      </c>
      <c r="P467" s="137" t="n">
        <f aca="false">(P466-O466)/O466*100/5</f>
        <v>-0.600000000000002</v>
      </c>
      <c r="Q467" s="137" t="n">
        <f aca="false">(Q466-P466)/P466*100/5</f>
        <v>-0.756013745704465</v>
      </c>
      <c r="R467" s="137" t="n">
        <f aca="false">(R466-Q466)/Q466*100/5</f>
        <v>-1.78571428571429</v>
      </c>
      <c r="S467" s="28" t="s">
        <v>25</v>
      </c>
      <c r="T467" s="13"/>
    </row>
    <row r="468" s="3" customFormat="true" ht="11.25" hidden="false" customHeight="false" outlineLevel="0" collapsed="false">
      <c r="G468" s="8"/>
      <c r="H468" s="8"/>
      <c r="I468" s="8"/>
      <c r="J468" s="146" t="str">
        <f aca="false">CONCATENATE(A459,", Your forecast")</f>
        <v> Pegada não energética, sua previsão</v>
      </c>
      <c r="K468" s="84" t="n">
        <f aca="false">K469*K17</f>
        <v>2363.50180007381</v>
      </c>
      <c r="L468" s="84" t="n">
        <f aca="false">L469*L17</f>
        <v>2508.76485323437</v>
      </c>
      <c r="M468" s="84" t="n">
        <f aca="false">M469*M17</f>
        <v>2614.80376592917</v>
      </c>
      <c r="N468" s="84" t="n">
        <f aca="false">N469*N17</f>
        <v>2724.54854988805</v>
      </c>
      <c r="O468" s="84" t="n">
        <f aca="false">O469*O17</f>
        <v>2797.05389567351</v>
      </c>
      <c r="P468" s="84" t="n">
        <f aca="false">P469*P17</f>
        <v>2848.36936090344</v>
      </c>
      <c r="Q468" s="84" t="n">
        <f aca="false">Q469*Q17</f>
        <v>2879.30299891756</v>
      </c>
      <c r="R468" s="84" t="n">
        <f aca="false">R469*R17</f>
        <v>2888.74627581621</v>
      </c>
      <c r="S468" s="28" t="s">
        <v>147</v>
      </c>
      <c r="T468" s="13"/>
    </row>
    <row r="469" s="3" customFormat="true" ht="11.25" hidden="false" customHeight="false" outlineLevel="0" collapsed="false">
      <c r="E469" s="8"/>
      <c r="F469" s="8"/>
      <c r="G469" s="8"/>
      <c r="H469" s="8"/>
      <c r="I469" s="8"/>
      <c r="J469" s="146" t="str">
        <f aca="false">CONCATENATE(A460,", Your forecast")</f>
        <v> Pegada não energética por pessoa (NEFPP), sua previsão</v>
      </c>
      <c r="K469" s="43" t="n">
        <f aca="false">J460*(1+K470/20)</f>
        <v>1.03635791059149</v>
      </c>
      <c r="L469" s="43" t="n">
        <f aca="false">K469*(1+L470/20)</f>
        <v>1.02007923470367</v>
      </c>
      <c r="M469" s="43" t="n">
        <f aca="false">L469*(1+M470/20)</f>
        <v>0.999065307361496</v>
      </c>
      <c r="N469" s="43" t="n">
        <f aca="false">M469*(1+N470/20)</f>
        <v>0.98683892000279</v>
      </c>
      <c r="O469" s="43" t="n">
        <f aca="false">N469*(1+O470/20)</f>
        <v>0.970309888048831</v>
      </c>
      <c r="P469" s="43" t="n">
        <f aca="false">O469*(1+P470/20)</f>
        <v>0.956249217187466</v>
      </c>
      <c r="Q469" s="43" t="n">
        <f aca="false">P469*(1+Q470/20)</f>
        <v>0.945326539888869</v>
      </c>
      <c r="R469" s="43" t="n">
        <f aca="false">Q469*(1+R470/20)</f>
        <v>0.937403075984514</v>
      </c>
      <c r="S469" s="28" t="s">
        <v>151</v>
      </c>
      <c r="T469" s="13"/>
    </row>
    <row r="470" s="3" customFormat="true" ht="11.25" hidden="false" customHeight="false" outlineLevel="0" collapsed="false">
      <c r="G470" s="5"/>
      <c r="H470" s="5"/>
      <c r="I470" s="5"/>
      <c r="J470" s="147" t="str">
        <f aca="false">CONCATENATE(A461,", Your forecast")</f>
        <v> Taxa de variação do NEFPP, sua previsão</v>
      </c>
      <c r="K470" s="83" t="n">
        <f aca="false">K461</f>
        <v>-0.536535275791014</v>
      </c>
      <c r="L470" s="83" t="n">
        <f aca="false">L461*0.98</f>
        <v>-0.314151621200611</v>
      </c>
      <c r="M470" s="83" t="n">
        <f aca="false">M461*0.98</f>
        <v>-0.412005785967736</v>
      </c>
      <c r="N470" s="83" t="n">
        <f aca="false">N461*0.98</f>
        <v>-0.244756519290937</v>
      </c>
      <c r="O470" s="83" t="n">
        <f aca="false">O461*0.98</f>
        <v>-0.334989462189279</v>
      </c>
      <c r="P470" s="83" t="n">
        <f aca="false">P461*0.98</f>
        <v>-0.289818150562999</v>
      </c>
      <c r="Q470" s="83" t="n">
        <f aca="false">Q461*0.98</f>
        <v>-0.228448339664483</v>
      </c>
      <c r="R470" s="83" t="n">
        <f aca="false">R461*0.98</f>
        <v>-0.167634432548271</v>
      </c>
      <c r="S470" s="28" t="s">
        <v>25</v>
      </c>
      <c r="T470" s="13"/>
    </row>
    <row r="471" s="3" customFormat="true" ht="11.25" hidden="false" customHeight="false" outlineLevel="0" collapsed="false">
      <c r="G471" s="8"/>
      <c r="H471" s="8"/>
      <c r="I471" s="8"/>
      <c r="J471" s="146" t="str">
        <f aca="false">CONCATENATE(A462,", Your forecast")</f>
        <v> Biocapacidade não utilizada, Sua previsão</v>
      </c>
      <c r="K471" s="84" t="n">
        <f aca="false">K466-K468</f>
        <v>626.49819992619</v>
      </c>
      <c r="L471" s="84" t="n">
        <f aca="false">L466-L468</f>
        <v>441.03514676563</v>
      </c>
      <c r="M471" s="84" t="n">
        <f aca="false">M466-M468</f>
        <v>364.39623407083</v>
      </c>
      <c r="N471" s="84" t="n">
        <f aca="false">N466-N468</f>
        <v>284.051450111949</v>
      </c>
      <c r="O471" s="84" t="n">
        <f aca="false">O466-O468</f>
        <v>142.946104326491</v>
      </c>
      <c r="P471" s="84" t="n">
        <f aca="false">P466-P468</f>
        <v>3.43063909656257</v>
      </c>
      <c r="Q471" s="84" t="n">
        <f aca="false">Q466-Q468</f>
        <v>-135.302998917563</v>
      </c>
      <c r="R471" s="84" t="n">
        <f aca="false">R466-R468</f>
        <v>-389.746275816207</v>
      </c>
      <c r="S471" s="28" t="s">
        <v>147</v>
      </c>
      <c r="T471" s="13"/>
    </row>
    <row r="472" s="3" customFormat="true" ht="11.25" hidden="false" customHeight="false" outlineLevel="0" collapsed="false">
      <c r="F472" s="8"/>
      <c r="G472" s="8"/>
      <c r="H472" s="8"/>
      <c r="I472" s="8"/>
      <c r="J472" s="146" t="str">
        <f aca="false">CONCATENATE(A463,", Your forecast")</f>
        <v> Biocapacidade não utilizada por pessoa, sua previsão</v>
      </c>
      <c r="K472" s="43" t="n">
        <f aca="false">K471/K17</f>
        <v>0.274709486341224</v>
      </c>
      <c r="L472" s="43" t="n">
        <f aca="false">L471/L17</f>
        <v>0.179327605937277</v>
      </c>
      <c r="M472" s="43" t="n">
        <f aca="false">M471/M17</f>
        <v>0.139228664245089</v>
      </c>
      <c r="N472" s="43" t="n">
        <f aca="false">N471/N17</f>
        <v>0.102884210400736</v>
      </c>
      <c r="O472" s="43" t="n">
        <f aca="false">O471/O17</f>
        <v>0.0495886113244361</v>
      </c>
      <c r="P472" s="43" t="n">
        <f aca="false">P471/P17</f>
        <v>0.00115172772027718</v>
      </c>
      <c r="Q472" s="43" t="n">
        <f aca="false">Q471/Q17</f>
        <v>-0.0444223882833491</v>
      </c>
      <c r="R472" s="43" t="n">
        <f aca="false">R471/R17</f>
        <v>-0.126473328883961</v>
      </c>
      <c r="S472" s="28" t="str">
        <f aca="false">S463</f>
        <v> gha / pessoa</v>
      </c>
      <c r="T472" s="13"/>
      <c r="X472" s="15" t="s">
        <v>33</v>
      </c>
    </row>
    <row r="473" customFormat="false" ht="11.25" hidden="false" customHeight="false" outlineLevel="0" collapsed="false">
      <c r="A473" s="117"/>
      <c r="T473" s="13"/>
      <c r="V473" s="3" t="s">
        <v>35</v>
      </c>
      <c r="AA473" s="52" t="s">
        <v>36</v>
      </c>
    </row>
    <row r="474" customFormat="false" ht="28.3" hidden="false" customHeight="false" outlineLevel="0" collapsed="false">
      <c r="T474" s="13"/>
      <c r="U474" s="53" t="s">
        <v>37</v>
      </c>
      <c r="V474" s="54" t="s">
        <v>38</v>
      </c>
      <c r="W474" s="54" t="s">
        <v>39</v>
      </c>
      <c r="X474" s="55"/>
      <c r="Y474" s="55"/>
      <c r="AA474" s="16"/>
      <c r="AB474" s="24" t="n">
        <v>1970</v>
      </c>
      <c r="AC474" s="24" t="n">
        <v>1975</v>
      </c>
      <c r="AD474" s="24" t="n">
        <v>1980</v>
      </c>
      <c r="AE474" s="24" t="n">
        <v>1985</v>
      </c>
      <c r="AF474" s="24" t="n">
        <v>1990</v>
      </c>
      <c r="AG474" s="24" t="n">
        <v>1995</v>
      </c>
      <c r="AH474" s="24" t="n">
        <v>2000</v>
      </c>
      <c r="AI474" s="24" t="n">
        <v>2005</v>
      </c>
      <c r="AJ474" s="24" t="n">
        <v>2010</v>
      </c>
      <c r="AK474" s="24" t="n">
        <v>2015</v>
      </c>
      <c r="AL474" s="24" t="n">
        <v>2020</v>
      </c>
      <c r="AM474" s="24" t="n">
        <v>2025</v>
      </c>
      <c r="AN474" s="24" t="n">
        <v>2030</v>
      </c>
      <c r="AO474" s="24" t="n">
        <v>2035</v>
      </c>
      <c r="AP474" s="24" t="n">
        <v>2040</v>
      </c>
      <c r="AQ474" s="24" t="n">
        <v>2045</v>
      </c>
      <c r="AR474" s="24" t="n">
        <v>2050</v>
      </c>
    </row>
    <row r="475" customFormat="false" ht="11.25" hidden="false" customHeight="false" outlineLevel="0" collapsed="false">
      <c r="T475" s="13"/>
      <c r="U475" s="15" t="str">
        <f aca="false">AA475</f>
        <v>Biocapacidade total, ROW (0 - 3200 Mgha)</v>
      </c>
      <c r="V475" s="25" t="n">
        <v>3200</v>
      </c>
      <c r="W475" s="70" t="n">
        <f aca="false">W482</f>
        <v>3200</v>
      </c>
      <c r="AA475" s="152" t="str">
        <f aca="false">CONCATENATE(A457," (0 - ",W475," Mgha)")</f>
        <v> Biocapacidade total, ROW (0 - 3200 Mgha)</v>
      </c>
      <c r="AB475" s="57" t="n">
        <f aca="false">B457/$W475</f>
        <v>0.788050111382164</v>
      </c>
      <c r="AC475" s="57" t="n">
        <f aca="false">C457/$W475</f>
        <v>0.789693949612257</v>
      </c>
      <c r="AD475" s="57" t="n">
        <f aca="false">D457/$W475</f>
        <v>0.773242984315082</v>
      </c>
      <c r="AE475" s="57" t="n">
        <f aca="false">E457/$W475</f>
        <v>0.776533999421465</v>
      </c>
      <c r="AF475" s="57" t="n">
        <f aca="false">F457/$W475</f>
        <v>0.787687722063993</v>
      </c>
      <c r="AG475" s="57" t="n">
        <f aca="false">G457/$W475</f>
        <v>0.893982047807157</v>
      </c>
      <c r="AH475" s="57" t="n">
        <f aca="false">H457/$W475</f>
        <v>0.894028156758864</v>
      </c>
      <c r="AI475" s="57" t="n">
        <f aca="false">I457/$W475</f>
        <v>0.917074429954018</v>
      </c>
      <c r="AJ475" s="57" t="n">
        <f aca="false">J457/$W475</f>
        <v>0.911161529799113</v>
      </c>
      <c r="AK475" s="57" t="n">
        <f aca="false">K457/$W475</f>
        <v>0.934375</v>
      </c>
      <c r="AL475" s="57" t="n">
        <f aca="false">L457/$W475</f>
        <v>0.940625</v>
      </c>
      <c r="AM475" s="57" t="n">
        <f aca="false">M457/$W475</f>
        <v>0.95</v>
      </c>
      <c r="AN475" s="57" t="n">
        <f aca="false">N457/$W475</f>
        <v>0.959375</v>
      </c>
      <c r="AO475" s="57" t="n">
        <f aca="false">O457/$W475</f>
        <v>0.9375</v>
      </c>
      <c r="AP475" s="57" t="n">
        <f aca="false">P457/$W475</f>
        <v>0.909375</v>
      </c>
      <c r="AQ475" s="57" t="n">
        <f aca="false">Q457/$W475</f>
        <v>0.875</v>
      </c>
      <c r="AR475" s="57" t="n">
        <f aca="false">R457/$W475</f>
        <v>0.796875</v>
      </c>
    </row>
    <row r="476" customFormat="false" ht="11.25" hidden="false" customHeight="false" outlineLevel="0" collapsed="false">
      <c r="T476" s="13"/>
      <c r="U476" s="15" t="str">
        <f aca="false">AA476</f>
        <v> Crescimento da biocapacidade total (0 - 1 % / ano)</v>
      </c>
      <c r="V476" s="25" t="n">
        <v>1</v>
      </c>
      <c r="W476" s="70" t="n">
        <f aca="false">W483</f>
        <v>1</v>
      </c>
      <c r="AA476" s="152" t="str">
        <f aca="false">CONCATENATE(A458," (0 - ",W476," % / yr)")</f>
        <v> Crescimento da biocapacidade total (0 - 1 % / ano)</v>
      </c>
      <c r="AB476" s="57" t="n">
        <f aca="false">B458/$W476</f>
        <v>0</v>
      </c>
      <c r="AC476" s="57" t="n">
        <f aca="false">C458/$W476</f>
        <v>0.0417191294398715</v>
      </c>
      <c r="AD476" s="57" t="n">
        <f aca="false">D458/$W476</f>
        <v>-0.41664154335366</v>
      </c>
      <c r="AE476" s="57" t="n">
        <f aca="false">E458/$W476</f>
        <v>0.0851224045517348</v>
      </c>
      <c r="AF476" s="57" t="n">
        <f aca="false">F458/$W476</f>
        <v>0.28726939582395</v>
      </c>
      <c r="AG476" s="57" t="n">
        <f aca="false">G458/$W476</f>
        <v>2.69889507645593</v>
      </c>
      <c r="AH476" s="57" t="n">
        <f aca="false">H458/$W476</f>
        <v>0.00103154088651117</v>
      </c>
      <c r="AI476" s="57" t="n">
        <f aca="false">I458/$W476</f>
        <v>0.515560343842071</v>
      </c>
      <c r="AJ476" s="57" t="n">
        <f aca="false">J458/$W476</f>
        <v>-0.128951368869848</v>
      </c>
      <c r="AK476" s="57" t="n">
        <f aca="false">K458/$W476</f>
        <v>0.509535783540053</v>
      </c>
      <c r="AL476" s="57" t="n">
        <f aca="false">L458/$W476</f>
        <v>0.133779264214047</v>
      </c>
      <c r="AM476" s="57" t="n">
        <f aca="false">M458/$W476</f>
        <v>0.199335548172757</v>
      </c>
      <c r="AN476" s="57" t="n">
        <f aca="false">N458/$W476</f>
        <v>0.197368421052632</v>
      </c>
      <c r="AO476" s="57" t="n">
        <f aca="false">O458/$W476</f>
        <v>-0.456026058631922</v>
      </c>
      <c r="AP476" s="57" t="n">
        <f aca="false">P458/$W476</f>
        <v>-0.6</v>
      </c>
      <c r="AQ476" s="57" t="n">
        <f aca="false">Q458/$W476</f>
        <v>-0.756013745704467</v>
      </c>
      <c r="AR476" s="57" t="n">
        <f aca="false">R458/$W476</f>
        <v>-1.78571428571429</v>
      </c>
    </row>
    <row r="477" customFormat="false" ht="11.25" hidden="false" customHeight="false" outlineLevel="0" collapsed="false">
      <c r="T477" s="13"/>
      <c r="U477" s="15" t="str">
        <f aca="false">AA477</f>
        <v> Pegada não energética (0 - 3200 Mgha)</v>
      </c>
      <c r="V477" s="25" t="n">
        <f aca="false">V475</f>
        <v>3200</v>
      </c>
      <c r="W477" s="70" t="n">
        <f aca="false">W484</f>
        <v>3200</v>
      </c>
      <c r="AA477" s="152" t="str">
        <f aca="false">CONCATENATE(A459," (0 - ",W477," Mgha)")</f>
        <v> Pegada não energética (0 - 3200 Mgha)</v>
      </c>
      <c r="AB477" s="57" t="n">
        <f aca="false">B459/$W477</f>
        <v>0.455652826162504</v>
      </c>
      <c r="AC477" s="57" t="n">
        <f aca="false">C459/$W477</f>
        <v>0.488063209140819</v>
      </c>
      <c r="AD477" s="57" t="n">
        <f aca="false">D459/$W477</f>
        <v>0.497048870009194</v>
      </c>
      <c r="AE477" s="57" t="n">
        <f aca="false">E459/$W477</f>
        <v>0.474801592807188</v>
      </c>
      <c r="AF477" s="57" t="n">
        <f aca="false">F459/$W477</f>
        <v>0.509557433772447</v>
      </c>
      <c r="AG477" s="57" t="n">
        <f aca="false">G459/$W477</f>
        <v>0.597049578794625</v>
      </c>
      <c r="AH477" s="57" t="n">
        <f aca="false">H459/$W477</f>
        <v>0.632984941210835</v>
      </c>
      <c r="AI477" s="57" t="n">
        <f aca="false">I459/$W477</f>
        <v>0.683545682407472</v>
      </c>
      <c r="AJ477" s="57" t="n">
        <f aca="false">J459/$W477</f>
        <v>0.69341582053456</v>
      </c>
      <c r="AK477" s="57" t="n">
        <f aca="false">K459/$W477</f>
        <v>0.738594312523066</v>
      </c>
      <c r="AL477" s="57" t="n">
        <f aca="false">L459/$W477</f>
        <v>0.784896497895127</v>
      </c>
      <c r="AM477" s="57" t="n">
        <f aca="false">M459/$W477</f>
        <v>0.818727452544422</v>
      </c>
      <c r="AN477" s="57" t="n">
        <f aca="false">N459/$W477</f>
        <v>0.853779727698209</v>
      </c>
      <c r="AO477" s="57" t="n">
        <f aca="false">O459/$W477</f>
        <v>0.876950961549671</v>
      </c>
      <c r="AP477" s="57" t="n">
        <f aca="false">P459/$W477</f>
        <v>0.893359252394996</v>
      </c>
      <c r="AQ477" s="57" t="n">
        <f aca="false">Q459/$W477</f>
        <v>0.903254452648753</v>
      </c>
      <c r="AR477" s="57" t="n">
        <f aca="false">R459/$W477</f>
        <v>0.906275468009729</v>
      </c>
    </row>
    <row r="478" customFormat="false" ht="11.25" hidden="false" customHeight="false" outlineLevel="0" collapsed="false">
      <c r="S478" s="131"/>
      <c r="T478" s="13"/>
      <c r="U478" s="15" t="str">
        <f aca="false">AA478</f>
        <v> Pegada de carbono não energética por pessoa (NEFPP) (0 - 2 gha/pessoa)</v>
      </c>
      <c r="V478" s="25" t="n">
        <v>2</v>
      </c>
      <c r="W478" s="70" t="n">
        <f aca="false">W485</f>
        <v>2</v>
      </c>
      <c r="AA478" s="152" t="str">
        <f aca="false">CONCATENATE(A460," (0 - ",W478," gha / person)")</f>
        <v> Pegada de carbono não energética por pessoa (NEFPP) (0 - 2 gha/pessoa)</v>
      </c>
      <c r="AB478" s="57" t="n">
        <f aca="false">B460/$W478</f>
        <v>0.844839643265228</v>
      </c>
      <c r="AC478" s="57" t="n">
        <f aca="false">C460/$W478</f>
        <v>0.806092448220231</v>
      </c>
      <c r="AD478" s="57" t="n">
        <f aca="false">D460/$W478</f>
        <v>0.726992354821493</v>
      </c>
      <c r="AE478" s="57" t="n">
        <f aca="false">E460/$W478</f>
        <v>0.614329419416356</v>
      </c>
      <c r="AF478" s="57" t="n">
        <f aca="false">F460/$W478</f>
        <v>0.584869937353125</v>
      </c>
      <c r="AG478" s="57" t="n">
        <f aca="false">G460/$W478</f>
        <v>0.613282788213789</v>
      </c>
      <c r="AH478" s="57" t="n">
        <f aca="false">H460/$W478</f>
        <v>0.587828750723106</v>
      </c>
      <c r="AI478" s="57" t="n">
        <f aca="false">I460/$W478</f>
        <v>0.576823955789413</v>
      </c>
      <c r="AJ478" s="57" t="n">
        <f aca="false">J460/$W478</f>
        <v>0.532463220334275</v>
      </c>
      <c r="AK478" s="57" t="n">
        <f aca="false">K460/$W478</f>
        <v>0.518178955295744</v>
      </c>
      <c r="AL478" s="57" t="n">
        <f aca="false">L460/$W478</f>
        <v>0.509873508414204</v>
      </c>
      <c r="AM478" s="57" t="n">
        <f aca="false">M460/$W478</f>
        <v>0.4991556086398</v>
      </c>
      <c r="AN478" s="57" t="n">
        <f aca="false">N460/$W478</f>
        <v>0.492922364284941</v>
      </c>
      <c r="AO478" s="57" t="n">
        <f aca="false">O460/$W478</f>
        <v>0.484497680728161</v>
      </c>
      <c r="AP478" s="57" t="n">
        <f aca="false">P460/$W478</f>
        <v>0.477333587780167</v>
      </c>
      <c r="AQ478" s="57" t="n">
        <f aca="false">Q460/$W478</f>
        <v>0.471770013004939</v>
      </c>
      <c r="AR478" s="57" t="n">
        <f aca="false">R460/$W478</f>
        <v>0.467735069207828</v>
      </c>
    </row>
    <row r="479" customFormat="false" ht="11.25" hidden="false" customHeight="false" outlineLevel="0" collapsed="false">
      <c r="T479" s="13"/>
      <c r="U479" s="15" t="str">
        <f aca="false">AA479</f>
        <v> Taxa de variação do NEFPP (0 - 1 % / ano)</v>
      </c>
      <c r="V479" s="25" t="n">
        <v>1</v>
      </c>
      <c r="W479" s="70" t="n">
        <f aca="false">W486</f>
        <v>1</v>
      </c>
      <c r="AA479" s="152" t="str">
        <f aca="false">CONCATENATE(A461," (0 - ",W479," % / yr)")</f>
        <v> Taxa de variação do NEFPP (0 - 1 % / ano)</v>
      </c>
      <c r="AB479" s="57" t="n">
        <f aca="false">B461/$W479</f>
        <v>0</v>
      </c>
      <c r="AC479" s="57" t="n">
        <f aca="false">C461/$W479</f>
        <v>-0.917267444866639</v>
      </c>
      <c r="AD479" s="57" t="n">
        <f aca="false">D461/$W479</f>
        <v>-1.96255636864934</v>
      </c>
      <c r="AE479" s="57" t="n">
        <f aca="false">E461/$W479</f>
        <v>-3.09942558977256</v>
      </c>
      <c r="AF479" s="57" t="n">
        <f aca="false">F461/$W479</f>
        <v>-0.959077691288788</v>
      </c>
      <c r="AG479" s="57" t="n">
        <f aca="false">G461/$W479</f>
        <v>0.971595530768726</v>
      </c>
      <c r="AH479" s="57" t="n">
        <f aca="false">H461/$W479</f>
        <v>-0.830091369914986</v>
      </c>
      <c r="AI479" s="57" t="n">
        <f aca="false">I461/$W479</f>
        <v>-0.374421799551497</v>
      </c>
      <c r="AJ479" s="57" t="n">
        <f aca="false">J461/$W479</f>
        <v>-1.53810309054961</v>
      </c>
      <c r="AK479" s="57" t="n">
        <f aca="false">K461/$W479</f>
        <v>-0.536535275791014</v>
      </c>
      <c r="AL479" s="57" t="n">
        <f aca="false">L461/$W479</f>
        <v>-0.320562878776134</v>
      </c>
      <c r="AM479" s="57" t="n">
        <f aca="false">M461/$W479</f>
        <v>-0.420414067314016</v>
      </c>
      <c r="AN479" s="57" t="n">
        <f aca="false">N461/$W479</f>
        <v>-0.249751550296875</v>
      </c>
      <c r="AO479" s="57" t="n">
        <f aca="false">O461/$W479</f>
        <v>-0.341825981825795</v>
      </c>
      <c r="AP479" s="57" t="n">
        <f aca="false">P461/$W479</f>
        <v>-0.295732806696938</v>
      </c>
      <c r="AQ479" s="57" t="n">
        <f aca="false">Q461/$W479</f>
        <v>-0.233110550678044</v>
      </c>
      <c r="AR479" s="57" t="n">
        <f aca="false">R461/$W479</f>
        <v>-0.171055543416603</v>
      </c>
    </row>
    <row r="480" s="3" customFormat="true" ht="11.25" hidden="false" customHeight="false" outlineLevel="0" collapsed="false">
      <c r="T480" s="13"/>
      <c r="U480" s="15" t="str">
        <f aca="false">AA480</f>
        <v> Biocapacidade não utilizada (0 - 3200 Mgha)</v>
      </c>
      <c r="V480" s="25" t="n">
        <f aca="false">V475</f>
        <v>3200</v>
      </c>
      <c r="W480" s="70" t="n">
        <f aca="false">W487</f>
        <v>3200</v>
      </c>
      <c r="AA480" s="152" t="str">
        <f aca="false">CONCATENATE(A462," (0 - ",W480," Mgha)")</f>
        <v> Biocapacidade não utilizada (0 - 3200 Mgha)</v>
      </c>
      <c r="AB480" s="57" t="n">
        <f aca="false">B462/$W480</f>
        <v>0.33239728521966</v>
      </c>
      <c r="AC480" s="57" t="n">
        <f aca="false">C462/$W480</f>
        <v>0.301630740471438</v>
      </c>
      <c r="AD480" s="57" t="n">
        <f aca="false">D462/$W480</f>
        <v>0.276194114305888</v>
      </c>
      <c r="AE480" s="57" t="n">
        <f aca="false">E462/$W480</f>
        <v>0.301732406614277</v>
      </c>
      <c r="AF480" s="57" t="n">
        <f aca="false">F462/$W480</f>
        <v>0.278130288291546</v>
      </c>
      <c r="AG480" s="57" t="n">
        <f aca="false">G462/$W480</f>
        <v>0.296932469012533</v>
      </c>
      <c r="AH480" s="57" t="n">
        <f aca="false">H462/$W480</f>
        <v>0.261043215548029</v>
      </c>
      <c r="AI480" s="57" t="n">
        <f aca="false">I462/$W480</f>
        <v>0.233528747546546</v>
      </c>
      <c r="AJ480" s="57" t="n">
        <f aca="false">J462/$W480</f>
        <v>0.217745709264553</v>
      </c>
      <c r="AK480" s="57" t="n">
        <f aca="false">K462/$W480</f>
        <v>0.195780687476935</v>
      </c>
      <c r="AL480" s="57" t="n">
        <f aca="false">L462/$W480</f>
        <v>0.155728502104873</v>
      </c>
      <c r="AM480" s="57" t="n">
        <f aca="false">M462/$W480</f>
        <v>0.131272547455578</v>
      </c>
      <c r="AN480" s="57" t="n">
        <f aca="false">N462/$W480</f>
        <v>0.105595272301791</v>
      </c>
      <c r="AO480" s="57" t="n">
        <f aca="false">O462/$W480</f>
        <v>0.0605490384503294</v>
      </c>
      <c r="AP480" s="57" t="n">
        <f aca="false">P462/$W480</f>
        <v>0.0160157476050046</v>
      </c>
      <c r="AQ480" s="57" t="n">
        <f aca="false">Q462/$W480</f>
        <v>-0.0282544526487531</v>
      </c>
      <c r="AR480" s="57" t="n">
        <f aca="false">R462/$W480</f>
        <v>-0.109400468009729</v>
      </c>
    </row>
    <row r="481" s="3" customFormat="true" ht="11.25" hidden="false" customHeight="false" outlineLevel="0" collapsed="false">
      <c r="S481" s="29"/>
      <c r="T481" s="13"/>
      <c r="U481" s="148" t="str">
        <f aca="false">AA481</f>
        <v> Biocapacidade não utilizada por pessoa (0 - 2,5 gha / pessoa)</v>
      </c>
      <c r="V481" s="25" t="n">
        <v>2.5</v>
      </c>
      <c r="W481" s="70" t="n">
        <f aca="false">W488</f>
        <v>2.5</v>
      </c>
      <c r="AA481" s="152" t="str">
        <f aca="false">CONCATENATE(A463," (0 - ",W481," gha / person)")</f>
        <v> Biocapacidade não utilizada por pessoa (0 - 2,5 gha / pessoa)</v>
      </c>
      <c r="AB481" s="57" t="n">
        <f aca="false">B463/$W481</f>
        <v>0.493046262844256</v>
      </c>
      <c r="AC481" s="57" t="n">
        <f aca="false">C463/$W481</f>
        <v>0.398542250251769</v>
      </c>
      <c r="AD481" s="57" t="n">
        <f aca="false">D463/$W481</f>
        <v>0.32317306673424</v>
      </c>
      <c r="AE481" s="57" t="n">
        <f aca="false">E463/$W481</f>
        <v>0.312320930649822</v>
      </c>
      <c r="AF481" s="57" t="n">
        <f aca="false">F463/$W481</f>
        <v>0.255390318747427</v>
      </c>
      <c r="AG481" s="57" t="n">
        <f aca="false">G463/$W481</f>
        <v>0.244004624037899</v>
      </c>
      <c r="AH481" s="57" t="n">
        <f aca="false">H463/$W481</f>
        <v>0.193936629186544</v>
      </c>
      <c r="AI481" s="57" t="n">
        <f aca="false">I463/$W481</f>
        <v>0.157654394627625</v>
      </c>
      <c r="AJ481" s="57" t="n">
        <f aca="false">J463/$W481</f>
        <v>0.133762833942375</v>
      </c>
      <c r="AK481" s="57" t="n">
        <f aca="false">K463/$W481</f>
        <v>0.10988379453649</v>
      </c>
      <c r="AL481" s="57" t="n">
        <f aca="false">L463/$W481</f>
        <v>0.0809297408677286</v>
      </c>
      <c r="AM481" s="57" t="n">
        <f aca="false">M463/$W481</f>
        <v>0.0640266092157994</v>
      </c>
      <c r="AN481" s="57" t="n">
        <f aca="false">N463/$W481</f>
        <v>0.048771615995745</v>
      </c>
      <c r="AO481" s="57" t="n">
        <f aca="false">O463/$W481</f>
        <v>0.0267616959084372</v>
      </c>
      <c r="AP481" s="57" t="n">
        <f aca="false">P463/$W481</f>
        <v>0.00684593952077706</v>
      </c>
      <c r="AQ481" s="57" t="n">
        <f aca="false">Q463/$W481</f>
        <v>-0.0118058458096376</v>
      </c>
      <c r="AR481" s="57" t="n">
        <f aca="false">R463/$W481</f>
        <v>-0.0451698736484831</v>
      </c>
    </row>
    <row r="482" s="3" customFormat="true" ht="11.25" hidden="false" customHeight="false" outlineLevel="0" collapsed="false">
      <c r="S482" s="29"/>
      <c r="T482" s="13"/>
      <c r="U482" s="37" t="str">
        <f aca="false">AA483</f>
        <v> Biocapacidade total, ROW (0 - 3200 Mgha), Sua previsão</v>
      </c>
      <c r="W482" s="4" t="n">
        <v>3200</v>
      </c>
      <c r="AA482" s="153"/>
      <c r="AB482" s="24" t="n">
        <v>1970</v>
      </c>
      <c r="AC482" s="24" t="n">
        <v>1975</v>
      </c>
      <c r="AD482" s="24" t="n">
        <v>1980</v>
      </c>
      <c r="AE482" s="24" t="n">
        <v>1985</v>
      </c>
      <c r="AF482" s="24" t="n">
        <v>1990</v>
      </c>
      <c r="AG482" s="24" t="n">
        <v>1995</v>
      </c>
      <c r="AH482" s="24" t="n">
        <v>2000</v>
      </c>
      <c r="AI482" s="24" t="n">
        <v>2005</v>
      </c>
      <c r="AJ482" s="24" t="n">
        <v>2010</v>
      </c>
      <c r="AK482" s="24" t="n">
        <v>2015</v>
      </c>
      <c r="AL482" s="24" t="n">
        <v>2020</v>
      </c>
      <c r="AM482" s="24" t="n">
        <v>2025</v>
      </c>
      <c r="AN482" s="24" t="n">
        <v>2030</v>
      </c>
      <c r="AO482" s="24" t="n">
        <v>2035</v>
      </c>
      <c r="AP482" s="24" t="n">
        <v>2040</v>
      </c>
      <c r="AQ482" s="24" t="n">
        <v>2045</v>
      </c>
      <c r="AR482" s="24" t="n">
        <v>2050</v>
      </c>
    </row>
    <row r="483" s="3" customFormat="true" ht="11.25" hidden="false" customHeight="false" outlineLevel="0" collapsed="false">
      <c r="S483" s="29"/>
      <c r="T483" s="13"/>
      <c r="U483" s="37" t="str">
        <f aca="false">AA484</f>
        <v> Crescimento da biocapacidade total (0 - 1% ao ano), sua previsão</v>
      </c>
      <c r="W483" s="4" t="n">
        <v>1</v>
      </c>
      <c r="AA483" s="152" t="str">
        <f aca="false">CONCATENATE(A457," (0 - ",W482," Mgha), Your forecast")</f>
        <v> Biocapacidade total, ROW (0 - 3200 Mgha), Sua previsão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57" t="n">
        <f aca="false">K466/$W482</f>
        <v>0.934375</v>
      </c>
      <c r="AL483" s="57" t="n">
        <f aca="false">L466/$W482</f>
        <v>0.9218125</v>
      </c>
      <c r="AM483" s="57" t="n">
        <f aca="false">M466/$W482</f>
        <v>0.931</v>
      </c>
      <c r="AN483" s="57" t="n">
        <f aca="false">N466/$W482</f>
        <v>0.9401875</v>
      </c>
      <c r="AO483" s="57" t="n">
        <f aca="false">O466/$W482</f>
        <v>0.91875</v>
      </c>
      <c r="AP483" s="57" t="n">
        <f aca="false">P466/$W482</f>
        <v>0.8911875</v>
      </c>
      <c r="AQ483" s="57" t="n">
        <f aca="false">Q466/$W482</f>
        <v>0.8575</v>
      </c>
      <c r="AR483" s="57" t="n">
        <f aca="false">R466/$W482</f>
        <v>0.7809375</v>
      </c>
    </row>
    <row r="484" s="3" customFormat="true" ht="11.25" hidden="false" customHeight="false" outlineLevel="0" collapsed="false">
      <c r="S484" s="29"/>
      <c r="T484" s="13"/>
      <c r="U484" s="37" t="str">
        <f aca="false">AA485</f>
        <v> Pegada não energética (0 - 3200 Mgha), Sua previsão</v>
      </c>
      <c r="W484" s="93" t="n">
        <f aca="false">W482</f>
        <v>3200</v>
      </c>
      <c r="AA484" s="152" t="str">
        <f aca="false">CONCATENATE(A458," (0 - ",W483," % / yr), Your forecast")</f>
        <v> Crescimento da biocapacidade total (0 - 1% ao ano), sua previsão</v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57" t="n">
        <f aca="false">K467/$W483</f>
        <v>0.509535783540053</v>
      </c>
      <c r="AL484" s="57" t="n">
        <f aca="false">L467/$W483</f>
        <v>-0.268896321070236</v>
      </c>
      <c r="AM484" s="57" t="n">
        <f aca="false">M467/$W483</f>
        <v>0.199335548172758</v>
      </c>
      <c r="AN484" s="57" t="n">
        <f aca="false">N467/$W483</f>
        <v>0.197368421052632</v>
      </c>
      <c r="AO484" s="57" t="n">
        <f aca="false">O467/$W483</f>
        <v>-0.456026058631921</v>
      </c>
      <c r="AP484" s="57" t="n">
        <f aca="false">P467/$W483</f>
        <v>-0.600000000000002</v>
      </c>
      <c r="AQ484" s="57" t="n">
        <f aca="false">Q467/$W483</f>
        <v>-0.756013745704465</v>
      </c>
      <c r="AR484" s="57" t="n">
        <f aca="false">R467/$W483</f>
        <v>-1.78571428571429</v>
      </c>
    </row>
    <row r="485" s="3" customFormat="true" ht="11.25" hidden="false" customHeight="false" outlineLevel="0" collapsed="false">
      <c r="S485" s="29"/>
      <c r="T485" s="13"/>
      <c r="U485" s="37" t="str">
        <f aca="false">AA486</f>
        <v>Pegada de carbono não energética por pessoa (NEFPP) (0 - 2 gha/pessoa), sua previsão</v>
      </c>
      <c r="W485" s="4" t="n">
        <v>2</v>
      </c>
      <c r="AA485" s="152" t="str">
        <f aca="false">CONCATENATE(A459," (0 - ",W484," Mgha), Your forecast")</f>
        <v> Pegada não energética (0 - 3200 Mgha), Sua previsão</v>
      </c>
      <c r="AB485" s="29"/>
      <c r="AC485" s="29"/>
      <c r="AD485" s="29"/>
      <c r="AE485" s="29"/>
      <c r="AF485" s="29"/>
      <c r="AG485" s="29"/>
      <c r="AH485" s="29"/>
      <c r="AI485" s="29"/>
      <c r="AJ485" s="29"/>
      <c r="AK485" s="57" t="n">
        <f aca="false">K468/$W484</f>
        <v>0.738594312523066</v>
      </c>
      <c r="AL485" s="57" t="n">
        <f aca="false">L468/$W484</f>
        <v>0.783989016635741</v>
      </c>
      <c r="AM485" s="57" t="n">
        <f aca="false">M468/$W484</f>
        <v>0.817126176852866</v>
      </c>
      <c r="AN485" s="57" t="n">
        <f aca="false">N468/$W484</f>
        <v>0.851421421840016</v>
      </c>
      <c r="AO485" s="57" t="n">
        <f aca="false">O468/$W484</f>
        <v>0.874079342397972</v>
      </c>
      <c r="AP485" s="57" t="n">
        <f aca="false">P468/$W484</f>
        <v>0.890115425282324</v>
      </c>
      <c r="AQ485" s="57" t="n">
        <f aca="false">Q468/$W484</f>
        <v>0.899782187161739</v>
      </c>
      <c r="AR485" s="57" t="n">
        <f aca="false">R468/$W484</f>
        <v>0.902733211192565</v>
      </c>
    </row>
    <row r="486" s="3" customFormat="true" ht="11.25" hidden="false" customHeight="false" outlineLevel="0" collapsed="false">
      <c r="S486" s="29"/>
      <c r="T486" s="13"/>
      <c r="U486" s="37" t="str">
        <f aca="false">AA487</f>
        <v> Taxa de variação do NEFPP (0 - 1 % / ano), Sua previsão</v>
      </c>
      <c r="W486" s="4" t="n">
        <v>1</v>
      </c>
      <c r="AA486" s="152" t="str">
        <f aca="false">CONCATENATE(A460," (0 - ",W485," gha / person), Your forecast")</f>
        <v> Pegada de carbono não energética por pessoa (NEFPP) (0 - 2 gha/pessoa), sua previsão</v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57" t="n">
        <f aca="false">K469/$W485</f>
        <v>0.518178955295744</v>
      </c>
      <c r="AL486" s="57" t="n">
        <f aca="false">L469/$W485</f>
        <v>0.510039617351835</v>
      </c>
      <c r="AM486" s="57" t="n">
        <f aca="false">M469/$W485</f>
        <v>0.499532653680748</v>
      </c>
      <c r="AN486" s="57" t="n">
        <f aca="false">N469/$W485</f>
        <v>0.493419460001395</v>
      </c>
      <c r="AO486" s="57" t="n">
        <f aca="false">O469/$W485</f>
        <v>0.485154944024415</v>
      </c>
      <c r="AP486" s="57" t="n">
        <f aca="false">P469/$W485</f>
        <v>0.478124608593733</v>
      </c>
      <c r="AQ486" s="57" t="n">
        <f aca="false">Q469/$W485</f>
        <v>0.472663269944434</v>
      </c>
      <c r="AR486" s="57" t="n">
        <f aca="false">R469/$W485</f>
        <v>0.468701537992257</v>
      </c>
    </row>
    <row r="487" s="3" customFormat="true" ht="11.25" hidden="false" customHeight="false" outlineLevel="0" collapsed="false">
      <c r="S487" s="29"/>
      <c r="T487" s="13"/>
      <c r="U487" s="37" t="str">
        <f aca="false">AA488</f>
        <v> Biocapacidade não utilizada (0 - 3200 Mgha), Sua previsão</v>
      </c>
      <c r="W487" s="93" t="n">
        <f aca="false">W482</f>
        <v>3200</v>
      </c>
      <c r="AA487" s="152" t="str">
        <f aca="false">CONCATENATE(A461," (0 - ",W486," % / yr), Your forecast")</f>
        <v> Taxa de variação do NEFPP (0 - 1 % / ano), Sua previsão</v>
      </c>
      <c r="AB487" s="29"/>
      <c r="AC487" s="29"/>
      <c r="AD487" s="29"/>
      <c r="AE487" s="29"/>
      <c r="AF487" s="29"/>
      <c r="AG487" s="29"/>
      <c r="AH487" s="29"/>
      <c r="AI487" s="29"/>
      <c r="AJ487" s="29"/>
      <c r="AK487" s="57" t="n">
        <f aca="false">K470/$W486</f>
        <v>-0.536535275791014</v>
      </c>
      <c r="AL487" s="57" t="n">
        <f aca="false">L470/$W486</f>
        <v>-0.314151621200611</v>
      </c>
      <c r="AM487" s="57" t="n">
        <f aca="false">M470/$W486</f>
        <v>-0.412005785967736</v>
      </c>
      <c r="AN487" s="57" t="n">
        <f aca="false">N470/$W486</f>
        <v>-0.244756519290937</v>
      </c>
      <c r="AO487" s="57" t="n">
        <f aca="false">O470/$W486</f>
        <v>-0.334989462189279</v>
      </c>
      <c r="AP487" s="57" t="n">
        <f aca="false">P470/$W486</f>
        <v>-0.289818150562999</v>
      </c>
      <c r="AQ487" s="57" t="n">
        <f aca="false">Q470/$W486</f>
        <v>-0.228448339664483</v>
      </c>
      <c r="AR487" s="57" t="n">
        <f aca="false">R470/$W486</f>
        <v>-0.167634432548271</v>
      </c>
    </row>
    <row r="488" s="3" customFormat="true" ht="11.25" hidden="false" customHeight="false" outlineLevel="0" collapsed="false">
      <c r="S488" s="29"/>
      <c r="T488" s="13"/>
      <c r="U488" s="37" t="str">
        <f aca="false">AA489</f>
        <v> Biocapacidade não utilizada por pessoa (0 - 2,5 gha/pessoa), Sua previsão</v>
      </c>
      <c r="W488" s="4" t="n">
        <v>2.5</v>
      </c>
      <c r="AA488" s="152" t="str">
        <f aca="false">CONCATENATE(A462," (0 - ",W487," Mgha), Your forecast")</f>
        <v> Biocapacidade não utilizada (0 - 3200 Mgha), Sua previsão</v>
      </c>
      <c r="AB488" s="29"/>
      <c r="AC488" s="29"/>
      <c r="AD488" s="29"/>
      <c r="AE488" s="29"/>
      <c r="AF488" s="29"/>
      <c r="AG488" s="29"/>
      <c r="AH488" s="29"/>
      <c r="AI488" s="29"/>
      <c r="AJ488" s="29"/>
      <c r="AK488" s="57" t="n">
        <f aca="false">K471/$W487</f>
        <v>0.195780687476935</v>
      </c>
      <c r="AL488" s="57" t="n">
        <f aca="false">L471/$W487</f>
        <v>0.137823483364259</v>
      </c>
      <c r="AM488" s="57" t="n">
        <f aca="false">M471/$W487</f>
        <v>0.113873823147134</v>
      </c>
      <c r="AN488" s="57" t="n">
        <f aca="false">N471/$W487</f>
        <v>0.0887660781599841</v>
      </c>
      <c r="AO488" s="57" t="n">
        <f aca="false">O471/$W487</f>
        <v>0.0446706576020283</v>
      </c>
      <c r="AP488" s="57" t="n">
        <f aca="false">P471/$W487</f>
        <v>0.0010720747176758</v>
      </c>
      <c r="AQ488" s="57" t="n">
        <f aca="false">Q471/$W487</f>
        <v>-0.0422821871617386</v>
      </c>
      <c r="AR488" s="57" t="n">
        <f aca="false">R471/$W487</f>
        <v>-0.121795711192565</v>
      </c>
    </row>
    <row r="489" s="3" customFormat="true" ht="11.25" hidden="false" customHeight="false" outlineLevel="0" collapsed="false">
      <c r="S489" s="29"/>
      <c r="T489" s="13"/>
      <c r="AA489" s="152" t="str">
        <f aca="false">CONCATENATE(A463," (0 - ",W488," gha / person), Your forecast")</f>
        <v> Biocapacidade não utilizada por pessoa (0 - 2,5 gha/pessoa), Sua previsão</v>
      </c>
      <c r="AB489" s="29"/>
      <c r="AC489" s="29"/>
      <c r="AD489" s="29"/>
      <c r="AE489" s="29"/>
      <c r="AF489" s="29"/>
      <c r="AG489" s="29"/>
      <c r="AH489" s="29"/>
      <c r="AI489" s="29"/>
      <c r="AJ489" s="29"/>
      <c r="AK489" s="57" t="n">
        <f aca="false">K472/$W488</f>
        <v>0.10988379453649</v>
      </c>
      <c r="AL489" s="57" t="n">
        <f aca="false">L472/$W488</f>
        <v>0.0717310423749108</v>
      </c>
      <c r="AM489" s="57" t="n">
        <f aca="false">M472/$W488</f>
        <v>0.0556914656980355</v>
      </c>
      <c r="AN489" s="57" t="n">
        <f aca="false">N472/$W488</f>
        <v>0.0411536841602944</v>
      </c>
      <c r="AO489" s="57" t="n">
        <f aca="false">O472/$W488</f>
        <v>0.0198354445297744</v>
      </c>
      <c r="AP489" s="57" t="n">
        <f aca="false">P472/$W488</f>
        <v>0.000460691088110871</v>
      </c>
      <c r="AQ489" s="57" t="n">
        <f aca="false">Q472/$W488</f>
        <v>-0.0177689553133396</v>
      </c>
      <c r="AR489" s="57" t="n">
        <f aca="false">R472/$W488</f>
        <v>-0.0505893315535845</v>
      </c>
    </row>
    <row r="490" customFormat="false" ht="11.25" hidden="false" customHeight="false" outlineLevel="0" collapsed="false">
      <c r="S490" s="29"/>
      <c r="T490" s="13"/>
    </row>
    <row r="491" customFormat="false" ht="11.25" hidden="false" customHeight="false" outlineLevel="0" collapsed="false">
      <c r="S491" s="29"/>
      <c r="T491" s="13"/>
    </row>
    <row r="492" customFormat="false" ht="11.25" hidden="false" customHeight="false" outlineLevel="0" collapsed="false">
      <c r="T492" s="13"/>
    </row>
    <row r="493" customFormat="false" ht="11.25" hidden="false" customHeight="false" outlineLevel="0" collapsed="false">
      <c r="T493" s="13"/>
    </row>
    <row r="494" customFormat="false" ht="11.25" hidden="false" customHeight="false" outlineLevel="0" collapsed="false">
      <c r="T494" s="13"/>
    </row>
    <row r="495" customFormat="false" ht="11.25" hidden="false" customHeight="false" outlineLevel="0" collapsed="false">
      <c r="T495" s="13"/>
    </row>
    <row r="496" customFormat="false" ht="11.25" hidden="false" customHeight="false" outlineLevel="0" collapsed="false">
      <c r="T496" s="13"/>
    </row>
    <row r="497" customFormat="false" ht="11.25" hidden="false" customHeight="false" outlineLevel="0" collapsed="false">
      <c r="T497" s="13"/>
    </row>
    <row r="498" customFormat="false" ht="11.25" hidden="false" customHeight="false" outlineLevel="0" collapsed="false">
      <c r="T498" s="13"/>
    </row>
    <row r="499" customFormat="false" ht="11.25" hidden="false" customHeight="false" outlineLevel="0" collapsed="false">
      <c r="T499" s="13"/>
    </row>
    <row r="500" customFormat="false" ht="11.25" hidden="false" customHeight="false" outlineLevel="0" collapsed="false">
      <c r="T500" s="13"/>
    </row>
    <row r="501" customFormat="false" ht="11.25" hidden="false" customHeight="false" outlineLevel="0" collapsed="false">
      <c r="T501" s="13"/>
    </row>
    <row r="502" s="35" customFormat="true" ht="13.8" hidden="false" customHeight="false" outlineLevel="0" collapsed="false">
      <c r="A502" s="61" t="s">
        <v>155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3"/>
      <c r="U502" s="3"/>
      <c r="V502" s="3"/>
      <c r="W502" s="3"/>
      <c r="X502" s="15" t="s">
        <v>33</v>
      </c>
      <c r="Y502" s="3"/>
    </row>
    <row r="503" customFormat="false" ht="12.65" hidden="false" customHeight="false" outlineLevel="0" collapsed="false">
      <c r="A503" s="23" t="str">
        <f aca="false">CONCATENATE(A502,". State of Affairs - ",A5," 1970 to 2050")</f>
        <v> Gráfico 13. Situação Atual - Resto do Mundo, 1970 a 2050</v>
      </c>
      <c r="T503" s="13"/>
      <c r="V503" s="3" t="s">
        <v>35</v>
      </c>
      <c r="AA503" s="52" t="s">
        <v>36</v>
      </c>
    </row>
    <row r="504" customFormat="false" ht="28.3" hidden="false" customHeight="false" outlineLevel="0" collapsed="false">
      <c r="T504" s="13"/>
      <c r="U504" s="53" t="s">
        <v>37</v>
      </c>
      <c r="V504" s="54" t="s">
        <v>38</v>
      </c>
      <c r="W504" s="54" t="s">
        <v>39</v>
      </c>
      <c r="X504" s="55"/>
      <c r="Y504" s="55"/>
      <c r="AB504" s="24" t="n">
        <v>1970</v>
      </c>
      <c r="AC504" s="24" t="n">
        <v>1975</v>
      </c>
      <c r="AD504" s="24" t="n">
        <v>1980</v>
      </c>
      <c r="AE504" s="24" t="n">
        <v>1985</v>
      </c>
      <c r="AF504" s="24" t="n">
        <v>1990</v>
      </c>
      <c r="AG504" s="24" t="n">
        <v>1995</v>
      </c>
      <c r="AH504" s="24" t="n">
        <v>2000</v>
      </c>
      <c r="AI504" s="24" t="n">
        <v>2005</v>
      </c>
      <c r="AJ504" s="24" t="n">
        <v>2010</v>
      </c>
      <c r="AK504" s="24" t="n">
        <v>2015</v>
      </c>
      <c r="AL504" s="24" t="n">
        <v>2020</v>
      </c>
      <c r="AM504" s="24" t="n">
        <v>2025</v>
      </c>
      <c r="AN504" s="24" t="n">
        <v>2030</v>
      </c>
      <c r="AO504" s="24" t="n">
        <v>2035</v>
      </c>
      <c r="AP504" s="24" t="n">
        <v>2040</v>
      </c>
      <c r="AQ504" s="24" t="n">
        <v>2045</v>
      </c>
      <c r="AR504" s="24" t="n">
        <v>2050</v>
      </c>
    </row>
    <row r="505" customFormat="false" ht="11.25" hidden="false" customHeight="false" outlineLevel="0" collapsed="false">
      <c r="T505" s="13"/>
      <c r="U505" s="15" t="str">
        <f aca="false">AA505</f>
        <v> População (0 - 3,5 mil pessoas)</v>
      </c>
      <c r="V505" s="25" t="n">
        <v>3500</v>
      </c>
      <c r="W505" s="70" t="n">
        <f aca="false">W510</f>
        <v>3500</v>
      </c>
      <c r="AA505" s="29" t="str">
        <f aca="false">CONCATENATE("Population (0 - ",W505/1000,"G persons)")</f>
        <v> População (0 - 3,5 mil pessoas)</v>
      </c>
      <c r="AB505" s="57" t="n">
        <f aca="false">B9/$W$505</f>
        <v>0.246553812285714</v>
      </c>
      <c r="AC505" s="57" t="n">
        <f aca="false">C9/$W$505</f>
        <v>0.276785386571429</v>
      </c>
      <c r="AD505" s="57" t="n">
        <f aca="false">D9/$W$505</f>
        <v>0.312551210571429</v>
      </c>
      <c r="AE505" s="57" t="n">
        <f aca="false">E9/$W$505</f>
        <v>0.353315582571429</v>
      </c>
      <c r="AF505" s="57" t="n">
        <f aca="false">F9/$W$505</f>
        <v>0.398277508</v>
      </c>
      <c r="AG505" s="57" t="n">
        <f aca="false">G9/$W$505</f>
        <v>0.445042573428571</v>
      </c>
      <c r="AH505" s="57" t="n">
        <f aca="false">H9/$W$505</f>
        <v>0.492259938285714</v>
      </c>
      <c r="AI505" s="57" t="n">
        <f aca="false">I9/$W$505</f>
        <v>0.541721652</v>
      </c>
      <c r="AJ505" s="57" t="n">
        <f aca="false">J9/$W$505</f>
        <v>0.595327672</v>
      </c>
      <c r="AK505" s="57" t="n">
        <f aca="false">K9/$W$505</f>
        <v>0.651595574937143</v>
      </c>
      <c r="AL505" s="57" t="n">
        <f aca="false">L9/$W$505</f>
        <v>0.703723220932114</v>
      </c>
      <c r="AM505" s="57" t="n">
        <f aca="false">M9/$W$505</f>
        <v>0.749817091903168</v>
      </c>
      <c r="AN505" s="57" t="n">
        <f aca="false">N9/$W$505</f>
        <v>0.791806849049745</v>
      </c>
      <c r="AO505" s="57" t="n">
        <f aca="false">O9/$W$505</f>
        <v>0.827438157256984</v>
      </c>
      <c r="AP505" s="57" t="n">
        <f aca="false">P9/$W$505</f>
        <v>0.855571054603721</v>
      </c>
      <c r="AQ505" s="57" t="n">
        <f aca="false">Q9/$W$505</f>
        <v>0.875249188859607</v>
      </c>
      <c r="AR505" s="57" t="n">
        <f aca="false">R9/$W$505</f>
        <v>0.885752179125922</v>
      </c>
    </row>
    <row r="506" customFormat="false" ht="11.25" hidden="false" customHeight="false" outlineLevel="0" collapsed="false">
      <c r="T506" s="13"/>
      <c r="U506" s="15" t="str">
        <f aca="false">AA506</f>
        <v> PIB (0 - 25 trilhões de dólares por ano)</v>
      </c>
      <c r="V506" s="25" t="n">
        <v>25</v>
      </c>
      <c r="W506" s="70" t="n">
        <f aca="false">W511</f>
        <v>25</v>
      </c>
      <c r="AA506" s="29" t="str">
        <f aca="false">CONCATENATE("GDP (0 - ",W506," T$ per yr)")</f>
        <v> PIB (0 - 25 trilhões de dólares por ano)</v>
      </c>
      <c r="AB506" s="57" t="n">
        <f aca="false">B96/$W506</f>
        <v>0.0686691849303309</v>
      </c>
      <c r="AC506" s="57" t="n">
        <f aca="false">C96/$W506</f>
        <v>0.0885080885844211</v>
      </c>
      <c r="AD506" s="57" t="n">
        <f aca="false">D96/$W506</f>
        <v>0.111086700931979</v>
      </c>
      <c r="AE506" s="57" t="n">
        <f aca="false">E96/$W506</f>
        <v>0.128429304760921</v>
      </c>
      <c r="AF506" s="57" t="n">
        <f aca="false">F96/$W506</f>
        <v>0.157730859858456</v>
      </c>
      <c r="AG506" s="57" t="n">
        <f aca="false">G96/$W506</f>
        <v>0.192261921609581</v>
      </c>
      <c r="AH506" s="57" t="n">
        <f aca="false">H96/$W506</f>
        <v>0.215663231395357</v>
      </c>
      <c r="AI506" s="57" t="n">
        <f aca="false">I96/$W506</f>
        <v>0.277337081460033</v>
      </c>
      <c r="AJ506" s="57" t="n">
        <f aca="false">J96/$W506</f>
        <v>0.331271254649414</v>
      </c>
      <c r="AK506" s="57" t="n">
        <f aca="false">K96/$W506</f>
        <v>0.409731241230445</v>
      </c>
      <c r="AL506" s="57" t="n">
        <f aca="false">L96/$W506</f>
        <v>0.478583530203676</v>
      </c>
      <c r="AM506" s="57" t="n">
        <f aca="false">M96/$W506</f>
        <v>0.555289591821272</v>
      </c>
      <c r="AN506" s="57" t="n">
        <f aca="false">N96/$W506</f>
        <v>0.633314449134568</v>
      </c>
      <c r="AO506" s="57" t="n">
        <f aca="false">O96/$W506</f>
        <v>0.713291839756414</v>
      </c>
      <c r="AP506" s="57" t="n">
        <f aca="false">P96/$W506</f>
        <v>0.793836905427625</v>
      </c>
      <c r="AQ506" s="57" t="n">
        <f aca="false">Q96/$W506</f>
        <v>0.875603400756288</v>
      </c>
      <c r="AR506" s="57" t="n">
        <f aca="false">R96/$W506</f>
        <v>0.955802632465729</v>
      </c>
    </row>
    <row r="507" customFormat="false" ht="11.25" hidden="false" customHeight="false" outlineLevel="0" collapsed="false">
      <c r="S507" s="36"/>
      <c r="T507" s="13"/>
      <c r="U507" s="15" t="str">
        <f aca="false">AA507</f>
        <v> Temperatura (0 - 3 graus Celsius acima do nível pré-industrial)</v>
      </c>
      <c r="V507" s="25" t="n">
        <v>2.5</v>
      </c>
      <c r="W507" s="70" t="n">
        <v>3</v>
      </c>
      <c r="AA507" s="29" t="str">
        <f aca="false">CONCATENATE("Temperature (0 - ",W507," deg C above preindustrial level)")</f>
        <v> Temperatura (0 - 3 graus Celsius acima do nível pré-industrial)</v>
      </c>
      <c r="AB507" s="57" t="n">
        <f aca="false"> SumWorld!B396/$V507</f>
        <v>0.184141635767619</v>
      </c>
      <c r="AC507" s="57" t="n">
        <f aca="false"> SumWorld!C396/$V507</f>
        <v>0.145741635767619</v>
      </c>
      <c r="AD507" s="57" t="n">
        <f aca="false"> SumWorld!D396/$V507</f>
        <v>0.237741635767619</v>
      </c>
      <c r="AE507" s="57" t="n">
        <f aca="false"> SumWorld!E396/$V507</f>
        <v>0.212141635767619</v>
      </c>
      <c r="AF507" s="57" t="n">
        <f aca="false"> SumWorld!F396/$V507</f>
        <v>0.278141635767619</v>
      </c>
      <c r="AG507" s="57" t="n">
        <f aca="false"> SumWorld!G396/$V507</f>
        <v>0.282941635767619</v>
      </c>
      <c r="AH507" s="57" t="n">
        <f aca="false"> SumWorld!H396/$V507</f>
        <v>0.284589290618897</v>
      </c>
      <c r="AI507" s="57" t="n">
        <f aca="false"> SumWorld!I396/$V507</f>
        <v>0.350262093544006</v>
      </c>
      <c r="AJ507" s="57" t="n">
        <f aca="false"> SumWorld!J396/$V507</f>
        <v>0.387973523139954</v>
      </c>
      <c r="AK507" s="57" t="n">
        <f aca="false"> SumWorld!K396/$V507</f>
        <v>0.436459398269653</v>
      </c>
      <c r="AL507" s="57" t="n">
        <f aca="false"> SumWorld!L396/$V507</f>
        <v>0.489414548873901</v>
      </c>
      <c r="AM507" s="57" t="n">
        <f aca="false"> SumWorld!M396/$V507</f>
        <v>0.541863822937012</v>
      </c>
      <c r="AN507" s="57" t="n">
        <f aca="false"> SumWorld!N396/$V507</f>
        <v>0.592993974685669</v>
      </c>
      <c r="AO507" s="57" t="n">
        <f aca="false"> SumWorld!O396/$V507</f>
        <v>0.645321273803711</v>
      </c>
      <c r="AP507" s="57" t="n">
        <f aca="false"> SumWorld!P396/$V507</f>
        <v>0.697778797149658</v>
      </c>
      <c r="AQ507" s="57" t="n">
        <f aca="false"> SumWorld!Q396/$V507</f>
        <v>0.750726127624512</v>
      </c>
      <c r="AR507" s="57" t="n">
        <f aca="false"> SumWorld!R396/$V507</f>
        <v>0.803888893127441</v>
      </c>
    </row>
    <row r="508" customFormat="false" ht="11.25" hidden="false" customHeight="false" outlineLevel="0" collapsed="false">
      <c r="T508" s="13"/>
      <c r="U508" s="15" t="str">
        <f aca="false">AA508</f>
        <v> Emissões de CO2 (0 - 4 GtCO2 por ano)</v>
      </c>
      <c r="V508" s="25" t="n">
        <v>4000</v>
      </c>
      <c r="W508" s="70" t="n">
        <f aca="false">W512</f>
        <v>4000</v>
      </c>
      <c r="AA508" s="29" t="str">
        <f aca="false">CONCATENATE("CO2 Emissions (0 - ",W508/1000," GtCO2 per yr)")</f>
        <v> Emissões de CO2 (0 - 4 GtCO2 por ano)</v>
      </c>
      <c r="AB508" s="57" t="n">
        <f aca="false">B357/$W508</f>
        <v>0.210562733333333</v>
      </c>
      <c r="AC508" s="57" t="n">
        <f aca="false">C357/$W508</f>
        <v>0.266717</v>
      </c>
      <c r="AD508" s="57" t="n">
        <f aca="false">D357/$W508</f>
        <v>0.338382</v>
      </c>
      <c r="AE508" s="57" t="n">
        <f aca="false">E357/$W508</f>
        <v>0.363592533333333</v>
      </c>
      <c r="AF508" s="57" t="n">
        <f aca="false">F357/$W508</f>
        <v>0.4136374</v>
      </c>
      <c r="AG508" s="57" t="n">
        <f aca="false">G357/$W508</f>
        <v>0.5507942</v>
      </c>
      <c r="AH508" s="57" t="n">
        <f aca="false">H357/$W508</f>
        <v>0.564080733333333</v>
      </c>
      <c r="AI508" s="57" t="n">
        <f aca="false">I357/$W508</f>
        <v>0.664442533333333</v>
      </c>
      <c r="AJ508" s="57" t="n">
        <f aca="false">J357/$W508</f>
        <v>0.739208066666667</v>
      </c>
      <c r="AK508" s="57" t="n">
        <f aca="false">K357/$W508</f>
        <v>0.763854716759175</v>
      </c>
      <c r="AL508" s="57" t="n">
        <f aca="false">L357/$W508</f>
        <v>0.827691636659953</v>
      </c>
      <c r="AM508" s="57" t="n">
        <f aca="false">M357/$W508</f>
        <v>0.875173201278379</v>
      </c>
      <c r="AN508" s="57" t="n">
        <f aca="false">N357/$W508</f>
        <v>0.886099176890794</v>
      </c>
      <c r="AO508" s="57" t="n">
        <f aca="false">O357/$W508</f>
        <v>0.921086647787525</v>
      </c>
      <c r="AP508" s="57" t="n">
        <f aca="false">P357/$W508</f>
        <v>0.943028969646238</v>
      </c>
      <c r="AQ508" s="57" t="n">
        <f aca="false">Q357/$W508</f>
        <v>0.927136239257878</v>
      </c>
      <c r="AR508" s="57" t="n">
        <f aca="false">R357/$W508</f>
        <v>0.909212841603492</v>
      </c>
    </row>
    <row r="509" customFormat="false" ht="11.25" hidden="false" customHeight="false" outlineLevel="0" collapsed="false">
      <c r="T509" s="13"/>
      <c r="U509" s="15" t="str">
        <f aca="false">AA509</f>
        <v> Consumo (0 - 25 trilhões de dólares por ano)</v>
      </c>
      <c r="V509" s="25" t="n">
        <f aca="false">V506</f>
        <v>25</v>
      </c>
      <c r="W509" s="70" t="n">
        <f aca="false">W513</f>
        <v>25</v>
      </c>
      <c r="AA509" s="29" t="str">
        <f aca="false">CONCATENATE("Consumption (0 - ",W509," T$ per yr)")</f>
        <v>Consumo (0 - 25 trilhões de dólares por ano)</v>
      </c>
      <c r="AB509" s="57" t="n">
        <f aca="false">B136/$W509</f>
        <v>0.0511825052398397</v>
      </c>
      <c r="AC509" s="57" t="n">
        <f aca="false">C136/$W509</f>
        <v>0.0638120410238226</v>
      </c>
      <c r="AD509" s="57" t="n">
        <f aca="false">D136/$W509</f>
        <v>0.0782782930109879</v>
      </c>
      <c r="AE509" s="57" t="n">
        <f aca="false">E136/$W509</f>
        <v>0.0923979018205732</v>
      </c>
      <c r="AF509" s="57" t="n">
        <f aca="false">F136/$W509</f>
        <v>0.117222100968851</v>
      </c>
      <c r="AG509" s="57" t="n">
        <f aca="false">G136/$W509</f>
        <v>0.14592640417447</v>
      </c>
      <c r="AH509" s="57" t="n">
        <f aca="false">H136/$W509</f>
        <v>0.163823209139054</v>
      </c>
      <c r="AI509" s="57" t="n">
        <f aca="false">I136/$W509</f>
        <v>0.221604892351641</v>
      </c>
      <c r="AJ509" s="57" t="n">
        <f aca="false">J136/$W509</f>
        <v>0.280214575694223</v>
      </c>
      <c r="AK509" s="57" t="n">
        <f aca="false">K136/$W509</f>
        <v>0.337170865984138</v>
      </c>
      <c r="AL509" s="57" t="n">
        <f aca="false">L136/$W509</f>
        <v>0.383013051474884</v>
      </c>
      <c r="AM509" s="57" t="n">
        <f aca="false">M136/$W509</f>
        <v>0.433808419382123</v>
      </c>
      <c r="AN509" s="57" t="n">
        <f aca="false">N136/$W509</f>
        <v>0.484594399637407</v>
      </c>
      <c r="AO509" s="57" t="n">
        <f aca="false">O136/$W509</f>
        <v>0.53595243827822</v>
      </c>
      <c r="AP509" s="57" t="n">
        <f aca="false">P136/$W509</f>
        <v>0.586871061999972</v>
      </c>
      <c r="AQ509" s="57" t="n">
        <f aca="false">Q136/$W509</f>
        <v>0.634342381681938</v>
      </c>
      <c r="AR509" s="57" t="n">
        <f aca="false">R136/$W509</f>
        <v>0.677279211188738</v>
      </c>
    </row>
    <row r="510" customFormat="false" ht="11.25" hidden="false" customHeight="false" outlineLevel="0" collapsed="false">
      <c r="T510" s="13"/>
      <c r="U510" s="37" t="str">
        <f aca="false">AA511</f>
        <v> População (0 - 3,5 mil pessoas), Sua previsão</v>
      </c>
      <c r="W510" s="4" t="n">
        <v>3500</v>
      </c>
      <c r="AB510" s="24" t="n">
        <v>1970</v>
      </c>
      <c r="AC510" s="24" t="n">
        <v>1975</v>
      </c>
      <c r="AD510" s="24" t="n">
        <v>1980</v>
      </c>
      <c r="AE510" s="24" t="n">
        <v>1985</v>
      </c>
      <c r="AF510" s="24" t="n">
        <v>1990</v>
      </c>
      <c r="AG510" s="24" t="n">
        <v>1995</v>
      </c>
      <c r="AH510" s="24" t="n">
        <v>2000</v>
      </c>
      <c r="AI510" s="24" t="n">
        <v>2005</v>
      </c>
      <c r="AJ510" s="24" t="n">
        <v>2010</v>
      </c>
      <c r="AK510" s="24" t="n">
        <v>2015</v>
      </c>
      <c r="AL510" s="24" t="n">
        <v>2020</v>
      </c>
      <c r="AM510" s="24" t="n">
        <v>2025</v>
      </c>
      <c r="AN510" s="24" t="n">
        <v>2030</v>
      </c>
      <c r="AO510" s="24" t="n">
        <v>2035</v>
      </c>
      <c r="AP510" s="24" t="n">
        <v>2040</v>
      </c>
      <c r="AQ510" s="24" t="n">
        <v>2045</v>
      </c>
      <c r="AR510" s="24" t="n">
        <v>2050</v>
      </c>
    </row>
    <row r="511" customFormat="false" ht="11.25" hidden="false" customHeight="false" outlineLevel="0" collapsed="false">
      <c r="T511" s="13"/>
      <c r="U511" s="37" t="str">
        <f aca="false">AA512</f>
        <v> PIB (0 - 25 trilhões de dólares por ano), sua previsão</v>
      </c>
      <c r="W511" s="4" t="n">
        <v>25</v>
      </c>
      <c r="AA511" s="29" t="str">
        <f aca="false">CONCATENATE("Population (0 - ",W510/1000,"G persons), Your forecast")</f>
        <v> População (0 - 3,5 mil pessoas), Sua previsão</v>
      </c>
      <c r="AB511" s="29"/>
      <c r="AC511" s="29"/>
      <c r="AD511" s="29"/>
      <c r="AE511" s="29"/>
      <c r="AF511" s="29"/>
      <c r="AG511" s="29"/>
      <c r="AH511" s="29"/>
      <c r="AI511" s="29"/>
      <c r="AJ511" s="29"/>
      <c r="AK511" s="57" t="n">
        <f aca="false">K17/$W$505</f>
        <v>0.651595574937143</v>
      </c>
      <c r="AL511" s="57" t="n">
        <f aca="false">L17/$W$505</f>
        <v>0.702680668012215</v>
      </c>
      <c r="AM511" s="57" t="n">
        <f aca="false">M17/$W$505</f>
        <v>0.747785740091919</v>
      </c>
      <c r="AN511" s="57" t="n">
        <f aca="false">N17/$W$505</f>
        <v>0.788824221508163</v>
      </c>
      <c r="AO511" s="57" t="n">
        <f aca="false">O17/$W$505</f>
        <v>0.823611369676673</v>
      </c>
      <c r="AP511" s="57" t="n">
        <f aca="false">P17/$W$505</f>
        <v>0.8510541005143</v>
      </c>
      <c r="AQ511" s="57" t="n">
        <f aca="false">Q17/$W$505</f>
        <v>0.870236859939892</v>
      </c>
      <c r="AR511" s="57" t="n">
        <f aca="false">R17/$W$505</f>
        <v>0.880470845412786</v>
      </c>
    </row>
    <row r="512" customFormat="false" ht="11.25" hidden="false" customHeight="false" outlineLevel="0" collapsed="false">
      <c r="T512" s="13"/>
      <c r="U512" s="37" t="str">
        <f aca="false">AA513</f>
        <v> Emissões de CO2 (0 - 4000 T$ por ano), sua previsão</v>
      </c>
      <c r="W512" s="4" t="n">
        <v>4000</v>
      </c>
      <c r="AA512" s="29" t="str">
        <f aca="false">CONCATENATE("GDP (0 - ",W511," T$ per yr), Your forecast")</f>
        <v> PIB (0 - 25 trilhões de dólares por ano), sua previsão</v>
      </c>
      <c r="AB512" s="29"/>
      <c r="AC512" s="29"/>
      <c r="AD512" s="29"/>
      <c r="AE512" s="29"/>
      <c r="AF512" s="29"/>
      <c r="AG512" s="29"/>
      <c r="AH512" s="29"/>
      <c r="AI512" s="29"/>
      <c r="AJ512" s="29"/>
      <c r="AK512" s="57" t="n">
        <f aca="false">K104/$W511</f>
        <v>0.409731241230445</v>
      </c>
      <c r="AL512" s="57" t="n">
        <f aca="false">L104/$W511</f>
        <v>0.467684467544132</v>
      </c>
      <c r="AM512" s="57" t="n">
        <f aca="false">M104/$W511</f>
        <v>0.541107873219357</v>
      </c>
      <c r="AN512" s="57" t="n">
        <f aca="false">N104/$W511</f>
        <v>0.615393406007619</v>
      </c>
      <c r="AO512" s="57" t="n">
        <f aca="false">O104/$W511</f>
        <v>0.691146032754243</v>
      </c>
      <c r="AP512" s="57" t="n">
        <f aca="false">P104/$W511</f>
        <v>0.767013435274996</v>
      </c>
      <c r="AQ512" s="57" t="n">
        <f aca="false">Q104/$W511</f>
        <v>0.84362268151937</v>
      </c>
      <c r="AR512" s="57" t="n">
        <f aca="false">R104/$W511</f>
        <v>0.918286399851418</v>
      </c>
    </row>
    <row r="513" customFormat="false" ht="11.25" hidden="false" customHeight="false" outlineLevel="0" collapsed="false">
      <c r="T513" s="13"/>
      <c r="U513" s="37" t="str">
        <f aca="false">AA514</f>
        <v> Consumo (0 - 25 trilhões de dólares por ano), Sua previsão</v>
      </c>
      <c r="W513" s="93" t="n">
        <f aca="false">W511</f>
        <v>25</v>
      </c>
      <c r="AA513" s="29" t="str">
        <f aca="false">CONCATENATE("CO2 Emissions (0 - ",W512," T$ per yr), Your forecast")</f>
        <v> Emissões de CO2 (0 - 4000 T$ por ano), sua previsão</v>
      </c>
      <c r="AB513" s="29"/>
      <c r="AC513" s="29"/>
      <c r="AD513" s="29"/>
      <c r="AE513" s="29"/>
      <c r="AF513" s="29"/>
      <c r="AG513" s="29"/>
      <c r="AH513" s="29"/>
      <c r="AI513" s="29"/>
      <c r="AJ513" s="29"/>
      <c r="AK513" s="57" t="n">
        <f aca="false">K368/$W512</f>
        <v>0.763854716759175</v>
      </c>
      <c r="AL513" s="57" t="n">
        <f aca="false">L368/$W512</f>
        <v>0.820314832427135</v>
      </c>
      <c r="AM513" s="57" t="n">
        <f aca="false">M368/$W512</f>
        <v>0.867030608811122</v>
      </c>
      <c r="AN513" s="57" t="n">
        <f aca="false">N368/$W512</f>
        <v>0.878042067461496</v>
      </c>
      <c r="AO513" s="57" t="n">
        <f aca="false">O368/$W512</f>
        <v>0.912032343542918</v>
      </c>
      <c r="AP513" s="57" t="n">
        <f aca="false">P368/$W512</f>
        <v>0.933205176255955</v>
      </c>
      <c r="AQ513" s="57" t="n">
        <f aca="false">Q368/$W512</f>
        <v>0.918107885096585</v>
      </c>
      <c r="AR513" s="57" t="n">
        <f aca="false">R368/$W512</f>
        <v>0.900817613906079</v>
      </c>
    </row>
    <row r="514" customFormat="false" ht="11.25" hidden="false" customHeight="false" outlineLevel="0" collapsed="false">
      <c r="T514" s="13"/>
      <c r="AA514" s="29" t="str">
        <f aca="false">CONCATENATE("Consumption (0 - ",W513," T$ per yr), Your forecast")</f>
        <v> Consumo (0 - 25 trilhões de dólares por ano), Sua previsão</v>
      </c>
      <c r="AB514" s="29"/>
      <c r="AC514" s="29"/>
      <c r="AD514" s="29"/>
      <c r="AE514" s="29"/>
      <c r="AF514" s="29"/>
      <c r="AG514" s="29"/>
      <c r="AH514" s="29"/>
      <c r="AI514" s="29"/>
      <c r="AJ514" s="29"/>
      <c r="AK514" s="57" t="n">
        <f aca="false">K147/$W513</f>
        <v>0.337170865984138</v>
      </c>
      <c r="AL514" s="57" t="n">
        <f aca="false">L147/$W513</f>
        <v>0.374365300741952</v>
      </c>
      <c r="AM514" s="57" t="n">
        <f aca="false">M147/$W513</f>
        <v>0.422891579684262</v>
      </c>
      <c r="AN514" s="57" t="n">
        <f aca="false">N147/$W513</f>
        <v>0.471152494702497</v>
      </c>
      <c r="AO514" s="57" t="n">
        <f aca="false">O147/$W513</f>
        <v>0.519713410861663</v>
      </c>
      <c r="AP514" s="57" t="n">
        <f aca="false">P147/$W513</f>
        <v>0.567593144661271</v>
      </c>
      <c r="AQ514" s="57" t="n">
        <f aca="false">Q147/$W513</f>
        <v>0.611966534995909</v>
      </c>
      <c r="AR514" s="57" t="n">
        <f aca="false">R147/$W513</f>
        <v>0.651797251907082</v>
      </c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customFormat="false" ht="11.25" hidden="false" customHeight="false" outlineLevel="0" collapsed="false">
      <c r="T523" s="13"/>
    </row>
    <row r="524" customFormat="false" ht="11.25" hidden="false" customHeight="false" outlineLevel="0" collapsed="false">
      <c r="T524" s="13"/>
    </row>
    <row r="525" customFormat="false" ht="11.25" hidden="false" customHeight="false" outlineLevel="0" collapsed="false">
      <c r="T525" s="13"/>
    </row>
    <row r="526" customFormat="false" ht="11.25" hidden="false" customHeight="false" outlineLevel="0" collapsed="false">
      <c r="T526" s="13"/>
    </row>
    <row r="527" customFormat="false" ht="11.25" hidden="false" customHeight="false" outlineLevel="0" collapsed="false">
      <c r="T527" s="13"/>
    </row>
    <row r="528" customFormat="false" ht="11.25" hidden="false" customHeight="false" outlineLevel="0" collapsed="false">
      <c r="T528" s="13"/>
    </row>
    <row r="529" customFormat="false" ht="11.25" hidden="false" customHeight="false" outlineLevel="0" collapsed="false">
      <c r="T529" s="13"/>
      <c r="X529" s="15" t="s">
        <v>33</v>
      </c>
    </row>
    <row r="530" customFormat="false" ht="12.65" hidden="false" customHeight="false" outlineLevel="0" collapsed="false">
      <c r="A530" s="61" t="s">
        <v>156</v>
      </c>
      <c r="T530" s="13"/>
      <c r="V530" s="3" t="s">
        <v>35</v>
      </c>
    </row>
    <row r="531" customFormat="false" ht="28.3" hidden="false" customHeight="false" outlineLevel="0" collapsed="false">
      <c r="A531" s="23" t="str">
        <f aca="false">CONCATENATE(A530,". Production - ",A5," 1970 to 2050")</f>
        <v> Gráfico 14. Produção - Resto do Mundo, 1970 a 2050</v>
      </c>
      <c r="T531" s="13"/>
      <c r="U531" s="53" t="s">
        <v>37</v>
      </c>
      <c r="V531" s="54" t="s">
        <v>38</v>
      </c>
      <c r="W531" s="54" t="s">
        <v>39</v>
      </c>
      <c r="X531" s="55"/>
      <c r="Y531" s="55"/>
      <c r="AA531" s="52" t="s">
        <v>36</v>
      </c>
    </row>
    <row r="532" customFormat="false" ht="11.25" hidden="false" customHeight="false" outlineLevel="0" collapsed="false">
      <c r="T532" s="13"/>
      <c r="U532" s="15" t="str">
        <f aca="false">AA533</f>
        <v> Biocapacidade não utilizada (0 - 50%)</v>
      </c>
      <c r="V532" s="25" t="n">
        <v>50</v>
      </c>
      <c r="W532" s="70" t="n">
        <f aca="false">W537</f>
        <v>50</v>
      </c>
      <c r="AB532" s="24" t="n">
        <v>1970</v>
      </c>
      <c r="AC532" s="24" t="n">
        <v>1975</v>
      </c>
      <c r="AD532" s="24" t="n">
        <v>1980</v>
      </c>
      <c r="AE532" s="24" t="n">
        <v>1985</v>
      </c>
      <c r="AF532" s="24" t="n">
        <v>1990</v>
      </c>
      <c r="AG532" s="24" t="n">
        <v>1995</v>
      </c>
      <c r="AH532" s="24" t="n">
        <v>2000</v>
      </c>
      <c r="AI532" s="24" t="n">
        <v>2005</v>
      </c>
      <c r="AJ532" s="24" t="n">
        <v>2010</v>
      </c>
      <c r="AK532" s="24" t="n">
        <v>2015</v>
      </c>
      <c r="AL532" s="24" t="n">
        <v>2020</v>
      </c>
      <c r="AM532" s="24" t="n">
        <v>2025</v>
      </c>
      <c r="AN532" s="24" t="n">
        <v>2030</v>
      </c>
      <c r="AO532" s="24" t="n">
        <v>2035</v>
      </c>
      <c r="AP532" s="24" t="n">
        <v>2040</v>
      </c>
      <c r="AQ532" s="24" t="n">
        <v>2045</v>
      </c>
      <c r="AR532" s="24" t="n">
        <v>2050</v>
      </c>
    </row>
    <row r="533" customFormat="false" ht="11.25" hidden="false" customHeight="false" outlineLevel="0" collapsed="false">
      <c r="T533" s="13"/>
      <c r="U533" s="15" t="str">
        <f aca="false">AA534</f>
        <v> Percentagem do investimento no PIB (0 - 35%)</v>
      </c>
      <c r="V533" s="25" t="n">
        <v>35</v>
      </c>
      <c r="W533" s="70" t="n">
        <f aca="false">W538</f>
        <v>35</v>
      </c>
      <c r="AA533" s="29" t="str">
        <f aca="false">CONCATENATE("Unused bio-capacity (0 - ",W532," %)")</f>
        <v> Biocapacidade não utilizada (0 - 50%)</v>
      </c>
      <c r="AB533" s="57" t="n">
        <f aca="false">(100*B462/B457)/$W532</f>
        <v>0.843594285233123</v>
      </c>
      <c r="AC533" s="57" t="n">
        <f aca="false">(100*C462/C457)/$W532</f>
        <v>0.763918073880494</v>
      </c>
      <c r="AD533" s="57" t="n">
        <f aca="false">(100*D462/D457)/$W532</f>
        <v>0.714378584502861</v>
      </c>
      <c r="AE533" s="57" t="n">
        <f aca="false">(100*E462/E457)/$W532</f>
        <v>0.777126067471803</v>
      </c>
      <c r="AF533" s="57" t="n">
        <f aca="false">(100*F462/F457)/$W532</f>
        <v>0.706194296294871</v>
      </c>
      <c r="AG533" s="57" t="n">
        <f aca="false">(100*G462/G457)/$W532</f>
        <v>0.664291793645916</v>
      </c>
      <c r="AH533" s="57" t="n">
        <f aca="false">(100*H462/H457)/$W532</f>
        <v>0.583970904214904</v>
      </c>
      <c r="AI533" s="57" t="n">
        <f aca="false">(100*I462/I457)/$W532</f>
        <v>0.509290718220669</v>
      </c>
      <c r="AJ533" s="57" t="n">
        <f aca="false">(100*J462/J457)/$W532</f>
        <v>0.477951937484807</v>
      </c>
      <c r="AK533" s="57" t="n">
        <f aca="false">(100*K462/K457)/$W532</f>
        <v>0.419062341087753</v>
      </c>
      <c r="AL533" s="57" t="n">
        <f aca="false">(100*L462/L457)/$W532</f>
        <v>0.331117080887438</v>
      </c>
      <c r="AM533" s="57" t="n">
        <f aca="false">(100*M462/M457)/$W532</f>
        <v>0.276363257801216</v>
      </c>
      <c r="AN533" s="57" t="n">
        <f aca="false">(100*N462/N457)/$W532</f>
        <v>0.220133466687773</v>
      </c>
      <c r="AO533" s="57" t="n">
        <f aca="false">(100*O462/O457)/$W532</f>
        <v>0.129171282027369</v>
      </c>
      <c r="AP533" s="57" t="n">
        <f aca="false">(100*P462/P457)/$W532</f>
        <v>0.0352236373443399</v>
      </c>
      <c r="AQ533" s="57" t="n">
        <f aca="false">(100*Q462/Q457)/$W532</f>
        <v>-0.0645816060542929</v>
      </c>
      <c r="AR533" s="57" t="n">
        <f aca="false">(100*R462/R457)/$W532</f>
        <v>-0.27457372363226</v>
      </c>
    </row>
    <row r="534" s="3" customFormat="true" ht="11.25" hidden="false" customHeight="false" outlineLevel="0" collapsed="false">
      <c r="T534" s="13"/>
      <c r="U534" s="15" t="str">
        <f aca="false">AA535</f>
        <v> Consumo de energia (0 - 2,2 Mtoe por ano)</v>
      </c>
      <c r="V534" s="25" t="n">
        <v>2200</v>
      </c>
      <c r="W534" s="70" t="n">
        <f aca="false">W539</f>
        <v>2200</v>
      </c>
      <c r="AA534" s="29" t="str">
        <f aca="false">CONCATENATE("Investment share of GDP (0 - ",W533," %)")</f>
        <v> Percentagem do investimento no PIB (0 - 35%)</v>
      </c>
      <c r="AB534" s="57" t="n">
        <f aca="false">B137/$W533</f>
        <v>0.727574413814894</v>
      </c>
      <c r="AC534" s="57" t="n">
        <f aca="false">C137/$W533</f>
        <v>0.797216808270833</v>
      </c>
      <c r="AD534" s="57" t="n">
        <f aca="false">D137/$W533</f>
        <v>0.843830157518917</v>
      </c>
      <c r="AE534" s="57" t="n">
        <f aca="false">E137/$W533</f>
        <v>0.801583919927721</v>
      </c>
      <c r="AF534" s="57" t="n">
        <f aca="false">F137/$W533</f>
        <v>0.733777215295843</v>
      </c>
      <c r="AG534" s="57" t="n">
        <f aca="false">G137/$W533</f>
        <v>0.688577288541716</v>
      </c>
      <c r="AH534" s="57" t="n">
        <f aca="false">H137/$W533</f>
        <v>0.686785356712935</v>
      </c>
      <c r="AI534" s="57" t="n">
        <f aca="false">I137/$W533</f>
        <v>0.574156276491012</v>
      </c>
      <c r="AJ534" s="57" t="n">
        <f aca="false">J137/$W533</f>
        <v>0.440352803145089</v>
      </c>
      <c r="AK534" s="57" t="n">
        <f aca="false">K137/$W533</f>
        <v>0.505978888073102</v>
      </c>
      <c r="AL534" s="57" t="n">
        <f aca="false">L137/$W533</f>
        <v>0.570555594626255</v>
      </c>
      <c r="AM534" s="57" t="n">
        <f aca="false">M137/$W533</f>
        <v>0.625059553112549</v>
      </c>
      <c r="AN534" s="57" t="n">
        <f aca="false">N137/$W533</f>
        <v>0.670937521977268</v>
      </c>
      <c r="AO534" s="57" t="n">
        <f aca="false">O137/$W533</f>
        <v>0.710345998625809</v>
      </c>
      <c r="AP534" s="57" t="n">
        <f aca="false">P137/$W533</f>
        <v>0.744902356112214</v>
      </c>
      <c r="AQ534" s="57" t="n">
        <f aca="false">Q137/$W533</f>
        <v>0.787248195655589</v>
      </c>
      <c r="AR534" s="57" t="n">
        <f aca="false">R137/$W533</f>
        <v>0.832579003884549</v>
      </c>
    </row>
    <row r="535" s="3" customFormat="true" ht="11.25" hidden="false" customHeight="false" outlineLevel="0" collapsed="false">
      <c r="T535" s="13"/>
      <c r="U535" s="15" t="str">
        <f aca="false">AA536</f>
        <v> Produção de alimentos (0 - 2,5 Gt por ano)</v>
      </c>
      <c r="V535" s="25" t="n">
        <v>2500</v>
      </c>
      <c r="W535" s="70" t="n">
        <f aca="false">W540</f>
        <v>2500</v>
      </c>
      <c r="AA535" s="29" t="str">
        <f aca="false">CONCATENATE("Energy use (0 - ",W534/1000," Mtoe per yr)")</f>
        <v> Consumo de energia (0 - 2,2 Mtoe por ano)</v>
      </c>
      <c r="AB535" s="57" t="n">
        <f aca="false">B250/$W534</f>
        <v>0.139202677593968</v>
      </c>
      <c r="AC535" s="57" t="n">
        <f aca="false">C250/$W534</f>
        <v>0.187957022777327</v>
      </c>
      <c r="AD535" s="57" t="n">
        <f aca="false">D250/$W534</f>
        <v>0.247039351420541</v>
      </c>
      <c r="AE535" s="57" t="n">
        <f aca="false">E250/$W534</f>
        <v>0.308967132189535</v>
      </c>
      <c r="AF535" s="57" t="n">
        <f aca="false">F250/$W534</f>
        <v>0.355342690354128</v>
      </c>
      <c r="AG535" s="57" t="n">
        <f aca="false">G250/$W534</f>
        <v>0.340807825438203</v>
      </c>
      <c r="AH535" s="57" t="n">
        <f aca="false">H250/$W534</f>
        <v>0.363389569785655</v>
      </c>
      <c r="AI535" s="57" t="n">
        <f aca="false">I250/$W534</f>
        <v>0.451555414396043</v>
      </c>
      <c r="AJ535" s="57" t="n">
        <f aca="false">J250/$W534</f>
        <v>0.519060744608353</v>
      </c>
      <c r="AK535" s="57" t="n">
        <f aca="false">K250/$W534</f>
        <v>0.577797983253059</v>
      </c>
      <c r="AL535" s="57" t="n">
        <f aca="false">L250/$W534</f>
        <v>0.64114800680667</v>
      </c>
      <c r="AM535" s="57" t="n">
        <f aca="false">M250/$W534</f>
        <v>0.706713985963792</v>
      </c>
      <c r="AN535" s="57" t="n">
        <f aca="false">N250/$W534</f>
        <v>0.74556460522653</v>
      </c>
      <c r="AO535" s="57" t="n">
        <f aca="false">O250/$W534</f>
        <v>0.797731509463763</v>
      </c>
      <c r="AP535" s="57" t="n">
        <f aca="false">P250/$W534</f>
        <v>0.843420944502221</v>
      </c>
      <c r="AQ535" s="57" t="n">
        <f aca="false">Q250/$W534</f>
        <v>0.883779942850524</v>
      </c>
      <c r="AR535" s="57" t="n">
        <f aca="false">R250/$W534</f>
        <v>0.916491684944307</v>
      </c>
    </row>
    <row r="536" s="3" customFormat="true" ht="11.25" hidden="false" customHeight="false" outlineLevel="0" collapsed="false">
      <c r="T536" s="13"/>
      <c r="U536" s="15" t="str">
        <f aca="false">AA537</f>
        <v> Fração renovável (0 - 40%)</v>
      </c>
      <c r="V536" s="25" t="n">
        <v>40</v>
      </c>
      <c r="W536" s="70" t="n">
        <f aca="false">W541</f>
        <v>40</v>
      </c>
      <c r="AA536" s="29" t="str">
        <f aca="false">CONCATENATE("Food production (0 - ",W535/1000," Gt per year)")</f>
        <v> Produção de alimentos (0 - 2,5 Gt por ano)</v>
      </c>
      <c r="AB536" s="57" t="n">
        <f aca="false">B412/$W535</f>
        <v>0.190616574</v>
      </c>
      <c r="AC536" s="57" t="n">
        <f aca="false">C412/$W535</f>
        <v>0.2152408056</v>
      </c>
      <c r="AD536" s="57" t="n">
        <f aca="false">D412/$W535</f>
        <v>0.2355758836</v>
      </c>
      <c r="AE536" s="57" t="n">
        <f aca="false">E412/$W535</f>
        <v>0.2657638012</v>
      </c>
      <c r="AF536" s="57" t="n">
        <f aca="false">F412/$W535</f>
        <v>0.2938378052</v>
      </c>
      <c r="AG536" s="57" t="n">
        <f aca="false">G412/$W535</f>
        <v>0.3613018628</v>
      </c>
      <c r="AH536" s="57" t="n">
        <f aca="false">H412/$W535</f>
        <v>0.3954441116</v>
      </c>
      <c r="AI536" s="57" t="n">
        <f aca="false">I412/$W535</f>
        <v>0.4900089088</v>
      </c>
      <c r="AJ536" s="57" t="n">
        <f aca="false">J412/$W535</f>
        <v>0.53975896</v>
      </c>
      <c r="AK536" s="57" t="n">
        <f aca="false">K412/$W535</f>
        <v>0.5735</v>
      </c>
      <c r="AL536" s="57" t="n">
        <f aca="false">L412/$W535</f>
        <v>0.6616</v>
      </c>
      <c r="AM536" s="57" t="n">
        <f aca="false">M412/$W535</f>
        <v>0.73</v>
      </c>
      <c r="AN536" s="57" t="n">
        <f aca="false">N412/$W535</f>
        <v>0.84</v>
      </c>
      <c r="AO536" s="57" t="n">
        <f aca="false">O412/$W535</f>
        <v>0.9008</v>
      </c>
      <c r="AP536" s="57" t="n">
        <f aca="false">P412/$W535</f>
        <v>0.97104</v>
      </c>
      <c r="AQ536" s="57" t="n">
        <f aca="false">Q412/$W535</f>
        <v>0.96904</v>
      </c>
      <c r="AR536" s="57" t="n">
        <f aca="false">R412/$W535</f>
        <v>0.9898</v>
      </c>
    </row>
    <row r="537" s="3" customFormat="true" ht="11.25" hidden="false" customHeight="false" outlineLevel="0" collapsed="false">
      <c r="S537" s="36"/>
      <c r="T537" s="13"/>
      <c r="U537" s="37" t="str">
        <f aca="false">AA540</f>
        <v> Biocapacidade não utilizada (0 - 50%), Sua previsão</v>
      </c>
      <c r="W537" s="4" t="n">
        <v>50</v>
      </c>
      <c r="AA537" s="29" t="str">
        <f aca="false">CONCATENATE("Fraction renewable (0 - ",W536," %)")</f>
        <v> Fração renovável (0 - 40%)</v>
      </c>
      <c r="AB537" s="120" t="n">
        <f aca="false">B255/$W536</f>
        <v>0.146668363708885</v>
      </c>
      <c r="AC537" s="120" t="n">
        <f aca="false">C255/$W536</f>
        <v>0.141717488584031</v>
      </c>
      <c r="AD537" s="120" t="n">
        <f aca="false">D255/$W536</f>
        <v>0.173561400975808</v>
      </c>
      <c r="AE537" s="120" t="n">
        <f aca="false">E255/$W536</f>
        <v>0.168099747170804</v>
      </c>
      <c r="AF537" s="120" t="n">
        <f aca="false">F255/$W536</f>
        <v>0.190837548528989</v>
      </c>
      <c r="AG537" s="120" t="n">
        <f aca="false">G255/$W536</f>
        <v>0.218688115633478</v>
      </c>
      <c r="AH537" s="120" t="n">
        <f aca="false">H255/$W536</f>
        <v>0.233293069616197</v>
      </c>
      <c r="AI537" s="120" t="n">
        <f aca="false">I255/$W536</f>
        <v>0.221138165313678</v>
      </c>
      <c r="AJ537" s="120" t="n">
        <f aca="false">J255/$W536</f>
        <v>0.218374007665034</v>
      </c>
      <c r="AK537" s="120" t="n">
        <f aca="false">K255/$W536</f>
        <v>0.236547761217588</v>
      </c>
      <c r="AL537" s="120" t="n">
        <f aca="false">L255/$W536</f>
        <v>0.262460585320069</v>
      </c>
      <c r="AM537" s="120" t="n">
        <f aca="false">M255/$W536</f>
        <v>0.325</v>
      </c>
      <c r="AN537" s="120" t="n">
        <f aca="false">N255/$W536</f>
        <v>0.375</v>
      </c>
      <c r="AO537" s="120" t="n">
        <f aca="false">O255/$W536</f>
        <v>0.45</v>
      </c>
      <c r="AP537" s="120" t="n">
        <f aca="false">P255/$W536</f>
        <v>0.525</v>
      </c>
      <c r="AQ537" s="120" t="n">
        <f aca="false">Q255/$W536</f>
        <v>0.6375</v>
      </c>
      <c r="AR537" s="120" t="n">
        <f aca="false">R255/$W536</f>
        <v>0.75</v>
      </c>
    </row>
    <row r="538" s="3" customFormat="true" ht="11.25" hidden="false" customHeight="false" outlineLevel="0" collapsed="false">
      <c r="S538" s="36"/>
      <c r="T538" s="13"/>
      <c r="U538" s="37" t="str">
        <f aca="false">AA541</f>
        <v> Participação do investimento no PIB (0-35%), sua previsão</v>
      </c>
      <c r="W538" s="4" t="n">
        <v>35</v>
      </c>
      <c r="AA538" s="29" t="str">
        <f aca="false">CONCATENATE("Sea level rise (0 - ",W565/1000," m)")</f>
        <v> Aumento do nível do mar (0 - 0,8 m)</v>
      </c>
      <c r="AB538" s="29"/>
      <c r="AC538" s="29"/>
      <c r="AD538" s="29"/>
      <c r="AE538" s="29"/>
      <c r="AF538" s="29"/>
      <c r="AG538" s="29"/>
      <c r="AH538" s="29"/>
      <c r="AI538" s="57" t="n">
        <f aca="false"> SumWorld!I403/$V$565</f>
        <v>0.0234931063652039</v>
      </c>
      <c r="AJ538" s="57" t="n">
        <f aca="false"> SumWorld!J403/$V$565</f>
        <v>0.0558284044265747</v>
      </c>
      <c r="AK538" s="57" t="n">
        <f aca="false"> SumWorld!K403/$V$565</f>
        <v>0.0902567386627197</v>
      </c>
      <c r="AL538" s="57" t="n">
        <f aca="false"> SumWorld!L403/$V$565</f>
        <v>0.128428058624268</v>
      </c>
      <c r="AM538" s="57" t="n">
        <f aca="false"> SumWorld!M403/$V$565</f>
        <v>0.171287422180176</v>
      </c>
      <c r="AN538" s="57" t="n">
        <f aca="false"> SumWorld!N403/$V$565</f>
        <v>0.218884449005127</v>
      </c>
      <c r="AO538" s="57" t="n">
        <f aca="false"> SumWorld!O403/$V$565</f>
        <v>0.270819759368896</v>
      </c>
      <c r="AP538" s="57" t="n">
        <f aca="false"> SumWorld!P403/$V$565</f>
        <v>0.327321701049805</v>
      </c>
      <c r="AQ538" s="57" t="n">
        <f aca="false"> SumWorld!Q403/$V$565</f>
        <v>0.388355827331543</v>
      </c>
      <c r="AR538" s="57" t="n">
        <f aca="false"> SumWorld!R403/$V$565</f>
        <v>0.454001922607422</v>
      </c>
    </row>
    <row r="539" s="3" customFormat="true" ht="11.25" hidden="false" customHeight="false" outlineLevel="0" collapsed="false">
      <c r="S539" s="36"/>
      <c r="T539" s="13"/>
      <c r="U539" s="37" t="str">
        <f aca="false">AA542</f>
        <v>Consumo de energia (0 - 2,2 Mtoe por ano), sua previsão</v>
      </c>
      <c r="W539" s="4" t="n">
        <v>2200</v>
      </c>
      <c r="AB539" s="24" t="n">
        <v>1970</v>
      </c>
      <c r="AC539" s="24" t="n">
        <v>1975</v>
      </c>
      <c r="AD539" s="24" t="n">
        <v>1980</v>
      </c>
      <c r="AE539" s="24" t="n">
        <v>1985</v>
      </c>
      <c r="AF539" s="24" t="n">
        <v>1990</v>
      </c>
      <c r="AG539" s="24" t="n">
        <v>1995</v>
      </c>
      <c r="AH539" s="24" t="n">
        <v>2000</v>
      </c>
      <c r="AI539" s="24" t="n">
        <v>2005</v>
      </c>
      <c r="AJ539" s="24" t="n">
        <v>2010</v>
      </c>
      <c r="AK539" s="24" t="n">
        <v>2015</v>
      </c>
      <c r="AL539" s="24" t="n">
        <v>2020</v>
      </c>
      <c r="AM539" s="24" t="n">
        <v>2025</v>
      </c>
      <c r="AN539" s="24" t="n">
        <v>2030</v>
      </c>
      <c r="AO539" s="24" t="n">
        <v>2035</v>
      </c>
      <c r="AP539" s="24" t="n">
        <v>2040</v>
      </c>
      <c r="AQ539" s="24" t="n">
        <v>2045</v>
      </c>
      <c r="AR539" s="24" t="n">
        <v>2050</v>
      </c>
    </row>
    <row r="540" s="3" customFormat="true" ht="11.25" hidden="false" customHeight="false" outlineLevel="0" collapsed="false">
      <c r="S540" s="36"/>
      <c r="T540" s="13"/>
      <c r="U540" s="37" t="str">
        <f aca="false">AA543</f>
        <v> Produção de alimentos (0 - 2,5 Gt por ano), Sua previsão</v>
      </c>
      <c r="W540" s="4" t="n">
        <v>2500</v>
      </c>
      <c r="AA540" s="29" t="str">
        <f aca="false">CONCATENATE("Unused bio-capacity (0 - ",W537," %), Your forecast")</f>
        <v> Biocapacidade não utilizada (0 - 50%), Sua previsão</v>
      </c>
      <c r="AB540" s="29"/>
      <c r="AC540" s="29"/>
      <c r="AD540" s="29"/>
      <c r="AE540" s="29"/>
      <c r="AF540" s="29"/>
      <c r="AG540" s="29"/>
      <c r="AH540" s="29"/>
      <c r="AI540" s="29"/>
      <c r="AJ540" s="29"/>
      <c r="AK540" s="57" t="n">
        <f aca="false">(100*K471/K466)/$W537</f>
        <v>0.419062341087753</v>
      </c>
      <c r="AL540" s="57" t="n">
        <f aca="false">(100*L471/L466)/$W537</f>
        <v>0.299027152190406</v>
      </c>
      <c r="AM540" s="57" t="n">
        <f aca="false">(100*M471/M466)/$W537</f>
        <v>0.244626902571718</v>
      </c>
      <c r="AN540" s="57" t="n">
        <f aca="false">(100*N471/N466)/$W537</f>
        <v>0.188826331258359</v>
      </c>
      <c r="AO540" s="57" t="n">
        <f aca="false">(100*O471/O466)/$W537</f>
        <v>0.09724224784115</v>
      </c>
      <c r="AP540" s="57" t="n">
        <f aca="false">(100*P471/P466)/$W537</f>
        <v>0.00240594648752547</v>
      </c>
      <c r="AQ540" s="57" t="n">
        <f aca="false">(100*Q471/Q466)/$W537</f>
        <v>-0.0986173461498276</v>
      </c>
      <c r="AR540" s="57" t="n">
        <f aca="false">(100*R471/R466)/$W537</f>
        <v>-0.311921789368713</v>
      </c>
    </row>
    <row r="541" s="3" customFormat="true" ht="11.25" hidden="false" customHeight="false" outlineLevel="0" collapsed="false">
      <c r="S541" s="36"/>
      <c r="T541" s="13"/>
      <c r="U541" s="37" t="str">
        <f aca="false">AA544</f>
        <v> Fração renovável (0 - 40%), Sua previsão</v>
      </c>
      <c r="W541" s="4" t="n">
        <v>40</v>
      </c>
      <c r="AA541" s="29" t="str">
        <f aca="false">CONCATENATE("Investment share of GDP (0 - ",W538," %), Your forecast")</f>
        <v> Participação do investimento no PIB (0-35%), sua previsão</v>
      </c>
      <c r="AB541" s="29"/>
      <c r="AC541" s="29"/>
      <c r="AD541" s="29"/>
      <c r="AE541" s="29"/>
      <c r="AF541" s="29"/>
      <c r="AG541" s="29"/>
      <c r="AH541" s="29"/>
      <c r="AI541" s="29"/>
      <c r="AJ541" s="29"/>
      <c r="AK541" s="57" t="n">
        <f aca="false">K148/$W538</f>
        <v>0.505978888073102</v>
      </c>
      <c r="AL541" s="57" t="n">
        <f aca="false">L148/$W538</f>
        <v>0.570098451769112</v>
      </c>
      <c r="AM541" s="57" t="n">
        <f aca="false">M148/$W538</f>
        <v>0.624202410255406</v>
      </c>
      <c r="AN541" s="57" t="n">
        <f aca="false">N148/$W538</f>
        <v>0.669680379120126</v>
      </c>
      <c r="AO541" s="57" t="n">
        <f aca="false">O148/$W538</f>
        <v>0.708688855768666</v>
      </c>
      <c r="AP541" s="57" t="n">
        <f aca="false">P148/$W538</f>
        <v>0.742845213255071</v>
      </c>
      <c r="AQ541" s="57" t="n">
        <f aca="false">Q148/$W538</f>
        <v>0.784562481369874</v>
      </c>
      <c r="AR541" s="57" t="n">
        <f aca="false">R148/$W538</f>
        <v>0.829150432455977</v>
      </c>
    </row>
    <row r="542" s="3" customFormat="true" ht="11.25" hidden="false" customHeight="false" outlineLevel="0" collapsed="false">
      <c r="S542" s="36"/>
      <c r="T542" s="13"/>
      <c r="AA542" s="29" t="str">
        <f aca="false">CONCATENATE("Energy use (0 - ",W539/1000," Mtoe per yr), Your forecast")</f>
        <v> Consumo de energia (0 - 2,2 Mtoe por ano), sua previsão</v>
      </c>
      <c r="AB542" s="29"/>
      <c r="AC542" s="29"/>
      <c r="AD542" s="29"/>
      <c r="AE542" s="29"/>
      <c r="AF542" s="29"/>
      <c r="AG542" s="29"/>
      <c r="AH542" s="29"/>
      <c r="AI542" s="29"/>
      <c r="AJ542" s="29"/>
      <c r="AK542" s="57" t="n">
        <f aca="false">K266/$W539</f>
        <v>0.577797983253059</v>
      </c>
      <c r="AL542" s="57" t="n">
        <f aca="false">L266/$W539</f>
        <v>0.627206291150496</v>
      </c>
      <c r="AM542" s="57" t="n">
        <f aca="false">M266/$W539</f>
        <v>0.690115575395609</v>
      </c>
      <c r="AN542" s="57" t="n">
        <f aca="false">N266/$W539</f>
        <v>0.72717047696274</v>
      </c>
      <c r="AO542" s="57" t="n">
        <f aca="false">O266/$W539</f>
        <v>0.776665003392544</v>
      </c>
      <c r="AP542" s="57" t="n">
        <f aca="false">P266/$W539</f>
        <v>0.819685787573978</v>
      </c>
      <c r="AQ542" s="57" t="n">
        <f aca="false">Q266/$W539</f>
        <v>0.857379703260338</v>
      </c>
      <c r="AR542" s="57" t="n">
        <f aca="false">R266/$W539</f>
        <v>0.887531181279416</v>
      </c>
    </row>
    <row r="543" s="3" customFormat="true" ht="11.25" hidden="false" customHeight="false" outlineLevel="0" collapsed="false">
      <c r="T543" s="13"/>
      <c r="AA543" s="29" t="str">
        <f aca="false">CONCATENATE("Food production (0 - ",W540/1000," Gt per year), Your forecast")</f>
        <v> Produção de alimentos (0 - 2,5 Gt por ano), Sua previsão</v>
      </c>
      <c r="AB543" s="29"/>
      <c r="AC543" s="29"/>
      <c r="AD543" s="29"/>
      <c r="AE543" s="29"/>
      <c r="AF543" s="29"/>
      <c r="AG543" s="29"/>
      <c r="AH543" s="29"/>
      <c r="AI543" s="29"/>
      <c r="AJ543" s="29"/>
      <c r="AK543" s="57" t="n">
        <f aca="false">K420/$W540</f>
        <v>0.5735</v>
      </c>
      <c r="AL543" s="57" t="n">
        <f aca="false">L420/$W540</f>
        <v>0.63540064</v>
      </c>
      <c r="AM543" s="57" t="n">
        <f aca="false">M420/$W540</f>
        <v>0.701092</v>
      </c>
      <c r="AN543" s="57" t="n">
        <f aca="false">N420/$W540</f>
        <v>0.806736</v>
      </c>
      <c r="AO543" s="57" t="n">
        <f aca="false">O420/$W540</f>
        <v>0.86512832</v>
      </c>
      <c r="AP543" s="57" t="n">
        <f aca="false">P420/$W540</f>
        <v>0.932586816</v>
      </c>
      <c r="AQ543" s="57" t="n">
        <f aca="false">Q420/$W540</f>
        <v>0.930666016</v>
      </c>
      <c r="AR543" s="57" t="n">
        <f aca="false">R420/$W540</f>
        <v>0.95060392</v>
      </c>
    </row>
    <row r="544" s="3" customFormat="true" ht="11.25" hidden="false" customHeight="false" outlineLevel="0" collapsed="false">
      <c r="T544" s="13"/>
      <c r="AA544" s="29" t="str">
        <f aca="false">CONCATENATE("Fraction renewable (0 - ",W541," %), Your forecast")</f>
        <v> Fração renovável (0 - 40%), Sua previsão</v>
      </c>
      <c r="AB544" s="29"/>
      <c r="AC544" s="29"/>
      <c r="AD544" s="29"/>
      <c r="AE544" s="29"/>
      <c r="AF544" s="29"/>
      <c r="AG544" s="29"/>
      <c r="AH544" s="29"/>
      <c r="AI544" s="29"/>
      <c r="AJ544" s="29"/>
      <c r="AK544" s="120" t="n">
        <f aca="false">K271/$W541</f>
        <v>0.236547761217588</v>
      </c>
      <c r="AL544" s="120" t="n">
        <f aca="false">L271/$W541</f>
        <v>0.257211373613668</v>
      </c>
      <c r="AM544" s="120" t="n">
        <f aca="false">M271/$W541</f>
        <v>0.3185</v>
      </c>
      <c r="AN544" s="120" t="n">
        <f aca="false">N271/$W541</f>
        <v>0.3675</v>
      </c>
      <c r="AO544" s="120" t="n">
        <f aca="false">O271/$W541</f>
        <v>0.441</v>
      </c>
      <c r="AP544" s="120" t="n">
        <f aca="false">P271/$W541</f>
        <v>0.5145</v>
      </c>
      <c r="AQ544" s="120" t="n">
        <f aca="false">Q271/$W541</f>
        <v>0.62475</v>
      </c>
      <c r="AR544" s="120" t="n">
        <f aca="false">R271/$W541</f>
        <v>0.735</v>
      </c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</row>
    <row r="551" customFormat="false" ht="11.25" hidden="false" customHeight="false" outlineLevel="0" collapsed="false">
      <c r="T551" s="13"/>
    </row>
    <row r="552" customFormat="false" ht="11.25" hidden="false" customHeight="false" outlineLevel="0" collapsed="false">
      <c r="T552" s="13"/>
    </row>
    <row r="553" customFormat="false" ht="11.25" hidden="false" customHeight="false" outlineLevel="0" collapsed="false">
      <c r="T553" s="13"/>
    </row>
    <row r="554" customFormat="false" ht="11.25" hidden="false" customHeight="false" outlineLevel="0" collapsed="false">
      <c r="T554" s="13"/>
    </row>
    <row r="555" customFormat="false" ht="11.25" hidden="false" customHeight="false" outlineLevel="0" collapsed="false">
      <c r="T555" s="13"/>
    </row>
    <row r="556" customFormat="false" ht="11.25" hidden="false" customHeight="false" outlineLevel="0" collapsed="false">
      <c r="T556" s="13"/>
    </row>
    <row r="557" customFormat="false" ht="11.25" hidden="false" customHeight="false" outlineLevel="0" collapsed="false">
      <c r="T557" s="13"/>
    </row>
    <row r="558" customFormat="false" ht="11.25" hidden="false" customHeight="false" outlineLevel="0" collapsed="false">
      <c r="T558" s="13"/>
      <c r="X558" s="15" t="s">
        <v>33</v>
      </c>
    </row>
    <row r="559" customFormat="false" ht="12.65" hidden="false" customHeight="false" outlineLevel="0" collapsed="false">
      <c r="A559" s="61" t="s">
        <v>157</v>
      </c>
      <c r="T559" s="13"/>
      <c r="V559" s="3" t="s">
        <v>35</v>
      </c>
    </row>
    <row r="560" customFormat="false" ht="28.3" hidden="false" customHeight="false" outlineLevel="0" collapsed="false">
      <c r="A560" s="23" t="str">
        <f aca="false">CONCATENATE(A559,". Standard of Living - ",A5," 1970 to 2050")</f>
        <v> Gráfico 15. Padrão de Vida - Resto do Mundo, 1970 a 2050</v>
      </c>
      <c r="T560" s="13"/>
      <c r="U560" s="53" t="s">
        <v>37</v>
      </c>
      <c r="V560" s="54" t="s">
        <v>38</v>
      </c>
      <c r="W560" s="54" t="s">
        <v>39</v>
      </c>
      <c r="X560" s="55"/>
      <c r="Y560" s="55"/>
      <c r="AA560" s="52" t="s">
        <v>36</v>
      </c>
    </row>
    <row r="561" customFormat="false" ht="11.25" hidden="false" customHeight="false" outlineLevel="0" collapsed="false">
      <c r="S561" s="154"/>
      <c r="T561" s="13"/>
      <c r="U561" s="15" t="str">
        <f aca="false">AA562</f>
        <v> PIB per capita (0 - 8.000 dólares por pessoa-ano)</v>
      </c>
      <c r="V561" s="25" t="n">
        <v>8</v>
      </c>
      <c r="W561" s="56" t="n">
        <f aca="false">W566</f>
        <v>8</v>
      </c>
      <c r="AB561" s="24" t="n">
        <v>1970</v>
      </c>
      <c r="AC561" s="24" t="n">
        <v>1975</v>
      </c>
      <c r="AD561" s="24" t="n">
        <v>1980</v>
      </c>
      <c r="AE561" s="24" t="n">
        <v>1985</v>
      </c>
      <c r="AF561" s="24" t="n">
        <v>1990</v>
      </c>
      <c r="AG561" s="24" t="n">
        <v>1995</v>
      </c>
      <c r="AH561" s="24" t="n">
        <v>2000</v>
      </c>
      <c r="AI561" s="24" t="n">
        <v>2005</v>
      </c>
      <c r="AJ561" s="24" t="n">
        <v>2010</v>
      </c>
      <c r="AK561" s="24" t="n">
        <v>2015</v>
      </c>
      <c r="AL561" s="24" t="n">
        <v>2020</v>
      </c>
      <c r="AM561" s="24" t="n">
        <v>2025</v>
      </c>
      <c r="AN561" s="24" t="n">
        <v>2030</v>
      </c>
      <c r="AO561" s="24" t="n">
        <v>2035</v>
      </c>
      <c r="AP561" s="24" t="n">
        <v>2040</v>
      </c>
      <c r="AQ561" s="24" t="n">
        <v>2045</v>
      </c>
      <c r="AR561" s="24" t="n">
        <v>2050</v>
      </c>
    </row>
    <row r="562" customFormat="false" ht="11.25" hidden="false" customHeight="false" outlineLevel="0" collapsed="false">
      <c r="S562" s="154"/>
      <c r="T562" s="13"/>
      <c r="U562" s="15" t="str">
        <f aca="false">AA563</f>
        <v> Consumo por pessoa (0 - 8.000 dólares por pessoa-ano)</v>
      </c>
      <c r="V562" s="25" t="n">
        <v>8</v>
      </c>
      <c r="W562" s="56" t="n">
        <f aca="false">W567</f>
        <v>8</v>
      </c>
      <c r="AA562" s="29" t="str">
        <f aca="false">CONCATENATE("GDP per person (0 - ",W561," 000 $ per person-yr)")</f>
        <v> PIB per capita (0 - 8.000 dólares por pessoa-ano)</v>
      </c>
      <c r="AB562" s="120" t="n">
        <f aca="false">B96/B9*1000/$W$561</f>
        <v>0.248675012123414</v>
      </c>
      <c r="AC562" s="120" t="n">
        <f aca="false">C96/C9*1000/$W$561</f>
        <v>0.285510301219748</v>
      </c>
      <c r="AD562" s="120" t="n">
        <f aca="false">D96/D9*1000/$W$561</f>
        <v>0.31733857060485</v>
      </c>
      <c r="AE562" s="120" t="n">
        <f aca="false">E96/E9*1000/$W$561</f>
        <v>0.324551273038695</v>
      </c>
      <c r="AF562" s="120" t="n">
        <f aca="false">F96/F9*1000/$W$561</f>
        <v>0.35360049725334</v>
      </c>
      <c r="AG562" s="120" t="n">
        <f aca="false">G96/G9*1000/$W$561</f>
        <v>0.385721367477456</v>
      </c>
      <c r="AH562" s="120" t="n">
        <f aca="false">H96/H9*1000/$W$561</f>
        <v>0.391168245934397</v>
      </c>
      <c r="AI562" s="120" t="n">
        <f aca="false">I96/I9*1000/$W$561</f>
        <v>0.457102634252366</v>
      </c>
      <c r="AJ562" s="120" t="n">
        <f aca="false">J96/J9*1000/$W$561</f>
        <v>0.496832114225956</v>
      </c>
      <c r="AK562" s="120" t="n">
        <f aca="false">K96/K9*1000/$W$561</f>
        <v>0.561439456398421</v>
      </c>
      <c r="AL562" s="120" t="n">
        <f aca="false">L96/L9*1000/$W$561</f>
        <v>0.607208502840295</v>
      </c>
      <c r="AM562" s="120" t="n">
        <f aca="false">M96/M9*1000/$W$561</f>
        <v>0.661220294610032</v>
      </c>
      <c r="AN562" s="120" t="n">
        <f aca="false">N96/N9*1000/$W$561</f>
        <v>0.714137962134388</v>
      </c>
      <c r="AO562" s="120" t="n">
        <f aca="false">O96/O9*1000/$W$561</f>
        <v>0.769686179544207</v>
      </c>
      <c r="AP562" s="120" t="n">
        <f aca="false">P96/P9*1000/$W$561</f>
        <v>0.828432597691089</v>
      </c>
      <c r="AQ562" s="120" t="n">
        <f aca="false">Q96/Q9*1000/$W$561</f>
        <v>0.893218480663635</v>
      </c>
      <c r="AR562" s="120" t="n">
        <f aca="false">R96/R9*1000/$W$561</f>
        <v>0.963469498207539</v>
      </c>
    </row>
    <row r="563" customFormat="false" ht="11.25" hidden="false" customHeight="false" outlineLevel="0" collapsed="false">
      <c r="S563" s="154"/>
      <c r="T563" s="13"/>
      <c r="U563" s="15" t="str">
        <f aca="false">AA564</f>
        <v> Alimentos por pessoa (0 - 1 t por pessoa-ano)</v>
      </c>
      <c r="V563" s="25" t="n">
        <v>1</v>
      </c>
      <c r="W563" s="56" t="n">
        <f aca="false">W568</f>
        <v>1</v>
      </c>
      <c r="AA563" s="29" t="str">
        <f aca="false">CONCATENATE("Consumption per person (0 - ",W562," 000 $ per person-yr)")</f>
        <v> Consumo por pessoa (0 - 8.000 dólares por pessoa-ano)</v>
      </c>
      <c r="AB563" s="120" t="n">
        <f aca="false">B136/B9*1000/$W$562</f>
        <v>0.185349660461778</v>
      </c>
      <c r="AC563" s="120" t="n">
        <f aca="false">C136/C9*1000/$W$562</f>
        <v>0.20584553734635</v>
      </c>
      <c r="AD563" s="120" t="n">
        <f aca="false">D136/D9*1000/$W$562</f>
        <v>0.223615620997738</v>
      </c>
      <c r="AE563" s="120" t="n">
        <f aca="false">E136/E9*1000/$W$562</f>
        <v>0.233496994457734</v>
      </c>
      <c r="AF563" s="120" t="n">
        <f aca="false">F136/F9*1000/$W$562</f>
        <v>0.262788101382716</v>
      </c>
      <c r="AG563" s="120" t="n">
        <f aca="false">G136/G9*1000/$W$562</f>
        <v>0.292761726804876</v>
      </c>
      <c r="AH563" s="120" t="n">
        <f aca="false">H136/H9*1000/$W$562</f>
        <v>0.297141227772807</v>
      </c>
      <c r="AI563" s="120" t="n">
        <f aca="false">I136/I9*1000/$W$562</f>
        <v>0.365245712992567</v>
      </c>
      <c r="AJ563" s="120" t="n">
        <f aca="false">J136/J9*1000/$W$562</f>
        <v>0.420258619258791</v>
      </c>
      <c r="AK563" s="120" t="n">
        <f aca="false">K136/K9*1000/$W$562</f>
        <v>0.462012677244327</v>
      </c>
      <c r="AL563" s="120" t="n">
        <f aca="false">L136/L9*1000/$W$562</f>
        <v>0.485952329900238</v>
      </c>
      <c r="AM563" s="120" t="n">
        <f aca="false">M136/M9*1000/$W$562</f>
        <v>0.516564572959769</v>
      </c>
      <c r="AN563" s="120" t="n">
        <f aca="false">N136/N9*1000/$W$562</f>
        <v>0.546438278001868</v>
      </c>
      <c r="AO563" s="120" t="n">
        <f aca="false">O136/O9*1000/$W$562</f>
        <v>0.578325955301323</v>
      </c>
      <c r="AP563" s="120" t="n">
        <f aca="false">P136/P9*1000/$W$562</f>
        <v>0.612447109826</v>
      </c>
      <c r="AQ563" s="120" t="n">
        <f aca="false">Q136/Q9*1000/$W$562</f>
        <v>0.6471038576336</v>
      </c>
      <c r="AR563" s="120" t="n">
        <f aca="false">R136/R9*1000/$W$562</f>
        <v>0.682711931925767</v>
      </c>
    </row>
    <row r="564" customFormat="false" ht="11.25" hidden="false" customHeight="false" outlineLevel="0" collapsed="false">
      <c r="S564" s="154"/>
      <c r="T564" s="13"/>
      <c r="U564" s="15" t="str">
        <f aca="false">AA565</f>
        <v> Consumo de energia por pessoa (0 - 1 pé por pessoa-ano)</v>
      </c>
      <c r="V564" s="25" t="n">
        <v>1</v>
      </c>
      <c r="W564" s="56" t="n">
        <f aca="false">W569</f>
        <v>1</v>
      </c>
      <c r="AA564" s="29" t="str">
        <f aca="false">CONCATENATE("Food per person (0 - ",W563," t per person-yr)")</f>
        <v> Alimentos por pessoa (0 - 1 t por pessoa-ano)</v>
      </c>
      <c r="AB564" s="120" t="n">
        <f aca="false">B412/B9/$W$563</f>
        <v>0.552231151698865</v>
      </c>
      <c r="AC564" s="120" t="n">
        <f aca="false">C412/C9/$W$563</f>
        <v>0.555460801149459</v>
      </c>
      <c r="AD564" s="120" t="n">
        <f aca="false">D412/D9/$W$563</f>
        <v>0.538370937607548</v>
      </c>
      <c r="AE564" s="120" t="n">
        <f aca="false">E412/E9/$W$563</f>
        <v>0.537285350365352</v>
      </c>
      <c r="AF564" s="120" t="n">
        <f aca="false">F412/F9/$W$563</f>
        <v>0.526979662058719</v>
      </c>
      <c r="AG564" s="120" t="n">
        <f aca="false">G412/G9/$W$563</f>
        <v>0.579883306791721</v>
      </c>
      <c r="AH564" s="120" t="n">
        <f aca="false">H412/H9/$W$563</f>
        <v>0.573802695986083</v>
      </c>
      <c r="AI564" s="120" t="n">
        <f aca="false">I412/I9/$W$563</f>
        <v>0.646100007515615</v>
      </c>
      <c r="AJ564" s="120" t="n">
        <f aca="false">J412/J9/$W$563</f>
        <v>0.647613293349002</v>
      </c>
      <c r="AK564" s="120" t="n">
        <f aca="false">K412/K9/$W$563</f>
        <v>0.628676548612802</v>
      </c>
      <c r="AL564" s="120" t="n">
        <f aca="false">L412/L9/$W$563</f>
        <v>0.671530247283137</v>
      </c>
      <c r="AM564" s="120" t="n">
        <f aca="false">M412/M9/$W$563</f>
        <v>0.695407689500774</v>
      </c>
      <c r="AN564" s="120" t="n">
        <f aca="false">N412/N9/$W$563</f>
        <v>0.757760558297855</v>
      </c>
      <c r="AO564" s="120" t="n">
        <f aca="false">O412/O9/$W$563</f>
        <v>0.777615300654714</v>
      </c>
      <c r="AP564" s="120" t="n">
        <f aca="false">P412/P9/$W$563</f>
        <v>0.810686612488612</v>
      </c>
      <c r="AQ564" s="120" t="n">
        <f aca="false">Q412/Q9/$W$563</f>
        <v>0.790827843523378</v>
      </c>
      <c r="AR564" s="120" t="n">
        <f aca="false">R412/R9/$W$563</f>
        <v>0.798191657510436</v>
      </c>
    </row>
    <row r="565" customFormat="false" ht="11.25" hidden="false" customHeight="false" outlineLevel="0" collapsed="false">
      <c r="T565" s="13"/>
      <c r="U565" s="15" t="str">
        <f aca="false">AA538</f>
        <v> Aumento do nível do mar (0 - 0,8 m)</v>
      </c>
      <c r="V565" s="25" t="n">
        <v>800</v>
      </c>
      <c r="W565" s="70" t="n">
        <v>800</v>
      </c>
      <c r="AA565" s="29" t="str">
        <f aca="false">CONCATENATE("Energy use per person (0 - ",W564," toe per person-yr)")</f>
        <v> Consumo de energia por pessoa (0 - 1 pé por pessoa-ano)</v>
      </c>
      <c r="AB565" s="120" t="n">
        <f aca="false">B250/B9/$W564</f>
        <v>0.354887337190359</v>
      </c>
      <c r="AC565" s="120" t="n">
        <f aca="false">C250/C9/$W564</f>
        <v>0.426844840981835</v>
      </c>
      <c r="AD565" s="120" t="n">
        <f aca="false">D250/D9/$W564</f>
        <v>0.496820593821636</v>
      </c>
      <c r="AE565" s="120" t="n">
        <f aca="false">E250/E9/$W564</f>
        <v>0.549672647463068</v>
      </c>
      <c r="AF565" s="120" t="n">
        <f aca="false">F250/F9/$W564</f>
        <v>0.560810635855212</v>
      </c>
      <c r="AG565" s="120" t="n">
        <f aca="false">G250/G9/$W564</f>
        <v>0.481351840237809</v>
      </c>
      <c r="AH565" s="120" t="n">
        <f aca="false">H250/H9/$W564</f>
        <v>0.464015621103723</v>
      </c>
      <c r="AI565" s="120" t="n">
        <f aca="false">I250/I9/$W564</f>
        <v>0.523949579748539</v>
      </c>
      <c r="AJ565" s="120" t="n">
        <f aca="false">J250/J9/$W564</f>
        <v>0.548045671483287</v>
      </c>
      <c r="AK565" s="120" t="n">
        <f aca="false">K250/K9/$W564</f>
        <v>0.557381476683756</v>
      </c>
      <c r="AL565" s="120" t="n">
        <f aca="false">L250/L9/$W564</f>
        <v>0.572678727341682</v>
      </c>
      <c r="AM565" s="120" t="n">
        <f aca="false">M250/M9/$W564</f>
        <v>0.592438108634147</v>
      </c>
      <c r="AN565" s="120" t="n">
        <f aca="false">N250/N9/$W564</f>
        <v>0.591862282527555</v>
      </c>
      <c r="AO565" s="120" t="n">
        <f aca="false">O250/O9/$W564</f>
        <v>0.606004485196042</v>
      </c>
      <c r="AP565" s="120" t="n">
        <f aca="false">P250/P9/$W564</f>
        <v>0.619644978777802</v>
      </c>
      <c r="AQ565" s="120" t="n">
        <f aca="false">Q250/Q9/$W564</f>
        <v>0.634697898942511</v>
      </c>
      <c r="AR565" s="120" t="n">
        <f aca="false">R250/R9/$W564</f>
        <v>0.650385628458477</v>
      </c>
    </row>
    <row r="566" customFormat="false" ht="11.25" hidden="false" customHeight="false" outlineLevel="0" collapsed="false">
      <c r="T566" s="13"/>
      <c r="U566" s="37" t="str">
        <f aca="false">AA567</f>
        <v> PIB per capita (0 - 8.000 dólares por pessoa por ano), sua previsão</v>
      </c>
      <c r="W566" s="4" t="n">
        <v>8</v>
      </c>
      <c r="AA566" s="29"/>
      <c r="AB566" s="24" t="n">
        <v>1970</v>
      </c>
      <c r="AC566" s="24" t="n">
        <v>1975</v>
      </c>
      <c r="AD566" s="24" t="n">
        <v>1980</v>
      </c>
      <c r="AE566" s="24" t="n">
        <v>1985</v>
      </c>
      <c r="AF566" s="24" t="n">
        <v>1990</v>
      </c>
      <c r="AG566" s="24" t="n">
        <v>1995</v>
      </c>
      <c r="AH566" s="24" t="n">
        <v>2000</v>
      </c>
      <c r="AI566" s="24" t="n">
        <v>2005</v>
      </c>
      <c r="AJ566" s="24" t="n">
        <v>2010</v>
      </c>
      <c r="AK566" s="24" t="n">
        <v>2015</v>
      </c>
      <c r="AL566" s="24" t="n">
        <v>2020</v>
      </c>
      <c r="AM566" s="24" t="n">
        <v>2025</v>
      </c>
      <c r="AN566" s="24" t="n">
        <v>2030</v>
      </c>
      <c r="AO566" s="24" t="n">
        <v>2035</v>
      </c>
      <c r="AP566" s="24" t="n">
        <v>2040</v>
      </c>
      <c r="AQ566" s="24" t="n">
        <v>2045</v>
      </c>
      <c r="AR566" s="24" t="n">
        <v>2050</v>
      </c>
    </row>
    <row r="567" customFormat="false" ht="11.25" hidden="false" customHeight="false" outlineLevel="0" collapsed="false">
      <c r="T567" s="13"/>
      <c r="U567" s="37" t="str">
        <f aca="false">AA568</f>
        <v>Consumo por pessoa (0 - 8.000 dólares por pessoa-ano), Sua previsão</v>
      </c>
      <c r="W567" s="155" t="n">
        <f aca="false">W566</f>
        <v>8</v>
      </c>
      <c r="AA567" s="29" t="str">
        <f aca="false">CONCATENATE("GDP per person (0 - ",W566," 000$ per person-yr), Your forecast")</f>
        <v> PIB per capita (0 - 8.000 dólares por pessoa por ano), sua previsão</v>
      </c>
      <c r="AB567" s="29"/>
      <c r="AC567" s="29"/>
      <c r="AD567" s="29"/>
      <c r="AE567" s="29"/>
      <c r="AF567" s="29"/>
      <c r="AG567" s="29"/>
      <c r="AH567" s="29"/>
      <c r="AI567" s="29"/>
      <c r="AJ567" s="29"/>
      <c r="AK567" s="120" t="n">
        <f aca="false">K104/K17*1000/$W566</f>
        <v>0.561439456398421</v>
      </c>
      <c r="AL567" s="120" t="n">
        <f aca="false">L104/L17*1000/$W566</f>
        <v>0.594260574481692</v>
      </c>
      <c r="AM567" s="120" t="n">
        <f aca="false">M104/M17*1000/$W566</f>
        <v>0.646083501941015</v>
      </c>
      <c r="AN567" s="120" t="n">
        <f aca="false">N104/N17*1000/$W566</f>
        <v>0.696553659534658</v>
      </c>
      <c r="AO567" s="120" t="n">
        <f aca="false">O104/O17*1000/$W566</f>
        <v>0.749254678628656</v>
      </c>
      <c r="AP567" s="120" t="n">
        <f aca="false">P104/P17*1000/$W566</f>
        <v>0.804688472729083</v>
      </c>
      <c r="AQ567" s="120" t="n">
        <f aca="false">Q104/Q17*1000/$W566</f>
        <v>0.865551175484445</v>
      </c>
      <c r="AR567" s="120" t="n">
        <f aca="false">R104/R17*1000/$W566</f>
        <v>0.931204679368482</v>
      </c>
    </row>
    <row r="568" customFormat="false" ht="11.25" hidden="false" customHeight="false" outlineLevel="0" collapsed="false">
      <c r="T568" s="13"/>
      <c r="U568" s="37" t="str">
        <f aca="false">AA569</f>
        <v> Alimentos por pessoa (0 - 1 t por pessoa-ano), Sua previsão</v>
      </c>
      <c r="W568" s="4" t="n">
        <v>1</v>
      </c>
      <c r="AA568" s="29" t="str">
        <f aca="false">CONCATENATE("Consumption per person (0 - ",W567," 000$ per person-yr), Your forecast")</f>
        <v> Consumo por pessoa (0 - 8.000 dólares por pessoa-ano), Sua previsão</v>
      </c>
      <c r="AB568" s="29"/>
      <c r="AC568" s="29"/>
      <c r="AD568" s="29"/>
      <c r="AE568" s="29"/>
      <c r="AF568" s="29"/>
      <c r="AG568" s="29"/>
      <c r="AH568" s="29"/>
      <c r="AI568" s="29"/>
      <c r="AJ568" s="29"/>
      <c r="AK568" s="120" t="n">
        <f aca="false">K147/K17*1000/$W567</f>
        <v>0.462012677244327</v>
      </c>
      <c r="AL568" s="120" t="n">
        <f aca="false">L147/L17*1000/$W567</f>
        <v>0.47568511277089</v>
      </c>
      <c r="AM568" s="120" t="n">
        <f aca="false">M147/M17*1000/$W567</f>
        <v>0.504933094242772</v>
      </c>
      <c r="AN568" s="120" t="n">
        <f aca="false">N147/N17*1000/$W567</f>
        <v>0.53328974795652</v>
      </c>
      <c r="AO568" s="120" t="n">
        <f aca="false">O147/O17*1000/$W567</f>
        <v>0.563408724321824</v>
      </c>
      <c r="AP568" s="120" t="n">
        <f aca="false">P147/P17*1000/$W567</f>
        <v>0.595472829684166</v>
      </c>
      <c r="AQ568" s="120" t="n">
        <f aca="false">Q147/Q17*1000/$W567</f>
        <v>0.627873533187704</v>
      </c>
      <c r="AR568" s="120" t="n">
        <f aca="false">R147/R17*1000/$W567</f>
        <v>0.66096661245729</v>
      </c>
    </row>
    <row r="569" customFormat="false" ht="11.25" hidden="false" customHeight="false" outlineLevel="0" collapsed="false">
      <c r="T569" s="13"/>
      <c r="U569" s="37" t="str">
        <f aca="false">AA570</f>
        <v> Consumo de energia por pessoa (0 a 1 toe por pessoa-ano), Sua previsão</v>
      </c>
      <c r="W569" s="4" t="n">
        <v>1</v>
      </c>
      <c r="AA569" s="29" t="str">
        <f aca="false">CONCATENATE("Food per person (0 - ",W568," t per person-yr), Your forecast")</f>
        <v> Alimentos por pessoa (0 - 1 t por pessoa-ano), Sua previsão</v>
      </c>
      <c r="AB569" s="29"/>
      <c r="AC569" s="29"/>
      <c r="AD569" s="29"/>
      <c r="AE569" s="29"/>
      <c r="AF569" s="29"/>
      <c r="AG569" s="29"/>
      <c r="AH569" s="29"/>
      <c r="AI569" s="29"/>
      <c r="AJ569" s="29"/>
      <c r="AK569" s="120" t="n">
        <f aca="false">K420/K17/$W568</f>
        <v>0.628676548612802</v>
      </c>
      <c r="AL569" s="120" t="n">
        <f aca="false">L420/L17/$W568</f>
        <v>0.645894530276319</v>
      </c>
      <c r="AM569" s="120" t="n">
        <f aca="false">M420/M17/$W568</f>
        <v>0.669683805334993</v>
      </c>
      <c r="AN569" s="120" t="n">
        <f aca="false">N420/N17/$W568</f>
        <v>0.730504951912201</v>
      </c>
      <c r="AO569" s="120" t="n">
        <f aca="false">O420/O17/$W568</f>
        <v>0.750291730725608</v>
      </c>
      <c r="AP569" s="120" t="n">
        <f aca="false">P420/P17/$W568</f>
        <v>0.7827157399247</v>
      </c>
      <c r="AQ569" s="120" t="n">
        <f aca="false">Q420/Q17/$W568</f>
        <v>0.763885639187836</v>
      </c>
      <c r="AR569" s="120" t="n">
        <f aca="false">R420/R17/$W568</f>
        <v>0.771181469026004</v>
      </c>
    </row>
    <row r="570" s="3" customFormat="true" ht="11.25" hidden="false" customHeight="false" outlineLevel="0" collapsed="false">
      <c r="T570" s="13"/>
      <c r="AA570" s="29" t="str">
        <f aca="false">CONCATENATE("Energy use per person (0 - ",W569," toe per person-yr), Your forecast")</f>
        <v> Consumo de energia por pessoa (0 a 1 toe por pessoa-ano), Sua previsão</v>
      </c>
      <c r="AB570" s="29"/>
      <c r="AC570" s="29"/>
      <c r="AD570" s="29"/>
      <c r="AE570" s="29"/>
      <c r="AF570" s="29"/>
      <c r="AG570" s="29"/>
      <c r="AH570" s="29"/>
      <c r="AI570" s="29"/>
      <c r="AJ570" s="29"/>
      <c r="AK570" s="120" t="n">
        <f aca="false">K266/K17/$W569</f>
        <v>0.557381476683756</v>
      </c>
      <c r="AL570" s="120" t="n">
        <f aca="false">L266/L17/$W569</f>
        <v>0.561057066722379</v>
      </c>
      <c r="AM570" s="120" t="n">
        <f aca="false">M266/M17/$W569</f>
        <v>0.580095219591229</v>
      </c>
      <c r="AN570" s="120" t="n">
        <f aca="false">N266/N17/$W569</f>
        <v>0.579442888614072</v>
      </c>
      <c r="AO570" s="120" t="n">
        <f aca="false">O266/O17/$W569</f>
        <v>0.592742461648549</v>
      </c>
      <c r="AP570" s="120" t="n">
        <f aca="false">P266/P17/$W569</f>
        <v>0.605403424017008</v>
      </c>
      <c r="AQ570" s="120" t="n">
        <f aca="false">Q266/Q17/$W569</f>
        <v>0.619284713984331</v>
      </c>
      <c r="AR570" s="120" t="n">
        <f aca="false">R266/R17/$W569</f>
        <v>0.633611828744817</v>
      </c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1.25" hidden="false" customHeight="false" outlineLevel="0" collapsed="false">
      <c r="T580" s="13"/>
    </row>
    <row r="581" customFormat="false" ht="11.25" hidden="false" customHeight="false" outlineLevel="0" collapsed="false">
      <c r="T581" s="13"/>
    </row>
    <row r="582" customFormat="false" ht="11.25" hidden="false" customHeight="false" outlineLevel="0" collapsed="false">
      <c r="T582" s="13"/>
    </row>
    <row r="583" customFormat="false" ht="11.25" hidden="false" customHeight="false" outlineLevel="0" collapsed="false">
      <c r="T583" s="13"/>
    </row>
    <row r="584" customFormat="false" ht="11.25" hidden="false" customHeight="false" outlineLevel="0" collapsed="false">
      <c r="T584" s="13"/>
    </row>
    <row r="585" customFormat="false" ht="11.25" hidden="false" customHeight="false" outlineLevel="0" collapsed="false">
      <c r="T585" s="13"/>
    </row>
    <row r="586" customFormat="false" ht="11.25" hidden="false" customHeight="false" outlineLevel="0" collapsed="false">
      <c r="T586" s="13"/>
    </row>
    <row r="587" customFormat="false" ht="11.25" hidden="false" customHeight="false" outlineLevel="0" collapsed="false">
      <c r="T587" s="13"/>
    </row>
    <row r="588" customFormat="false" ht="11.25" hidden="false" customHeight="false" outlineLevel="0" collapsed="false">
      <c r="T588" s="13"/>
    </row>
    <row r="589" customFormat="false" ht="11.25" hidden="false" customHeight="false" outlineLevel="0" collapsed="false">
      <c r="T589" s="13"/>
    </row>
  </sheetData>
  <sheetProtection sheet="true" password="dbc0" objects="true" scenarios="true"/>
  <mergeCells count="2">
    <mergeCell ref="D6:E6"/>
    <mergeCell ref="V271:Y272"/>
  </mergeCells>
  <conditionalFormatting sqref="K273:R273">
    <cfRule type="cellIs" priority="2" operator="lessThan" aboveAverage="0" equalAverage="0" bottom="0" percent="0" rank="0" text="" dxfId="8">
      <formula>0</formula>
    </cfRule>
  </conditionalFormatting>
  <conditionalFormatting sqref="K257:R257">
    <cfRule type="cellIs" priority="3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22.5703125" defaultRowHeight="11.25" customHeight="true" zeroHeight="false" outlineLevelRow="0" outlineLevelCol="0"/>
  <cols>
    <col collapsed="false" customWidth="true" hidden="false" outlineLevel="0" max="1" min="1" style="11" width="28.29"/>
    <col collapsed="false" customWidth="true" hidden="false" outlineLevel="0" max="2" min="2" style="3" width="7"/>
    <col collapsed="false" customWidth="true" hidden="false" outlineLevel="0" max="18" min="3" style="3" width="6.57"/>
    <col collapsed="false" customWidth="true" hidden="false" outlineLevel="0" max="19" min="19" style="3" width="10"/>
    <col collapsed="false" customWidth="true" hidden="false" outlineLevel="0" max="20" min="20" style="3" width="0.71"/>
    <col collapsed="false" customWidth="true" hidden="false" outlineLevel="0" max="21" min="21" style="3" width="53"/>
    <col collapsed="false" customWidth="true" hidden="false" outlineLevel="0" max="22" min="22" style="3" width="9"/>
    <col collapsed="false" customWidth="true" hidden="false" outlineLevel="0" max="23" min="23" style="3" width="7.57"/>
    <col collapsed="false" customWidth="true" hidden="false" outlineLevel="0" max="24" min="24" style="3" width="6.57"/>
    <col collapsed="false" customWidth="false" hidden="false" outlineLevel="0" max="27" min="25" style="3" width="22.57"/>
    <col collapsed="false" customWidth="true" hidden="false" outlineLevel="0" max="44" min="28" style="3" width="7.71"/>
    <col collapsed="false" customWidth="false" hidden="false" outlineLevel="0" max="16384" min="45" style="3" width="22.57"/>
  </cols>
  <sheetData>
    <row r="1" s="12" customFormat="true" ht="15" hidden="false" customHeight="false" outlineLevel="0" collapsed="false">
      <c r="A1" s="1" t="s">
        <v>193</v>
      </c>
      <c r="T1" s="13"/>
    </row>
    <row r="2" customFormat="false" ht="15" hidden="false" customHeight="false" outlineLevel="0" collapsed="false">
      <c r="A2" s="14" t="s">
        <v>194</v>
      </c>
      <c r="T2" s="13"/>
      <c r="U2" s="16" t="s">
        <v>195</v>
      </c>
    </row>
    <row r="3" customFormat="false" ht="15" hidden="false" customHeight="false" outlineLevel="0" collapsed="false">
      <c r="A3" s="14"/>
      <c r="T3" s="13"/>
      <c r="U3" s="157" t="s">
        <v>196</v>
      </c>
    </row>
    <row r="4" customFormat="false" ht="15" hidden="false" customHeight="false" outlineLevel="0" collapsed="false">
      <c r="A4" s="14"/>
      <c r="I4" s="15" t="s">
        <v>13</v>
      </c>
      <c r="J4" s="2" t="s">
        <v>6</v>
      </c>
      <c r="K4" s="2"/>
      <c r="M4" s="4" t="s">
        <v>7</v>
      </c>
      <c r="N4" s="5"/>
      <c r="T4" s="13"/>
      <c r="V4" s="16"/>
    </row>
    <row r="5" customFormat="false" ht="17.35" hidden="false" customHeight="false" outlineLevel="0" collapsed="false">
      <c r="A5" s="17" t="s">
        <v>197</v>
      </c>
      <c r="C5" s="18"/>
      <c r="J5" s="6" t="s">
        <v>8</v>
      </c>
      <c r="K5" s="7"/>
      <c r="M5" s="8" t="s">
        <v>9</v>
      </c>
      <c r="N5" s="8"/>
      <c r="O5" s="8"/>
      <c r="P5" s="8"/>
      <c r="T5" s="13"/>
      <c r="V5" s="16"/>
    </row>
    <row r="6" customFormat="false" ht="14.25" hidden="false" customHeight="true" outlineLevel="0" collapsed="false">
      <c r="A6" s="19"/>
      <c r="C6" s="20"/>
      <c r="D6" s="21"/>
      <c r="E6" s="21"/>
      <c r="F6" s="22"/>
      <c r="J6" s="9" t="s">
        <v>10</v>
      </c>
      <c r="K6" s="9"/>
      <c r="T6" s="13"/>
    </row>
    <row r="7" customFormat="false" ht="12.65" hidden="false" customHeight="false" outlineLevel="0" collapsed="false">
      <c r="A7" s="23" t="str">
        <f aca="false">CONCATENATE("Graph 1. Population - ",A5," 1970 to 2050")</f>
        <v>Gráfico 1. População - SumWorld de 1970 a 2050</v>
      </c>
      <c r="T7" s="13"/>
    </row>
    <row r="8" customFormat="false" ht="11.25" hidden="false" customHeight="false" outlineLevel="0" collapsed="false">
      <c r="B8" s="24" t="n">
        <v>1970</v>
      </c>
      <c r="C8" s="24" t="n">
        <v>1975</v>
      </c>
      <c r="D8" s="24" t="n">
        <v>1980</v>
      </c>
      <c r="E8" s="24" t="n">
        <v>1985</v>
      </c>
      <c r="F8" s="24" t="n">
        <v>1990</v>
      </c>
      <c r="G8" s="24" t="n">
        <v>1995</v>
      </c>
      <c r="H8" s="24" t="n">
        <v>2000</v>
      </c>
      <c r="I8" s="24" t="n">
        <v>2005</v>
      </c>
      <c r="J8" s="24" t="n">
        <v>2010</v>
      </c>
      <c r="K8" s="24" t="n">
        <v>2015</v>
      </c>
      <c r="L8" s="24" t="n">
        <v>2020</v>
      </c>
      <c r="M8" s="24" t="n">
        <v>2025</v>
      </c>
      <c r="N8" s="24" t="n">
        <v>2030</v>
      </c>
      <c r="O8" s="24" t="n">
        <v>2035</v>
      </c>
      <c r="P8" s="24" t="n">
        <v>2040</v>
      </c>
      <c r="Q8" s="24" t="n">
        <v>2045</v>
      </c>
      <c r="R8" s="24" t="n">
        <v>2050</v>
      </c>
      <c r="S8" s="25" t="s">
        <v>15</v>
      </c>
      <c r="T8" s="13"/>
    </row>
    <row r="9" customFormat="false" ht="11.25" hidden="false" customHeight="false" outlineLevel="0" collapsed="false">
      <c r="A9" s="11" t="s">
        <v>198</v>
      </c>
      <c r="B9" s="27" t="n">
        <f aca="false"> EUA!B9+ China!B9+ OCDE!B9+ BRISE!B9+ LINHA!B9</f>
        <v>3696.186306</v>
      </c>
      <c r="C9" s="27" t="n">
        <f aca="false"> EUA!C9+ China!C9+ OCDE!C9+ BRISE!C9+ LINHA!C9</f>
        <v>4076.419207</v>
      </c>
      <c r="D9" s="27" t="n">
        <f aca="false"> EUA!D9+ China!D9+ OCDE!D9+ BRISE!D9+ LINHA!D9</f>
        <v>4453.007478</v>
      </c>
      <c r="E9" s="27" t="n">
        <f aca="false"> EUA!E9+ China!E9+ OCDE!E9+ BRISE!E9+ LINHA!E9</f>
        <v>4863.289935</v>
      </c>
      <c r="F9" s="27" t="n">
        <f aca="false"> EUA!F9+ China!F9+ OCDE!F9+ BRISE!F9+ LINHA!F9</f>
        <v>5306.425154</v>
      </c>
      <c r="G9" s="27" t="n">
        <f aca="false"> EUA!G9+ China!G9+ OCDE!G9+ BRISE!G9+ LINHA!G9</f>
        <v>5726.239315</v>
      </c>
      <c r="H9" s="27" t="n">
        <f aca="false"> EUA!H9+ China!H9+ OCDE!H9+ BRISE!H9+ LINHA!H9</f>
        <v>6122.77022</v>
      </c>
      <c r="I9" s="27" t="n">
        <f aca="false"> EUA!I9+ China!I9+ OCDE!I9+ BRISE!I9+ LINHA!I9</f>
        <v>6506.649175</v>
      </c>
      <c r="J9" s="27" t="n">
        <f aca="false"> EUA!J9+ China!J9+ OCDE!J9+ BRISE!J9+ LINHA!J9</f>
        <v>6895.889018</v>
      </c>
      <c r="K9" s="27" t="n">
        <f aca="false"> EUA!K9+ China!K9+ OCDE!K9+ BRISE!K9+ LINHA!K9</f>
        <v>7232.563674147</v>
      </c>
      <c r="L9" s="27" t="n">
        <f aca="false"> EUA!L9+ China!L9+ OCDE!L9+ BRISE!L9+ LINHA!L9</f>
        <v>7512.21477029445</v>
      </c>
      <c r="M9" s="27" t="n">
        <f aca="false"> EUA!M9+ China!M9+ OCDE!M9+ BRISE!M9+ LINHA!M9</f>
        <v>7734.56392405069</v>
      </c>
      <c r="N9" s="27" t="n">
        <f aca="false"> EUA!N9+ China!N9+ OCDE!N9+ BRISE!N9+ LINHA!N9</f>
        <v>7904.80442220768</v>
      </c>
      <c r="O9" s="27" t="n">
        <f aca="false"> EUA!O9+ China!O9+ OCDE!O9+ BRISE!O9+ LINHA!O9</f>
        <v>8018.06135294744</v>
      </c>
      <c r="P9" s="27" t="n">
        <f aca="false"> EUA!P9+ China!P9+ OCDE!P9+ BRISE!P9+ LINHA!P9</f>
        <v>8067.82806311415</v>
      </c>
      <c r="Q9" s="27" t="n">
        <f aca="false"> EUA!Q9+ China!Q9+ OCDE!Q9+ BRISE!Q9+ LINHA!Q9</f>
        <v>8049.73680757153</v>
      </c>
      <c r="R9" s="27" t="n">
        <f aca="false"> EUA!R9+ China!R9+ OCDE!R9+ BRISE!R9+ LINHA!R9</f>
        <v>7965.64098874217</v>
      </c>
      <c r="S9" s="28" t="s">
        <v>17</v>
      </c>
      <c r="T9" s="13"/>
      <c r="U9" s="29" t="s">
        <v>18</v>
      </c>
    </row>
    <row r="10" customFormat="false" ht="11.25" hidden="false" customHeight="false" outlineLevel="0" collapsed="false">
      <c r="A10" s="11" t="s">
        <v>199</v>
      </c>
      <c r="B10" s="27" t="n">
        <f aca="false"> EUA!B10+ China!B10+ OCDE!B10+ BRISE!B10+ LINHA!B10</f>
        <v>121.7152212</v>
      </c>
      <c r="C10" s="27" t="n">
        <f aca="false"> EUA!C10+ China!C10+ OCDE!C10+ BRISE!C10+ LINHA!C10</f>
        <v>120.6758806</v>
      </c>
      <c r="D10" s="27" t="n">
        <f aca="false"> EUA!D10+ China!D10+ OCDE!D10+ BRISE!D10+ LINHA!D10</f>
        <v>129.0877412</v>
      </c>
      <c r="E10" s="27" t="n">
        <f aca="false"> EUA!E10+ China!E10+ OCDE!E10+ BRISE!E10+ LINHA!E10</f>
        <v>137.2072646</v>
      </c>
      <c r="F10" s="27" t="n">
        <f aca="false"> EUA!F10+ China!F10+ OCDE!F10+ BRISE!F10+ LINHA!F10</f>
        <v>134.9603064</v>
      </c>
      <c r="G10" s="27" t="n">
        <f aca="false"> EUA!G10+ China!G10+ OCDE!G10+ BRISE!G10+ LINHA!G10</f>
        <v>132.4725544</v>
      </c>
      <c r="H10" s="27" t="n">
        <f aca="false"> EUA!H10+ China!H10+ OCDE!H10+ BRISE!H10+ LINHA!H10</f>
        <v>131.6442252</v>
      </c>
      <c r="I10" s="27" t="n">
        <f aca="false"> EUA!I10+ China!I10+ OCDE!I10+ BRISE!I10+ LINHA!I10</f>
        <v>134.072461</v>
      </c>
      <c r="J10" s="27" t="n">
        <f aca="false"> EUA!J10+ China!J10+ OCDE!J10+ BRISE!J10+ LINHA!J10</f>
        <v>124.9107390294</v>
      </c>
      <c r="K10" s="27" t="n">
        <f aca="false"> EUA!K10+ China!K10+ OCDE!K10+ BRISE!K10+ LINHA!K10</f>
        <v>117.692398595596</v>
      </c>
      <c r="L10" s="27" t="n">
        <f aca="false"> EUA!L10+ China!L10+ OCDE!L10+ BRISE!L10+ LINHA!L10</f>
        <v>110.24864327952</v>
      </c>
      <c r="M10" s="27" t="n">
        <f aca="false"> EUA!M10+ China!M10+ OCDE!M10+ BRISE!M10+ LINHA!M10</f>
        <v>104.358031317342</v>
      </c>
      <c r="N10" s="27" t="n">
        <f aca="false"> EUA!N10+ China!N10+ OCDE!N10+ BRISE!N10+ LINHA!N10</f>
        <v>98.6652437692308</v>
      </c>
      <c r="O10" s="27" t="n">
        <f aca="false"> EUA!O10+ China!O10+ OCDE!O10+ BRISE!O10+ LINHA!O10</f>
        <v>91.8381320530915</v>
      </c>
      <c r="P10" s="27" t="n">
        <f aca="false"> EUA!P10+ China!P10+ OCDE!P10+ BRISE!P10+ LINHA!P10</f>
        <v>83.7893746556981</v>
      </c>
      <c r="Q10" s="27" t="n">
        <f aca="false"> EUA!Q10+ China!Q10+ OCDE!Q10+ BRISE!Q10+ LINHA!Q10</f>
        <v>75.3983968154668</v>
      </c>
      <c r="R10" s="27" t="n">
        <f aca="false"> EUA!R10+ China!R10+ OCDE!R10+ BRISE!R10+ LINHA!R10</f>
        <v>66.0924207298194</v>
      </c>
      <c r="S10" s="28" t="s">
        <v>20</v>
      </c>
      <c r="T10" s="13"/>
      <c r="U10" s="29" t="s">
        <v>21</v>
      </c>
    </row>
    <row r="11" customFormat="false" ht="11.25" hidden="false" customHeight="false" outlineLevel="0" collapsed="false">
      <c r="A11" s="11" t="s">
        <v>200</v>
      </c>
      <c r="B11" s="27" t="n">
        <f aca="false"> EUA!B11+ China!B11+ OCDE!B11+ BRISE!B11+ LINHA!B11</f>
        <v>45.6686416</v>
      </c>
      <c r="C11" s="27" t="n">
        <f aca="false"> EUA!C11+ China!C11+ OCDE!C11+ BRISE!C11+ LINHA!C11</f>
        <v>45.3582242</v>
      </c>
      <c r="D11" s="27" t="n">
        <f aca="false"> EUA!D11+ China!D11+ OCDE!D11+ BRISE!D11+ LINHA!D11</f>
        <v>47.0312504</v>
      </c>
      <c r="E11" s="27" t="n">
        <f aca="false"> EUA!E11+ China!E11+ OCDE!E11+ BRISE!E11+ LINHA!E11</f>
        <v>48.58022</v>
      </c>
      <c r="F11" s="27" t="n">
        <f aca="false"> EUA!F11+ China!F11+ OCDE!F11+ BRISE!F11+ LINHA!F11</f>
        <v>50.9974784</v>
      </c>
      <c r="G11" s="27" t="n">
        <f aca="false"> EUA!G11+ China!G11+ OCDE!G11+ BRISE!G11+ LINHA!G11</f>
        <v>53.166371</v>
      </c>
      <c r="H11" s="27" t="n">
        <f aca="false"> EUA!H11+ China!H11+ OCDE!H11+ BRISE!H11+ LINHA!H11</f>
        <v>54.8684324</v>
      </c>
      <c r="I11" s="27" t="n">
        <f aca="false"> EUA!I11+ China!I11+ OCDE!I11+ BRISE!I11+ LINHA!I11</f>
        <v>56.2244892</v>
      </c>
      <c r="J11" s="27" t="n">
        <f aca="false"> EUA!J11+ China!J11+ OCDE!J11+ BRISE!J11+ LINHA!J11</f>
        <v>57.5758078</v>
      </c>
      <c r="K11" s="27" t="n">
        <f aca="false"> EUA!K11+ China!K11+ OCDE!K11+ BRISE!K11+ LINHA!K11</f>
        <v>61.7621793661058</v>
      </c>
      <c r="L11" s="27" t="n">
        <f aca="false"> EUA!L11+ China!L11+ OCDE!L11+ BRISE!L11+ LINHA!L11</f>
        <v>65.7788125282717</v>
      </c>
      <c r="M11" s="27" t="n">
        <f aca="false"> EUA!M11+ China!M11+ OCDE!M11+ BRISE!M11+ LINHA!M11</f>
        <v>70.3099316859441</v>
      </c>
      <c r="N11" s="27" t="n">
        <f aca="false"> EUA!N11+ China!N11+ OCDE!N11+ BRISE!N11+ LINHA!N11</f>
        <v>76.0138576212789</v>
      </c>
      <c r="O11" s="27" t="n">
        <f aca="false"> EUA!O11+ China!O11+ OCDE!O11+ BRISE!O11+ LINHA!O11</f>
        <v>81.8847900197506</v>
      </c>
      <c r="P11" s="27" t="n">
        <f aca="false"> EUA!P11+ China!P11+ OCDE!P11+ BRISE!P11+ LINHA!P11</f>
        <v>87.4076257642224</v>
      </c>
      <c r="Q11" s="27" t="n">
        <f aca="false"> EUA!Q11+ China!Q11+ OCDE!Q11+ BRISE!Q11+ LINHA!Q11</f>
        <v>92.2175605813374</v>
      </c>
      <c r="R11" s="27" t="n">
        <f aca="false"> EUA!R11+ China!R11+ OCDE!R11+ BRISE!R11+ LINHA!R11</f>
        <v>96.0385146947459</v>
      </c>
      <c r="S11" s="28" t="s">
        <v>20</v>
      </c>
      <c r="T11" s="13"/>
      <c r="U11" s="29" t="s">
        <v>23</v>
      </c>
    </row>
    <row r="12" customFormat="false" ht="11.25" hidden="false" customHeight="false" outlineLevel="0" collapsed="false">
      <c r="A12" s="11" t="s">
        <v>24</v>
      </c>
      <c r="B12" s="32" t="n">
        <f aca="false">B10/B9*100</f>
        <v>3.29299475522704</v>
      </c>
      <c r="C12" s="32" t="n">
        <f aca="false">C10/C9*100</f>
        <v>2.96034030044742</v>
      </c>
      <c r="D12" s="32" t="n">
        <f aca="false">D10/D9*100</f>
        <v>2.89888893826825</v>
      </c>
      <c r="E12" s="32" t="n">
        <f aca="false">E10/E9*100</f>
        <v>2.8212849004241</v>
      </c>
      <c r="F12" s="32" t="n">
        <f aca="false">F10/F9*100</f>
        <v>2.54333760456918</v>
      </c>
      <c r="G12" s="32" t="n">
        <f aca="false">G10/G9*100</f>
        <v>2.31343028317006</v>
      </c>
      <c r="H12" s="32" t="n">
        <f aca="false">H10/H9*100</f>
        <v>2.15007619867858</v>
      </c>
      <c r="I12" s="32" t="n">
        <f aca="false">I10/I9*100</f>
        <v>2.06054541122543</v>
      </c>
      <c r="J12" s="32" t="n">
        <f aca="false">J10/J9*100</f>
        <v>1.81137977573815</v>
      </c>
      <c r="K12" s="32" t="n">
        <f aca="false">K10/K9*100</f>
        <v>1.62725699901255</v>
      </c>
      <c r="L12" s="32" t="n">
        <f aca="false">L10/L9*100</f>
        <v>1.46759173759882</v>
      </c>
      <c r="M12" s="32" t="n">
        <f aca="false">M10/M9*100</f>
        <v>1.34924259909263</v>
      </c>
      <c r="N12" s="32" t="n">
        <f aca="false">N10/N9*100</f>
        <v>1.24816805703683</v>
      </c>
      <c r="O12" s="32" t="n">
        <f aca="false">O10/O9*100</f>
        <v>1.14539073736735</v>
      </c>
      <c r="P12" s="32" t="n">
        <f aca="false">P10/P9*100</f>
        <v>1.03856172938018</v>
      </c>
      <c r="Q12" s="32" t="n">
        <f aca="false">Q10/Q9*100</f>
        <v>0.936656671116845</v>
      </c>
      <c r="R12" s="32" t="n">
        <f aca="false">R10/R9*100</f>
        <v>0.829718798816413</v>
      </c>
      <c r="S12" s="28" t="s">
        <v>25</v>
      </c>
      <c r="T12" s="13"/>
    </row>
    <row r="13" customFormat="false" ht="11.25" hidden="false" customHeight="false" outlineLevel="0" collapsed="false">
      <c r="A13" s="11" t="s">
        <v>26</v>
      </c>
      <c r="B13" s="32" t="n">
        <f aca="false">B11/B9*100</f>
        <v>1.23556113840545</v>
      </c>
      <c r="C13" s="32" t="n">
        <f aca="false">C11/C9*100</f>
        <v>1.11269773535831</v>
      </c>
      <c r="D13" s="32" t="n">
        <f aca="false">D11/D9*100</f>
        <v>1.05616823309543</v>
      </c>
      <c r="E13" s="32" t="n">
        <f aca="false">E11/E9*100</f>
        <v>0.998916796022773</v>
      </c>
      <c r="F13" s="32" t="n">
        <f aca="false">F11/F9*100</f>
        <v>0.961051497382526</v>
      </c>
      <c r="G13" s="32" t="n">
        <f aca="false">G11/G9*100</f>
        <v>0.928469246137332</v>
      </c>
      <c r="H13" s="32" t="n">
        <f aca="false">H11/H9*100</f>
        <v>0.896137376195705</v>
      </c>
      <c r="I13" s="32" t="n">
        <f aca="false">I11/I9*100</f>
        <v>0.864108202053171</v>
      </c>
      <c r="J13" s="32" t="n">
        <f aca="false">J11/J9*100</f>
        <v>0.834929443465704</v>
      </c>
      <c r="K13" s="32" t="n">
        <f aca="false">K11/K9*100</f>
        <v>0.85394587795855</v>
      </c>
      <c r="L13" s="32" t="n">
        <f aca="false">L11/L9*100</f>
        <v>0.875624759669823</v>
      </c>
      <c r="M13" s="32" t="n">
        <f aca="false">M11/M9*100</f>
        <v>0.909035498010621</v>
      </c>
      <c r="N13" s="32" t="n">
        <f aca="false">N11/N9*100</f>
        <v>0.961615918133613</v>
      </c>
      <c r="O13" s="32" t="n">
        <f aca="false">O11/O9*100</f>
        <v>1.02125422112977</v>
      </c>
      <c r="P13" s="32" t="n">
        <f aca="false">P11/P9*100</f>
        <v>1.08340962499991</v>
      </c>
      <c r="Q13" s="32" t="n">
        <f aca="false">Q11/Q9*100</f>
        <v>1.1455972137449</v>
      </c>
      <c r="R13" s="32" t="n">
        <f aca="false">R11/R9*100</f>
        <v>1.20565959262383</v>
      </c>
      <c r="S13" s="28" t="s">
        <v>25</v>
      </c>
      <c r="T13" s="13"/>
    </row>
    <row r="14" customFormat="false" ht="13.8" hidden="false" customHeight="false" outlineLevel="0" collapsed="false">
      <c r="A14" s="23" t="s">
        <v>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13"/>
      <c r="U14" s="35"/>
      <c r="V14" s="35"/>
    </row>
    <row r="15" customFormat="false" ht="11.25" hidden="false" customHeight="false" outlineLevel="0" collapsed="false">
      <c r="B15" s="36"/>
      <c r="C15" s="36"/>
      <c r="D15" s="36"/>
      <c r="F15" s="8"/>
      <c r="G15" s="37" t="s">
        <v>24</v>
      </c>
      <c r="H15" s="8"/>
      <c r="I15" s="100" t="s">
        <v>7</v>
      </c>
      <c r="J15" s="43" t="n">
        <f aca="false">J18/J9*100</f>
        <v>1.81137977573815</v>
      </c>
      <c r="K15" s="43" t="n">
        <f aca="false">K18/K17*100</f>
        <v>1.59471141957627</v>
      </c>
      <c r="L15" s="43" t="n">
        <f aca="false">L18/L17*100</f>
        <v>1.43792702682192</v>
      </c>
      <c r="M15" s="43" t="n">
        <f aca="false">M18/M17*100</f>
        <v>1.32171935427598</v>
      </c>
      <c r="N15" s="43" t="n">
        <f aca="false">N18/N17*100</f>
        <v>1.22252021057353</v>
      </c>
      <c r="O15" s="43" t="n">
        <f aca="false">O18/O17*100</f>
        <v>1.12173713152064</v>
      </c>
      <c r="P15" s="43" t="n">
        <f aca="false">P18/P17*100</f>
        <v>1.01705834880175</v>
      </c>
      <c r="Q15" s="43" t="n">
        <f aca="false">Q18/Q17*100</f>
        <v>0.917274723401108</v>
      </c>
      <c r="R15" s="43" t="n">
        <f aca="false">R18/R17*100</f>
        <v>0.812629364147025</v>
      </c>
      <c r="S15" s="28" t="s">
        <v>25</v>
      </c>
      <c r="T15" s="13"/>
      <c r="U15" s="40"/>
      <c r="V15" s="40"/>
    </row>
    <row r="16" customFormat="false" ht="11.25" hidden="false" customHeight="false" outlineLevel="0" collapsed="false">
      <c r="B16" s="41"/>
      <c r="C16" s="41"/>
      <c r="D16" s="41"/>
      <c r="F16" s="8"/>
      <c r="G16" s="37" t="s">
        <v>26</v>
      </c>
      <c r="H16" s="8"/>
      <c r="I16" s="100" t="s">
        <v>7</v>
      </c>
      <c r="J16" s="43" t="n">
        <f aca="false">J19/J9*100</f>
        <v>0.834900700405965</v>
      </c>
      <c r="K16" s="43" t="n">
        <f aca="false">K19/K17*100</f>
        <v>0.836866970522675</v>
      </c>
      <c r="L16" s="43" t="n">
        <f aca="false">L19/L17*100</f>
        <v>0.858118451341435</v>
      </c>
      <c r="M16" s="43" t="n">
        <f aca="false">M19/M17*100</f>
        <v>0.890906456451824</v>
      </c>
      <c r="N16" s="43" t="n">
        <f aca="false">N19/N17*100</f>
        <v>0.942507527320721</v>
      </c>
      <c r="O16" s="43" t="n">
        <f aca="false">O19/O17*100</f>
        <v>1.00106541706049</v>
      </c>
      <c r="P16" s="43" t="n">
        <f aca="false">P19/P17*100</f>
        <v>1.06212683380163</v>
      </c>
      <c r="Q16" s="43" t="n">
        <f aca="false">Q19/Q17*100</f>
        <v>1.12325073267134</v>
      </c>
      <c r="R16" s="43" t="n">
        <f aca="false">R19/R17*100</f>
        <v>1.18231113402832</v>
      </c>
      <c r="S16" s="28" t="s">
        <v>25</v>
      </c>
      <c r="T16" s="13"/>
      <c r="U16" s="40"/>
      <c r="V16" s="40"/>
    </row>
    <row r="17" customFormat="false" ht="11.25" hidden="false" customHeight="false" outlineLevel="0" collapsed="false">
      <c r="B17" s="41"/>
      <c r="C17" s="41"/>
      <c r="D17" s="42"/>
      <c r="E17" s="42"/>
      <c r="F17" s="42"/>
      <c r="G17" s="42"/>
      <c r="H17" s="43"/>
      <c r="I17" s="37" t="s">
        <v>198</v>
      </c>
      <c r="J17" s="43"/>
      <c r="K17" s="84" t="n">
        <f aca="false"> EUA!K17+ China!K17+ OCDE!K17+ BRISE!K17+ LINHA!K17</f>
        <v>7232.5735845945</v>
      </c>
      <c r="L17" s="84" t="n">
        <f aca="false"> EUA!L17+ China!L17+ OCDE!L17+ BRISE!L17+ LINHA!L17</f>
        <v>7506.63187176733</v>
      </c>
      <c r="M17" s="84" t="n">
        <f aca="false"> EUA!M17+ China!M17+ OCDE!M17+ BRISE!M17+ LINHA!M17</f>
        <v>7724.25234837862</v>
      </c>
      <c r="N17" s="84" t="n">
        <f aca="false"> EUA!N17+ China!N17+ OCDE!N17+ BRISE!N17+ LINHA!N17</f>
        <v>7890.63772526512</v>
      </c>
      <c r="O17" s="84" t="n">
        <f aca="false"> EUA!O17+ China!O17+ OCDE!O17+ BRISE!O17+ LINHA!O17</f>
        <v>8001.11165736649</v>
      </c>
      <c r="P17" s="84" t="n">
        <f aca="false"> EUA!P17+ China!P17+ OCDE!P17+ BRISE!P17+ LINHA!P17</f>
        <v>8049.38705043057</v>
      </c>
      <c r="Q17" s="84" t="n">
        <f aca="false"> EUA!Q17+ China!Q17+ OCDE!Q17+ BRISE!Q17+ LINHA!Q17</f>
        <v>8031.24836645354</v>
      </c>
      <c r="R17" s="84" t="n">
        <f aca="false"> EUA!R17+ China!R17+ OCDE!R17+ BRISE!R17+ LINHA!R17</f>
        <v>7948.53614205453</v>
      </c>
      <c r="S17" s="28" t="s">
        <v>17</v>
      </c>
      <c r="T17" s="13"/>
      <c r="U17" s="41"/>
      <c r="V17" s="41"/>
    </row>
    <row r="18" customFormat="false" ht="11.25" hidden="false" customHeight="false" outlineLevel="0" collapsed="false">
      <c r="B18" s="41"/>
      <c r="C18" s="41"/>
      <c r="D18" s="42"/>
      <c r="E18" s="42"/>
      <c r="F18" s="42"/>
      <c r="G18" s="42"/>
      <c r="H18" s="43"/>
      <c r="I18" s="37" t="s">
        <v>199</v>
      </c>
      <c r="J18" s="84" t="n">
        <f aca="false"> EUA!J18+ China!J18+ OCDE!J18+ BRISE!J18+ LINHA!J18</f>
        <v>124.9107390294</v>
      </c>
      <c r="K18" s="84" t="n">
        <f aca="false"> EUA!K18+ China!K18+ OCDE!K18+ BRISE!K18+ LINHA!K18</f>
        <v>115.338676882785</v>
      </c>
      <c r="L18" s="84" t="n">
        <f aca="false"> EUA!L18+ China!L18+ OCDE!L18+ BRISE!L18+ LINHA!L18</f>
        <v>107.939888488171</v>
      </c>
      <c r="M18" s="84" t="n">
        <f aca="false"> EUA!M18+ China!M18+ OCDE!M18+ BRISE!M18+ LINHA!M18</f>
        <v>102.092938261637</v>
      </c>
      <c r="N18" s="84" t="n">
        <f aca="false"> EUA!N18+ China!N18+ OCDE!N18+ BRISE!N18+ LINHA!N18</f>
        <v>96.4646409345056</v>
      </c>
      <c r="O18" s="84" t="n">
        <f aca="false"> EUA!O18+ China!O18+ OCDE!O18+ BRISE!O18+ LINHA!O18</f>
        <v>89.7514403951062</v>
      </c>
      <c r="P18" s="84" t="n">
        <f aca="false"> EUA!P18+ China!P18+ OCDE!P18+ BRISE!P18+ LINHA!P18</f>
        <v>81.8669630237714</v>
      </c>
      <c r="Q18" s="84" t="n">
        <f aca="false"> EUA!Q18+ China!Q18+ OCDE!Q18+ BRISE!Q18+ LINHA!Q18</f>
        <v>73.6686112390427</v>
      </c>
      <c r="R18" s="84" t="n">
        <f aca="false"> EUA!R18+ China!R18+ OCDE!R18+ BRISE!R18+ LINHA!R18</f>
        <v>64.5921387101742</v>
      </c>
      <c r="S18" s="28" t="s">
        <v>20</v>
      </c>
      <c r="T18" s="13"/>
      <c r="U18" s="41"/>
      <c r="V18" s="41"/>
    </row>
    <row r="19" s="3" customFormat="true" ht="11.25" hidden="false" customHeight="false" outlineLevel="0" collapsed="false">
      <c r="B19" s="41"/>
      <c r="C19" s="41"/>
      <c r="D19" s="42"/>
      <c r="E19" s="42"/>
      <c r="F19" s="42"/>
      <c r="G19" s="42"/>
      <c r="H19" s="43"/>
      <c r="I19" s="37" t="s">
        <v>200</v>
      </c>
      <c r="J19" s="84" t="n">
        <f aca="false"> EUA!J19+ China!J19+ OCDE!J19+ BRISE!J19+ LINHA!J19</f>
        <v>57.5738257105</v>
      </c>
      <c r="K19" s="84" t="n">
        <f aca="false"> EUA!K19+ China!K19+ OCDE!K19+ BRISE!K19+ LINHA!K19</f>
        <v>60.5270194482193</v>
      </c>
      <c r="L19" s="84" t="n">
        <f aca="false"> EUA!L19+ China!L19+ OCDE!L19+ BRISE!L19+ LINHA!L19</f>
        <v>64.4157931659124</v>
      </c>
      <c r="M19" s="84" t="n">
        <f aca="false"> EUA!M19+ China!M19+ OCDE!M19+ BRISE!M19+ LINHA!M19</f>
        <v>68.8158628843368</v>
      </c>
      <c r="N19" s="84" t="n">
        <f aca="false"> EUA!N19+ China!N19+ OCDE!N19+ BRISE!N19+ LINHA!N19</f>
        <v>74.3698545142323</v>
      </c>
      <c r="O19" s="84" t="n">
        <f aca="false"> EUA!O19+ China!O19+ OCDE!O19+ BRISE!O19+ LINHA!O19</f>
        <v>80.0963617822915</v>
      </c>
      <c r="P19" s="84" t="n">
        <f aca="false"> EUA!P19+ China!P19+ OCDE!P19+ BRISE!P19+ LINHA!P19</f>
        <v>85.4946998191768</v>
      </c>
      <c r="Q19" s="84" t="n">
        <f aca="false"> EUA!Q19+ China!Q19+ OCDE!Q19+ BRISE!Q19+ LINHA!Q19</f>
        <v>90.2110561188443</v>
      </c>
      <c r="R19" s="84" t="n">
        <f aca="false"> EUA!R19+ China!R19+ OCDE!R19+ BRISE!R19+ LINHA!R19</f>
        <v>93.9764277997761</v>
      </c>
      <c r="S19" s="28" t="s">
        <v>20</v>
      </c>
      <c r="T19" s="13"/>
      <c r="U19" s="41"/>
      <c r="V19" s="41"/>
    </row>
    <row r="20" customFormat="false" ht="12.65" hidden="false" customHeight="false" outlineLevel="0" collapsed="false">
      <c r="A20" s="23" t="s">
        <v>27</v>
      </c>
      <c r="B20" s="41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28"/>
      <c r="T20" s="13"/>
      <c r="U20" s="41"/>
      <c r="V20" s="41"/>
    </row>
    <row r="21" customFormat="false" ht="11.25" hidden="false" customHeight="false" outlineLevel="0" collapsed="false">
      <c r="A21" s="46" t="s">
        <v>28</v>
      </c>
      <c r="B21" s="42"/>
      <c r="C21" s="42"/>
      <c r="D21" s="42"/>
      <c r="E21" s="42"/>
      <c r="F21" s="42"/>
      <c r="G21" s="42"/>
      <c r="H21" s="36"/>
      <c r="I21" s="47"/>
      <c r="J21" s="47"/>
      <c r="K21" s="27" t="n">
        <f aca="false"> EUA!K21+ China!K21+ OCDE!K21+ BRISE!K21+ LINHA!K21</f>
        <v>7217.275233</v>
      </c>
      <c r="L21" s="27" t="n">
        <f aca="false"> EUA!L21+ China!L21+ OCDE!L21+ BRISE!L21+ LINHA!L21</f>
        <v>7480.225321</v>
      </c>
      <c r="M21" s="27" t="n">
        <f aca="false"> EUA!M21+ China!M21+ OCDE!M21+ BRISE!M21+ LINHA!M21</f>
        <v>7689.13525</v>
      </c>
      <c r="N21" s="27" t="n">
        <f aca="false"> EUA!N21+ China!N21+ OCDE!N21+ BRISE!N21+ LINHA!N21</f>
        <v>7867.332284</v>
      </c>
      <c r="O21" s="27" t="n">
        <f aca="false"> EUA!O21+ China!O21+ OCDE!O21+ BRISE!O21+ LINHA!O21</f>
        <v>8006.641994</v>
      </c>
      <c r="P21" s="27" t="n">
        <f aca="false"> EUA!P21+ China!P21+ OCDE!P21+ BRISE!P21+ LINHA!P21</f>
        <v>8096.724595</v>
      </c>
      <c r="Q21" s="27" t="n">
        <f aca="false"> EUA!Q21+ China!Q21+ OCDE!Q21+ BRISE!Q21+ LINHA!Q21</f>
        <v>8131.432437</v>
      </c>
      <c r="R21" s="27" t="n">
        <f aca="false"> EUA!R21+ China!R21+ OCDE!R21+ BRISE!R21+ LINHA!R21</f>
        <v>8112.190801</v>
      </c>
      <c r="S21" s="28" t="s">
        <v>17</v>
      </c>
      <c r="T21" s="13"/>
      <c r="U21" s="36"/>
      <c r="V21" s="36"/>
    </row>
    <row r="22" customFormat="false" ht="11.25" hidden="false" customHeight="false" outlineLevel="0" collapsed="false">
      <c r="A22" s="46" t="s">
        <v>29</v>
      </c>
      <c r="B22" s="41"/>
      <c r="C22" s="41"/>
      <c r="D22" s="41"/>
      <c r="E22" s="41"/>
      <c r="F22" s="41"/>
      <c r="G22" s="41"/>
      <c r="H22" s="41"/>
      <c r="I22" s="48"/>
      <c r="J22" s="27" t="n">
        <f aca="false"> EUA!J22+ China!J22+ OCDE!J22+ BRISE!J22+ LINHA!J22</f>
        <v>121.8530536</v>
      </c>
      <c r="K22" s="27" t="n">
        <f aca="false"> EUA!K22+ China!K22+ OCDE!K22+ BRISE!K22+ LINHA!K22</f>
        <v>112.6232108</v>
      </c>
      <c r="L22" s="27" t="n">
        <f aca="false"> EUA!L22+ China!L22+ OCDE!L22+ BRISE!L22+ LINHA!L22</f>
        <v>105.1172124</v>
      </c>
      <c r="M22" s="27" t="n">
        <f aca="false"> EUA!M22+ China!M22+ OCDE!M22+ BRISE!M22+ LINHA!M22</f>
        <v>103.1746706</v>
      </c>
      <c r="N22" s="27" t="n">
        <f aca="false"> EUA!N22+ China!N22+ OCDE!N22+ BRISE!N22+ LINHA!N22</f>
        <v>100.423347</v>
      </c>
      <c r="O22" s="27" t="n">
        <f aca="false"> EUA!O22+ China!O22+ OCDE!O22+ BRISE!O22+ LINHA!O22</f>
        <v>96.1809496</v>
      </c>
      <c r="P22" s="27" t="n">
        <f aca="false"> EUA!P22+ China!P22+ OCDE!P22+ BRISE!P22+ LINHA!P22</f>
        <v>90.7711204</v>
      </c>
      <c r="Q22" s="27" t="n">
        <f aca="false"> EUA!Q22+ China!Q22+ OCDE!Q22+ BRISE!Q22+ LINHA!Q22</f>
        <v>85.3637244</v>
      </c>
      <c r="R22" s="27" t="n">
        <f aca="false"> EUA!R22+ China!R22+ OCDE!R22+ BRISE!R22+ LINHA!R22</f>
        <v>80.863152</v>
      </c>
      <c r="S22" s="28" t="s">
        <v>20</v>
      </c>
      <c r="T22" s="13"/>
      <c r="U22" s="50"/>
      <c r="V22" s="50"/>
    </row>
    <row r="23" customFormat="false" ht="11.25" hidden="false" customHeight="false" outlineLevel="0" collapsed="false">
      <c r="A23" s="46" t="s">
        <v>30</v>
      </c>
      <c r="B23" s="41"/>
      <c r="C23" s="41"/>
      <c r="D23" s="41"/>
      <c r="E23" s="41"/>
      <c r="F23" s="41"/>
      <c r="G23" s="41"/>
      <c r="H23" s="41"/>
      <c r="I23" s="48"/>
      <c r="J23" s="27" t="n">
        <f aca="false"> EUA!J23+ China!J23+ OCDE!J23+ BRISE!J23+ LINHA!J23</f>
        <v>57.5758078</v>
      </c>
      <c r="K23" s="27" t="n">
        <f aca="false"> EUA!K23+ China!K23+ OCDE!K23+ BRISE!K23+ LINHA!K23</f>
        <v>60.0331914</v>
      </c>
      <c r="L23" s="27" t="n">
        <f aca="false"> EUA!L23+ China!L23+ OCDE!L23+ BRISE!L23+ LINHA!L23</f>
        <v>63.3352222</v>
      </c>
      <c r="M23" s="27" t="n">
        <f aca="false"> EUA!M23+ China!M23+ OCDE!M23+ BRISE!M23+ LINHA!M23</f>
        <v>67.5352604</v>
      </c>
      <c r="N23" s="27" t="n">
        <f aca="false"> EUA!N23+ China!N23+ OCDE!N23+ BRISE!N23+ LINHA!N23</f>
        <v>72.561402</v>
      </c>
      <c r="O23" s="27" t="n">
        <f aca="false"> EUA!O23+ China!O23+ OCDE!O23+ BRISE!O23+ LINHA!O23</f>
        <v>78.1644276</v>
      </c>
      <c r="P23" s="27" t="n">
        <f aca="false"> EUA!P23+ China!P23+ OCDE!P23+ BRISE!P23+ LINHA!P23</f>
        <v>83.8295528</v>
      </c>
      <c r="Q23" s="27" t="n">
        <f aca="false"> EUA!Q23+ China!Q23+ OCDE!Q23+ BRISE!Q23+ LINHA!Q23</f>
        <v>89.2120502</v>
      </c>
      <c r="R23" s="27" t="n">
        <f aca="false"> EUA!R23+ China!R23+ OCDE!R23+ BRISE!R23+ LINHA!R23</f>
        <v>94.0672572</v>
      </c>
      <c r="S23" s="28" t="s">
        <v>20</v>
      </c>
      <c r="T23" s="13"/>
      <c r="V23" s="50"/>
    </row>
    <row r="24" customFormat="false" ht="11.25" hidden="false" customHeight="false" outlineLevel="0" collapsed="false">
      <c r="A24" s="46" t="s">
        <v>31</v>
      </c>
      <c r="B24" s="42"/>
      <c r="C24" s="42"/>
      <c r="D24" s="42"/>
      <c r="E24" s="42"/>
      <c r="F24" s="42"/>
      <c r="G24" s="42"/>
      <c r="H24" s="42"/>
      <c r="I24" s="42"/>
      <c r="J24" s="32" t="n">
        <f aca="false">J22/J9*100</f>
        <v>1.76703907620806</v>
      </c>
      <c r="K24" s="32" t="n">
        <f aca="false">K22/K21*100</f>
        <v>1.56046717305509</v>
      </c>
      <c r="L24" s="32" t="n">
        <f aca="false">L22/L21*100</f>
        <v>1.40526799513504</v>
      </c>
      <c r="M24" s="32" t="n">
        <f aca="false">M22/M21*100</f>
        <v>1.3418241095447</v>
      </c>
      <c r="N24" s="32" t="n">
        <f aca="false">N22/N21*100</f>
        <v>1.27645996603237</v>
      </c>
      <c r="O24" s="32" t="n">
        <f aca="false">O22/O21*100</f>
        <v>1.20126452103236</v>
      </c>
      <c r="P24" s="32" t="n">
        <f aca="false">P22/P21*100</f>
        <v>1.1210844500757</v>
      </c>
      <c r="Q24" s="32" t="n">
        <f aca="false">Q22/Q21*100</f>
        <v>1.04979934422838</v>
      </c>
      <c r="R24" s="32" t="n">
        <f aca="false">R22/R21*100</f>
        <v>0.996810282002143</v>
      </c>
      <c r="S24" s="28" t="s">
        <v>25</v>
      </c>
      <c r="T24" s="13"/>
      <c r="V24" s="50"/>
    </row>
    <row r="25" customFormat="false" ht="11.25" hidden="false" customHeight="false" outlineLevel="0" collapsed="false">
      <c r="A25" s="46" t="s">
        <v>32</v>
      </c>
      <c r="B25" s="42"/>
      <c r="C25" s="42"/>
      <c r="D25" s="42"/>
      <c r="E25" s="42"/>
      <c r="F25" s="42"/>
      <c r="G25" s="42"/>
      <c r="H25" s="42"/>
      <c r="I25" s="42"/>
      <c r="J25" s="32" t="n">
        <f aca="false">J23/J9*100</f>
        <v>0.834929443465704</v>
      </c>
      <c r="K25" s="32" t="n">
        <f aca="false">K23/K21*100</f>
        <v>0.831798559177935</v>
      </c>
      <c r="L25" s="32" t="n">
        <f aca="false">L23/L21*100</f>
        <v>0.846702064203769</v>
      </c>
      <c r="M25" s="32" t="n">
        <f aca="false">M23/M21*100</f>
        <v>0.878320619994296</v>
      </c>
      <c r="N25" s="32" t="n">
        <f aca="false">N23/N21*100</f>
        <v>0.922312664326764</v>
      </c>
      <c r="O25" s="32" t="n">
        <f aca="false">O23/O21*100</f>
        <v>0.976244818471648</v>
      </c>
      <c r="P25" s="32" t="n">
        <f aca="false">P23/P21*100</f>
        <v>1.03535141669222</v>
      </c>
      <c r="Q25" s="32" t="n">
        <f aca="false">Q23/Q21*100</f>
        <v>1.09712588638213</v>
      </c>
      <c r="R25" s="32" t="n">
        <f aca="false">R23/R21*100</f>
        <v>1.15957895354735</v>
      </c>
      <c r="S25" s="28" t="s">
        <v>25</v>
      </c>
      <c r="T25" s="13"/>
      <c r="X25" s="15" t="s">
        <v>33</v>
      </c>
    </row>
    <row r="26" customFormat="false" ht="11.25" hidden="false" customHeight="false" outlineLevel="0" collapsed="false">
      <c r="E26" s="51" t="s">
        <v>34</v>
      </c>
      <c r="F26" s="51"/>
      <c r="G26" s="51"/>
      <c r="H26" s="51"/>
      <c r="I26" s="51"/>
      <c r="J26" s="51"/>
      <c r="K26" s="51"/>
      <c r="L26" s="51"/>
      <c r="T26" s="13"/>
      <c r="V26" s="3" t="s">
        <v>35</v>
      </c>
      <c r="AA26" s="52" t="s">
        <v>36</v>
      </c>
    </row>
    <row r="27" customFormat="false" ht="28.3" hidden="false" customHeight="false" outlineLevel="0" collapsed="false">
      <c r="T27" s="13"/>
      <c r="U27" s="53" t="s">
        <v>37</v>
      </c>
      <c r="V27" s="54" t="s">
        <v>38</v>
      </c>
      <c r="W27" s="54" t="s">
        <v>39</v>
      </c>
      <c r="X27" s="55"/>
      <c r="Y27" s="55"/>
      <c r="AA27" s="16"/>
      <c r="AB27" s="24" t="n">
        <v>1970</v>
      </c>
      <c r="AC27" s="24" t="n">
        <v>1975</v>
      </c>
      <c r="AD27" s="24" t="n">
        <v>1980</v>
      </c>
      <c r="AE27" s="24" t="n">
        <v>1985</v>
      </c>
      <c r="AF27" s="24" t="n">
        <v>1990</v>
      </c>
      <c r="AG27" s="24" t="n">
        <v>1995</v>
      </c>
      <c r="AH27" s="24" t="n">
        <v>2000</v>
      </c>
      <c r="AI27" s="24" t="n">
        <v>2005</v>
      </c>
      <c r="AJ27" s="24" t="n">
        <v>2010</v>
      </c>
      <c r="AK27" s="24" t="n">
        <v>2015</v>
      </c>
      <c r="AL27" s="24" t="n">
        <v>2020</v>
      </c>
      <c r="AM27" s="24" t="n">
        <v>2025</v>
      </c>
      <c r="AN27" s="24" t="n">
        <v>2030</v>
      </c>
      <c r="AO27" s="24" t="n">
        <v>2035</v>
      </c>
      <c r="AP27" s="24" t="n">
        <v>2040</v>
      </c>
      <c r="AQ27" s="24" t="n">
        <v>2045</v>
      </c>
      <c r="AR27" s="24" t="n">
        <v>2050</v>
      </c>
    </row>
    <row r="28" customFormat="false" ht="11.25" hidden="false" customHeight="false" outlineLevel="0" collapsed="false">
      <c r="T28" s="13"/>
      <c r="U28" s="15" t="str">
        <f aca="false">AA28</f>
        <v> População, SumWorld (0 - 9 Gp)</v>
      </c>
      <c r="V28" s="25" t="n">
        <v>9000</v>
      </c>
      <c r="W28" s="56" t="n">
        <f aca="false">W38</f>
        <v>9000</v>
      </c>
      <c r="AA28" s="29" t="str">
        <f aca="false">CONCATENATE(A9," (0 - ",W28/1000," Gp)")</f>
        <v> População, SumWorld (0 - 9 Gp)</v>
      </c>
      <c r="AB28" s="57" t="n">
        <f aca="false">B9/$W28</f>
        <v>0.410687367333333</v>
      </c>
      <c r="AC28" s="57" t="n">
        <f aca="false">C9/$W28</f>
        <v>0.452935467444444</v>
      </c>
      <c r="AD28" s="57" t="n">
        <f aca="false">D9/$W28</f>
        <v>0.494778608666667</v>
      </c>
      <c r="AE28" s="57" t="n">
        <f aca="false">E9/$W28</f>
        <v>0.540365548333333</v>
      </c>
      <c r="AF28" s="57" t="n">
        <f aca="false">F9/$W28</f>
        <v>0.589602794888889</v>
      </c>
      <c r="AG28" s="57" t="n">
        <f aca="false">G9/$W28</f>
        <v>0.636248812777778</v>
      </c>
      <c r="AH28" s="57" t="n">
        <f aca="false">H9/$W28</f>
        <v>0.680307802222222</v>
      </c>
      <c r="AI28" s="57" t="n">
        <f aca="false">I9/$W28</f>
        <v>0.722961019444444</v>
      </c>
      <c r="AJ28" s="57" t="n">
        <f aca="false">J9/$W28</f>
        <v>0.766209890888889</v>
      </c>
      <c r="AK28" s="57" t="n">
        <f aca="false">K9/$W28</f>
        <v>0.803618186016333</v>
      </c>
      <c r="AL28" s="57" t="n">
        <f aca="false">L9/$W28</f>
        <v>0.834690530032717</v>
      </c>
      <c r="AM28" s="57" t="n">
        <f aca="false">M9/$W28</f>
        <v>0.859395991561188</v>
      </c>
      <c r="AN28" s="57" t="n">
        <f aca="false">N9/$W28</f>
        <v>0.878311602467521</v>
      </c>
      <c r="AO28" s="57" t="n">
        <f aca="false">O9/$W28</f>
        <v>0.890895705883049</v>
      </c>
      <c r="AP28" s="57" t="n">
        <f aca="false">P9/$W28</f>
        <v>0.896425340346016</v>
      </c>
      <c r="AQ28" s="57" t="n">
        <f aca="false">Q9/$W28</f>
        <v>0.894415200841281</v>
      </c>
      <c r="AR28" s="57" t="n">
        <f aca="false">R9/$W28</f>
        <v>0.885071220971353</v>
      </c>
    </row>
    <row r="29" customFormat="false" ht="11.25" hidden="false" customHeight="false" outlineLevel="0" collapsed="false">
      <c r="T29" s="13"/>
      <c r="U29" s="15" t="str">
        <f aca="false">AA29</f>
        <v> Nascimentos, SumWorld (0 - 150 milhões/ano)</v>
      </c>
      <c r="V29" s="25" t="n">
        <v>150</v>
      </c>
      <c r="W29" s="56" t="n">
        <f aca="false">W39</f>
        <v>150</v>
      </c>
      <c r="AA29" s="29" t="str">
        <f aca="false">CONCATENATE(A10," (0 - ",W29," Mp / yr)")</f>
        <v> Nascimentos, SumWorld (0 - 150 milhões/ano)</v>
      </c>
      <c r="AB29" s="57" t="n">
        <f aca="false">B10/$W29</f>
        <v>0.811434808</v>
      </c>
      <c r="AC29" s="57" t="n">
        <f aca="false">C10/$W29</f>
        <v>0.804505870666667</v>
      </c>
      <c r="AD29" s="57" t="n">
        <f aca="false">D10/$W29</f>
        <v>0.860584941333333</v>
      </c>
      <c r="AE29" s="57" t="n">
        <f aca="false">E10/$W29</f>
        <v>0.914715097333333</v>
      </c>
      <c r="AF29" s="57" t="n">
        <f aca="false">F10/$W29</f>
        <v>0.899735376</v>
      </c>
      <c r="AG29" s="57" t="n">
        <f aca="false">G10/$W29</f>
        <v>0.883150362666667</v>
      </c>
      <c r="AH29" s="57" t="n">
        <f aca="false">H10/$W29</f>
        <v>0.877628168</v>
      </c>
      <c r="AI29" s="57" t="n">
        <f aca="false">I10/$W29</f>
        <v>0.893816406666667</v>
      </c>
      <c r="AJ29" s="57" t="n">
        <f aca="false">J10/$W29</f>
        <v>0.832738260196</v>
      </c>
      <c r="AK29" s="57" t="n">
        <f aca="false">K10/$W29</f>
        <v>0.784615990637307</v>
      </c>
      <c r="AL29" s="57" t="n">
        <f aca="false">L10/$W29</f>
        <v>0.734990955196799</v>
      </c>
      <c r="AM29" s="57" t="n">
        <f aca="false">M10/$W29</f>
        <v>0.695720208782283</v>
      </c>
      <c r="AN29" s="57" t="n">
        <f aca="false">N10/$W29</f>
        <v>0.657768291794872</v>
      </c>
      <c r="AO29" s="57" t="n">
        <f aca="false">O10/$W29</f>
        <v>0.612254213687277</v>
      </c>
      <c r="AP29" s="57" t="n">
        <f aca="false">P10/$W29</f>
        <v>0.558595831037988</v>
      </c>
      <c r="AQ29" s="57" t="n">
        <f aca="false">Q10/$W29</f>
        <v>0.502655978769779</v>
      </c>
      <c r="AR29" s="57" t="n">
        <f aca="false">R10/$W29</f>
        <v>0.440616138198796</v>
      </c>
    </row>
    <row r="30" customFormat="false" ht="11.25" hidden="false" customHeight="false" outlineLevel="0" collapsed="false">
      <c r="T30" s="13"/>
      <c r="U30" s="15" t="str">
        <f aca="false">AA30</f>
        <v> Mortes, SumWorld (0 - 100 milhões/ano)</v>
      </c>
      <c r="V30" s="25" t="n">
        <v>100</v>
      </c>
      <c r="W30" s="56" t="n">
        <f aca="false">W40</f>
        <v>100</v>
      </c>
      <c r="AA30" s="29" t="str">
        <f aca="false">CONCATENATE(A11," (0 - ",W30," Mp / yr)")</f>
        <v> Mortes, SumWorld (0 - 100 milhões/ano)</v>
      </c>
      <c r="AB30" s="57" t="n">
        <f aca="false">B11/$W30</f>
        <v>0.456686416</v>
      </c>
      <c r="AC30" s="57" t="n">
        <f aca="false">C11/$W30</f>
        <v>0.453582242</v>
      </c>
      <c r="AD30" s="57" t="n">
        <f aca="false">D11/$W30</f>
        <v>0.470312504</v>
      </c>
      <c r="AE30" s="57" t="n">
        <f aca="false">E11/$W30</f>
        <v>0.4858022</v>
      </c>
      <c r="AF30" s="57" t="n">
        <f aca="false">F11/$W30</f>
        <v>0.509974784</v>
      </c>
      <c r="AG30" s="57" t="n">
        <f aca="false">G11/$W30</f>
        <v>0.53166371</v>
      </c>
      <c r="AH30" s="57" t="n">
        <f aca="false">H11/$W30</f>
        <v>0.548684324</v>
      </c>
      <c r="AI30" s="57" t="n">
        <f aca="false">I11/$W30</f>
        <v>0.562244892</v>
      </c>
      <c r="AJ30" s="57" t="n">
        <f aca="false">J11/$W30</f>
        <v>0.575758078</v>
      </c>
      <c r="AK30" s="57" t="n">
        <f aca="false">K11/$W30</f>
        <v>0.617621793661058</v>
      </c>
      <c r="AL30" s="57" t="n">
        <f aca="false">L11/$W30</f>
        <v>0.657788125282717</v>
      </c>
      <c r="AM30" s="57" t="n">
        <f aca="false">M11/$W30</f>
        <v>0.703099316859441</v>
      </c>
      <c r="AN30" s="57" t="n">
        <f aca="false">N11/$W30</f>
        <v>0.760138576212789</v>
      </c>
      <c r="AO30" s="57" t="n">
        <f aca="false">O11/$W30</f>
        <v>0.818847900197506</v>
      </c>
      <c r="AP30" s="57" t="n">
        <f aca="false">P11/$W30</f>
        <v>0.874076257642224</v>
      </c>
      <c r="AQ30" s="57" t="n">
        <f aca="false">Q11/$W30</f>
        <v>0.922175605813374</v>
      </c>
      <c r="AR30" s="57" t="n">
        <f aca="false">R11/$W30</f>
        <v>0.96038514694746</v>
      </c>
    </row>
    <row r="31" customFormat="false" ht="11.25" hidden="false" customHeight="false" outlineLevel="0" collapsed="false">
      <c r="T31" s="13"/>
      <c r="U31" s="15" t="str">
        <f aca="false">AA31</f>
        <v> Taxa bruta de natalidade (0 - 4 % / ano)</v>
      </c>
      <c r="V31" s="25" t="n">
        <v>4</v>
      </c>
      <c r="W31" s="56" t="n">
        <f aca="false">W41</f>
        <v>4</v>
      </c>
      <c r="AA31" s="29" t="str">
        <f aca="false">CONCATENATE(A12," (0 - ",W31," % / yr)")</f>
        <v> Taxa bruta de natalidade (0 - 4 % / ano)</v>
      </c>
      <c r="AB31" s="57" t="n">
        <f aca="false">B12/$W31</f>
        <v>0.82324868880676</v>
      </c>
      <c r="AC31" s="57" t="n">
        <f aca="false">C12/$W31</f>
        <v>0.740085075111854</v>
      </c>
      <c r="AD31" s="57" t="n">
        <f aca="false">D12/$W31</f>
        <v>0.724722234567063</v>
      </c>
      <c r="AE31" s="57" t="n">
        <f aca="false">E12/$W31</f>
        <v>0.705321225106025</v>
      </c>
      <c r="AF31" s="57" t="n">
        <f aca="false">F12/$W31</f>
        <v>0.635834401142295</v>
      </c>
      <c r="AG31" s="57" t="n">
        <f aca="false">G12/$W31</f>
        <v>0.578357570792516</v>
      </c>
      <c r="AH31" s="57" t="n">
        <f aca="false">H12/$W31</f>
        <v>0.537519049669645</v>
      </c>
      <c r="AI31" s="57" t="n">
        <f aca="false">I12/$W31</f>
        <v>0.515136352806358</v>
      </c>
      <c r="AJ31" s="57" t="n">
        <f aca="false">J12/$W31</f>
        <v>0.452844943934537</v>
      </c>
      <c r="AK31" s="57" t="n">
        <f aca="false">K12/$W31</f>
        <v>0.406814249753136</v>
      </c>
      <c r="AL31" s="57" t="n">
        <f aca="false">L12/$W31</f>
        <v>0.366897934399706</v>
      </c>
      <c r="AM31" s="57" t="n">
        <f aca="false">M12/$W31</f>
        <v>0.337310649773157</v>
      </c>
      <c r="AN31" s="57" t="n">
        <f aca="false">N12/$W31</f>
        <v>0.312042014259207</v>
      </c>
      <c r="AO31" s="57" t="n">
        <f aca="false">O12/$W31</f>
        <v>0.286347684341838</v>
      </c>
      <c r="AP31" s="57" t="n">
        <f aca="false">P12/$W31</f>
        <v>0.259640432345046</v>
      </c>
      <c r="AQ31" s="57" t="n">
        <f aca="false">Q12/$W31</f>
        <v>0.234164167779211</v>
      </c>
      <c r="AR31" s="57" t="n">
        <f aca="false">R12/$W31</f>
        <v>0.207429699704103</v>
      </c>
    </row>
    <row r="32" customFormat="false" ht="11.25" hidden="false" customHeight="false" outlineLevel="0" collapsed="false">
      <c r="T32" s="13"/>
      <c r="U32" s="15" t="str">
        <f aca="false">AA32</f>
        <v> Taxa bruta de mortalidade (0 - 2 % / ano)</v>
      </c>
      <c r="V32" s="25" t="n">
        <v>2</v>
      </c>
      <c r="W32" s="56" t="n">
        <f aca="false">W42</f>
        <v>2</v>
      </c>
      <c r="AA32" s="29" t="str">
        <f aca="false">CONCATENATE(A13," (0 - ",W32," % / yr)")</f>
        <v> Taxa bruta de mortalidade (0 - 2 % / ano)</v>
      </c>
      <c r="AB32" s="57" t="n">
        <f aca="false">B13/$W32</f>
        <v>0.617780569202726</v>
      </c>
      <c r="AC32" s="57" t="n">
        <f aca="false">C13/$W32</f>
        <v>0.556348867679153</v>
      </c>
      <c r="AD32" s="57" t="n">
        <f aca="false">D13/$W32</f>
        <v>0.528084116547715</v>
      </c>
      <c r="AE32" s="57" t="n">
        <f aca="false">E13/$W32</f>
        <v>0.499458398011387</v>
      </c>
      <c r="AF32" s="57" t="n">
        <f aca="false">F13/$W32</f>
        <v>0.480525748691263</v>
      </c>
      <c r="AG32" s="57" t="n">
        <f aca="false">G13/$W32</f>
        <v>0.464234623068666</v>
      </c>
      <c r="AH32" s="57" t="n">
        <f aca="false">H13/$W32</f>
        <v>0.448068688097853</v>
      </c>
      <c r="AI32" s="57" t="n">
        <f aca="false">I13/$W32</f>
        <v>0.432054101026586</v>
      </c>
      <c r="AJ32" s="57" t="n">
        <f aca="false">J13/$W32</f>
        <v>0.417464721732852</v>
      </c>
      <c r="AK32" s="57" t="n">
        <f aca="false">K13/$W32</f>
        <v>0.426972938979275</v>
      </c>
      <c r="AL32" s="57" t="n">
        <f aca="false">L13/$W32</f>
        <v>0.437812379834911</v>
      </c>
      <c r="AM32" s="57" t="n">
        <f aca="false">M13/$W32</f>
        <v>0.454517749005311</v>
      </c>
      <c r="AN32" s="57" t="n">
        <f aca="false">N13/$W32</f>
        <v>0.480807959066806</v>
      </c>
      <c r="AO32" s="57" t="n">
        <f aca="false">O13/$W32</f>
        <v>0.510627110564886</v>
      </c>
      <c r="AP32" s="57" t="n">
        <f aca="false">P13/$W32</f>
        <v>0.541704812499955</v>
      </c>
      <c r="AQ32" s="57" t="n">
        <f aca="false">Q13/$W32</f>
        <v>0.572798606872452</v>
      </c>
      <c r="AR32" s="57" t="n">
        <f aca="false">R13/$W32</f>
        <v>0.602829796311916</v>
      </c>
    </row>
    <row r="33" customFormat="false" ht="11.25" hidden="false" customHeight="false" outlineLevel="0" collapsed="false">
      <c r="T33" s="13"/>
      <c r="U33" s="58" t="str">
        <f aca="false">AA33</f>
        <v> Previsão de baixa populacional da ONU (0 - 9 Gp)</v>
      </c>
      <c r="V33" s="28"/>
      <c r="W33" s="59" t="n">
        <f aca="false">W28</f>
        <v>9000</v>
      </c>
      <c r="AA33" s="29" t="str">
        <f aca="false">CONCATENATE(A21," (0 - ",W33/1000," Gp)")</f>
        <v> Previsão de baixa populacional da ONU (0 - 9 Gp)</v>
      </c>
      <c r="AB33" s="29"/>
      <c r="AC33" s="29"/>
      <c r="AD33" s="29"/>
      <c r="AE33" s="29"/>
      <c r="AF33" s="29"/>
      <c r="AG33" s="29"/>
      <c r="AH33" s="29"/>
      <c r="AI33" s="29"/>
      <c r="AJ33" s="29"/>
      <c r="AK33" s="57" t="n">
        <f aca="false">K21/$W33</f>
        <v>0.801919470333333</v>
      </c>
      <c r="AL33" s="57" t="n">
        <f aca="false">L21/$W33</f>
        <v>0.831136146777778</v>
      </c>
      <c r="AM33" s="57" t="n">
        <f aca="false">M21/$W33</f>
        <v>0.854348361111111</v>
      </c>
      <c r="AN33" s="57" t="n">
        <f aca="false">N21/$W33</f>
        <v>0.874148031555555</v>
      </c>
      <c r="AO33" s="57" t="n">
        <f aca="false">O21/$W33</f>
        <v>0.889626888222222</v>
      </c>
      <c r="AP33" s="57" t="n">
        <f aca="false">P21/$W33</f>
        <v>0.899636066111111</v>
      </c>
      <c r="AQ33" s="57" t="n">
        <f aca="false">Q21/$W33</f>
        <v>0.903492493</v>
      </c>
      <c r="AR33" s="57" t="n">
        <f aca="false">R21/$W33</f>
        <v>0.901354533444445</v>
      </c>
    </row>
    <row r="34" s="3" customFormat="true" ht="11.25" hidden="false" customHeight="false" outlineLevel="0" collapsed="false">
      <c r="T34" s="13"/>
      <c r="U34" s="58" t="str">
        <f aca="false">AA34</f>
        <v> Nascimentos: Previsão baixa da ONU (0 - 150 milhões/ano)</v>
      </c>
      <c r="V34" s="28"/>
      <c r="W34" s="59" t="n">
        <f aca="false">W29</f>
        <v>150</v>
      </c>
      <c r="AA34" s="29" t="str">
        <f aca="false">CONCATENATE(A22," (0 - ",W34," Mp / yr)")</f>
        <v> Nascimentos: Previsão baixa da ONU (0 - 150 milhões/ano)</v>
      </c>
      <c r="AB34" s="29"/>
      <c r="AC34" s="29"/>
      <c r="AD34" s="29"/>
      <c r="AE34" s="29"/>
      <c r="AF34" s="29"/>
      <c r="AG34" s="29"/>
      <c r="AH34" s="29"/>
      <c r="AI34" s="29"/>
      <c r="AJ34" s="57" t="n">
        <f aca="false">J22/$W34</f>
        <v>0.812353690666667</v>
      </c>
      <c r="AK34" s="57" t="n">
        <f aca="false">K22/$W34</f>
        <v>0.750821405333333</v>
      </c>
      <c r="AL34" s="57" t="n">
        <f aca="false">L22/$W34</f>
        <v>0.700781416</v>
      </c>
      <c r="AM34" s="57" t="n">
        <f aca="false">M22/$W34</f>
        <v>0.687831137333333</v>
      </c>
      <c r="AN34" s="57" t="n">
        <f aca="false">N22/$W34</f>
        <v>0.66948898</v>
      </c>
      <c r="AO34" s="57" t="n">
        <f aca="false">O22/$W34</f>
        <v>0.641206330666667</v>
      </c>
      <c r="AP34" s="57" t="n">
        <f aca="false">P22/$W34</f>
        <v>0.605140802666667</v>
      </c>
      <c r="AQ34" s="57" t="n">
        <f aca="false">Q22/$W34</f>
        <v>0.569091496</v>
      </c>
      <c r="AR34" s="57" t="n">
        <f aca="false">R22/$W34</f>
        <v>0.53908768</v>
      </c>
    </row>
    <row r="35" s="3" customFormat="true" ht="11.25" hidden="false" customHeight="false" outlineLevel="0" collapsed="false">
      <c r="T35" s="13"/>
      <c r="U35" s="58" t="str">
        <f aca="false">AA35</f>
        <v> Mortes: Previsão baixa da ONU (0 - 100 milhões/ano)</v>
      </c>
      <c r="V35" s="28"/>
      <c r="W35" s="59" t="n">
        <f aca="false">W30</f>
        <v>100</v>
      </c>
      <c r="AA35" s="29" t="str">
        <f aca="false">CONCATENATE(A23," (0 - ",W35," Mp / yr)")</f>
        <v> Mortes: Previsão baixa da ONU (0 - 100 milhões/ano)</v>
      </c>
      <c r="AB35" s="29"/>
      <c r="AC35" s="29"/>
      <c r="AD35" s="29"/>
      <c r="AE35" s="29"/>
      <c r="AF35" s="29"/>
      <c r="AG35" s="29"/>
      <c r="AH35" s="29"/>
      <c r="AI35" s="29"/>
      <c r="AJ35" s="57" t="n">
        <f aca="false">J23/$W35</f>
        <v>0.575758078</v>
      </c>
      <c r="AK35" s="57" t="n">
        <f aca="false">K23/$W35</f>
        <v>0.600331914</v>
      </c>
      <c r="AL35" s="57" t="n">
        <f aca="false">L23/$W35</f>
        <v>0.633352222</v>
      </c>
      <c r="AM35" s="57" t="n">
        <f aca="false">M23/$W35</f>
        <v>0.675352604</v>
      </c>
      <c r="AN35" s="57" t="n">
        <f aca="false">N23/$W35</f>
        <v>0.72561402</v>
      </c>
      <c r="AO35" s="57" t="n">
        <f aca="false">O23/$W35</f>
        <v>0.781644276</v>
      </c>
      <c r="AP35" s="57" t="n">
        <f aca="false">P23/$W35</f>
        <v>0.838295528</v>
      </c>
      <c r="AQ35" s="57" t="n">
        <f aca="false">Q23/$W35</f>
        <v>0.892120502</v>
      </c>
      <c r="AR35" s="57" t="n">
        <f aca="false">R23/$W35</f>
        <v>0.940672572</v>
      </c>
    </row>
    <row r="36" s="3" customFormat="true" ht="11.25" hidden="false" customHeight="false" outlineLevel="0" collapsed="false">
      <c r="T36" s="13"/>
      <c r="U36" s="58" t="str">
        <f aca="false">AA36</f>
        <v> Baixa taxa de natalidade da ONU (0 - 4% / ano)</v>
      </c>
      <c r="V36" s="28"/>
      <c r="W36" s="59" t="n">
        <f aca="false">W31</f>
        <v>4</v>
      </c>
      <c r="AA36" s="29" t="str">
        <f aca="false">CONCATENATE(A24," (0 - ",W36," % / yr)")</f>
        <v> Baixa taxa de natalidade da ONU (0 - 4% / ano)</v>
      </c>
      <c r="AB36" s="29"/>
      <c r="AC36" s="29"/>
      <c r="AD36" s="29"/>
      <c r="AE36" s="29"/>
      <c r="AF36" s="29"/>
      <c r="AG36" s="29"/>
      <c r="AH36" s="29"/>
      <c r="AI36" s="29"/>
      <c r="AJ36" s="57" t="n">
        <f aca="false">J24/$W36</f>
        <v>0.441759769052014</v>
      </c>
      <c r="AK36" s="57" t="n">
        <f aca="false">K24/$W36</f>
        <v>0.390116793263772</v>
      </c>
      <c r="AL36" s="57" t="n">
        <f aca="false">L24/$W36</f>
        <v>0.351316998783759</v>
      </c>
      <c r="AM36" s="57" t="n">
        <f aca="false">M24/$W36</f>
        <v>0.335456027386174</v>
      </c>
      <c r="AN36" s="57" t="n">
        <f aca="false">N24/$W36</f>
        <v>0.319114991508092</v>
      </c>
      <c r="AO36" s="57" t="n">
        <f aca="false">O24/$W36</f>
        <v>0.30031613025809</v>
      </c>
      <c r="AP36" s="57" t="n">
        <f aca="false">P24/$W36</f>
        <v>0.280271112518926</v>
      </c>
      <c r="AQ36" s="57" t="n">
        <f aca="false">Q24/$W36</f>
        <v>0.262449836057096</v>
      </c>
      <c r="AR36" s="57" t="n">
        <f aca="false">R24/$W36</f>
        <v>0.249202570500536</v>
      </c>
    </row>
    <row r="37" s="3" customFormat="true" ht="11.25" hidden="false" customHeight="false" outlineLevel="0" collapsed="false">
      <c r="T37" s="13"/>
      <c r="U37" s="58" t="str">
        <f aca="false">AA37</f>
        <v> Baixa taxa de mortalidade da ONU (0 - 2% / ano)</v>
      </c>
      <c r="V37" s="28"/>
      <c r="W37" s="59" t="n">
        <f aca="false">W32</f>
        <v>2</v>
      </c>
      <c r="AA37" s="29" t="str">
        <f aca="false">CONCATENATE(A25," (0 - ",W37," % / yr)")</f>
        <v> Baixa taxa de mortalidade da ONU (0 - 2% / ano)</v>
      </c>
      <c r="AB37" s="29"/>
      <c r="AC37" s="29"/>
      <c r="AD37" s="29"/>
      <c r="AE37" s="29"/>
      <c r="AF37" s="29"/>
      <c r="AG37" s="29"/>
      <c r="AH37" s="29"/>
      <c r="AI37" s="29"/>
      <c r="AJ37" s="57" t="n">
        <f aca="false">J25/$W37</f>
        <v>0.417464721732852</v>
      </c>
      <c r="AK37" s="57" t="n">
        <f aca="false">K25/$W37</f>
        <v>0.415899279588968</v>
      </c>
      <c r="AL37" s="57" t="n">
        <f aca="false">L25/$W37</f>
        <v>0.423351032101884</v>
      </c>
      <c r="AM37" s="57" t="n">
        <f aca="false">M25/$W37</f>
        <v>0.439160309997148</v>
      </c>
      <c r="AN37" s="57" t="n">
        <f aca="false">N25/$W37</f>
        <v>0.461156332163382</v>
      </c>
      <c r="AO37" s="57" t="n">
        <f aca="false">O25/$W37</f>
        <v>0.488122409235824</v>
      </c>
      <c r="AP37" s="57" t="n">
        <f aca="false">P25/$W37</f>
        <v>0.517675708346111</v>
      </c>
      <c r="AQ37" s="57" t="n">
        <f aca="false">Q25/$W37</f>
        <v>0.548562943191063</v>
      </c>
      <c r="AR37" s="57" t="n">
        <f aca="false">R25/$W37</f>
        <v>0.579789476773674</v>
      </c>
    </row>
    <row r="38" s="3" customFormat="true" ht="11.25" hidden="false" customHeight="false" outlineLevel="0" collapsed="false">
      <c r="T38" s="13"/>
      <c r="U38" s="37" t="str">
        <f aca="false">AA38</f>
        <v> População, SumWorld Sua previsão (0 - 9 Gp)</v>
      </c>
      <c r="V38" s="28"/>
      <c r="W38" s="60" t="n">
        <v>9000</v>
      </c>
      <c r="AA38" s="29" t="str">
        <f aca="false">CONCATENATE(A9," Your forecast (0 - ",W38/1000," Gp)")</f>
        <v> População, SumWorld Sua previsão (0 - 9 Gp)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57" t="n">
        <f aca="false">K17/$W38</f>
        <v>0.803619287177167</v>
      </c>
      <c r="AL38" s="57" t="n">
        <f aca="false">L17/$W38</f>
        <v>0.834070207974148</v>
      </c>
      <c r="AM38" s="57" t="n">
        <f aca="false">M17/$W38</f>
        <v>0.858250260930958</v>
      </c>
      <c r="AN38" s="57" t="n">
        <f aca="false">N17/$W38</f>
        <v>0.876737525029458</v>
      </c>
      <c r="AO38" s="57" t="n">
        <f aca="false">O17/$W38</f>
        <v>0.889012406374055</v>
      </c>
      <c r="AP38" s="57" t="n">
        <f aca="false">P17/$W38</f>
        <v>0.894376338936729</v>
      </c>
      <c r="AQ38" s="57" t="n">
        <f aca="false">Q17/$W38</f>
        <v>0.892360929605949</v>
      </c>
      <c r="AR38" s="57" t="n">
        <f aca="false">R17/$W38</f>
        <v>0.883170682450503</v>
      </c>
    </row>
    <row r="39" s="3" customFormat="true" ht="11.25" hidden="false" customHeight="false" outlineLevel="0" collapsed="false">
      <c r="T39" s="13"/>
      <c r="U39" s="37" t="str">
        <f aca="false">AA39</f>
        <v> Nascimentos, SumWorld Sua previsão (0 - 150 milhões/ano)</v>
      </c>
      <c r="V39" s="28"/>
      <c r="W39" s="60" t="n">
        <v>150</v>
      </c>
      <c r="AA39" s="29" t="str">
        <f aca="false">CONCATENATE(A10," Your forecast (0 - ",W39," Mp / yr)")</f>
        <v>Nascimentos, SumWorld Sua previsão (0 - 150 milhões/ano)</v>
      </c>
      <c r="AB39" s="29"/>
      <c r="AC39" s="29"/>
      <c r="AD39" s="29"/>
      <c r="AE39" s="29"/>
      <c r="AF39" s="29"/>
      <c r="AG39" s="29"/>
      <c r="AH39" s="29"/>
      <c r="AI39" s="29"/>
      <c r="AJ39" s="57" t="n">
        <f aca="false">J18/$W39</f>
        <v>0.832738260196</v>
      </c>
      <c r="AK39" s="57" t="n">
        <f aca="false">K18/$W39</f>
        <v>0.768924512551902</v>
      </c>
      <c r="AL39" s="57" t="n">
        <f aca="false">L18/$W39</f>
        <v>0.719599256587805</v>
      </c>
      <c r="AM39" s="57" t="n">
        <f aca="false">M18/$W39</f>
        <v>0.680619588410915</v>
      </c>
      <c r="AN39" s="57" t="n">
        <f aca="false">N18/$W39</f>
        <v>0.643097606230037</v>
      </c>
      <c r="AO39" s="57" t="n">
        <f aca="false">O18/$W39</f>
        <v>0.598342935967375</v>
      </c>
      <c r="AP39" s="57" t="n">
        <f aca="false">P18/$W39</f>
        <v>0.545779753491809</v>
      </c>
      <c r="AQ39" s="57" t="n">
        <f aca="false">Q18/$W39</f>
        <v>0.491124074926951</v>
      </c>
      <c r="AR39" s="57" t="n">
        <f aca="false">R18/$W39</f>
        <v>0.430614258067828</v>
      </c>
    </row>
    <row r="40" s="3" customFormat="true" ht="11.25" hidden="false" customHeight="false" outlineLevel="0" collapsed="false">
      <c r="T40" s="13"/>
      <c r="U40" s="37" t="str">
        <f aca="false">AA40</f>
        <v> Mortes, SumWorld Sua previsão (0 - 100 milhões/ano)</v>
      </c>
      <c r="V40" s="28"/>
      <c r="W40" s="60" t="n">
        <v>100</v>
      </c>
      <c r="AA40" s="29" t="str">
        <f aca="false">CONCATENATE(A11," Your forecast (0 - ",W40," Mp / yr)")</f>
        <v> Mortes, SumWorld Sua previsão (0 - 100 milhões/ano)</v>
      </c>
      <c r="AB40" s="29"/>
      <c r="AC40" s="29"/>
      <c r="AD40" s="29"/>
      <c r="AE40" s="29"/>
      <c r="AF40" s="29"/>
      <c r="AG40" s="29"/>
      <c r="AH40" s="29"/>
      <c r="AI40" s="29"/>
      <c r="AJ40" s="57" t="n">
        <f aca="false">J19/$W40</f>
        <v>0.575738257105</v>
      </c>
      <c r="AK40" s="57" t="n">
        <f aca="false">K19/$W40</f>
        <v>0.605270194482193</v>
      </c>
      <c r="AL40" s="57" t="n">
        <f aca="false">L19/$W40</f>
        <v>0.644157931659124</v>
      </c>
      <c r="AM40" s="57" t="n">
        <f aca="false">M19/$W40</f>
        <v>0.688158628843368</v>
      </c>
      <c r="AN40" s="57" t="n">
        <f aca="false">N19/$W40</f>
        <v>0.743698545142323</v>
      </c>
      <c r="AO40" s="57" t="n">
        <f aca="false">O19/$W40</f>
        <v>0.800963617822915</v>
      </c>
      <c r="AP40" s="57" t="n">
        <f aca="false">P19/$W40</f>
        <v>0.854946998191768</v>
      </c>
      <c r="AQ40" s="57" t="n">
        <f aca="false">Q19/$W40</f>
        <v>0.902110561188443</v>
      </c>
      <c r="AR40" s="57" t="n">
        <f aca="false">R19/$W40</f>
        <v>0.939764277997761</v>
      </c>
    </row>
    <row r="41" s="3" customFormat="true" ht="11.25" hidden="false" customHeight="false" outlineLevel="0" collapsed="false">
      <c r="T41" s="13"/>
      <c r="U41" s="37" t="str">
        <f aca="false">AA41</f>
        <v> Taxa bruta de natalidade: Sua previsão (0 - 4%/ano)</v>
      </c>
      <c r="V41" s="28"/>
      <c r="W41" s="60" t="n">
        <v>4</v>
      </c>
      <c r="AA41" s="29" t="str">
        <f aca="false">CONCATENATE(A12," Your forecast (0 - ",W41," % / yr)")</f>
        <v> Taxa bruta de natalidade: Sua previsão (0 - 4%/ano)</v>
      </c>
      <c r="AB41" s="29"/>
      <c r="AC41" s="29"/>
      <c r="AD41" s="29"/>
      <c r="AE41" s="29"/>
      <c r="AF41" s="29"/>
      <c r="AG41" s="29"/>
      <c r="AH41" s="29"/>
      <c r="AI41" s="29"/>
      <c r="AJ41" s="57" t="n">
        <f aca="false">J15/$W41</f>
        <v>0.452844943934537</v>
      </c>
      <c r="AK41" s="57" t="n">
        <f aca="false">K15/$W41</f>
        <v>0.398677854894067</v>
      </c>
      <c r="AL41" s="57" t="n">
        <f aca="false">L15/$W41</f>
        <v>0.35948175670548</v>
      </c>
      <c r="AM41" s="57" t="n">
        <f aca="false">M15/$W41</f>
        <v>0.330429838568995</v>
      </c>
      <c r="AN41" s="57" t="n">
        <f aca="false">N15/$W41</f>
        <v>0.305630052643382</v>
      </c>
      <c r="AO41" s="57" t="n">
        <f aca="false">O15/$W41</f>
        <v>0.28043428288016</v>
      </c>
      <c r="AP41" s="57" t="n">
        <f aca="false">P15/$W41</f>
        <v>0.254264587200439</v>
      </c>
      <c r="AQ41" s="57" t="n">
        <f aca="false">Q15/$W41</f>
        <v>0.229318680850277</v>
      </c>
      <c r="AR41" s="57" t="n">
        <f aca="false">R15/$W41</f>
        <v>0.203157341036756</v>
      </c>
    </row>
    <row r="42" s="3" customFormat="true" ht="11.25" hidden="false" customHeight="false" outlineLevel="0" collapsed="false">
      <c r="T42" s="13"/>
      <c r="U42" s="37" t="str">
        <f aca="false">AA42</f>
        <v> Taxa bruta de mortalidade: Sua previsão (0 - 2%/ano)</v>
      </c>
      <c r="V42" s="28"/>
      <c r="W42" s="60" t="n">
        <v>2</v>
      </c>
      <c r="AA42" s="29" t="str">
        <f aca="false">CONCATENATE(A13," Your forecast (0 - ",W42," % / yr)")</f>
        <v> Taxa bruta de mortalidade: Sua previsão (0 - 2%/ano)</v>
      </c>
      <c r="AB42" s="29"/>
      <c r="AC42" s="29"/>
      <c r="AD42" s="29"/>
      <c r="AE42" s="29"/>
      <c r="AF42" s="29"/>
      <c r="AG42" s="29"/>
      <c r="AH42" s="29"/>
      <c r="AI42" s="29"/>
      <c r="AJ42" s="57" t="n">
        <f aca="false">J16/$W42</f>
        <v>0.417450350202982</v>
      </c>
      <c r="AK42" s="57" t="n">
        <f aca="false">K16/$W42</f>
        <v>0.418433485261338</v>
      </c>
      <c r="AL42" s="57" t="n">
        <f aca="false">L16/$W42</f>
        <v>0.429059225670717</v>
      </c>
      <c r="AM42" s="57" t="n">
        <f aca="false">M16/$W42</f>
        <v>0.445453228225912</v>
      </c>
      <c r="AN42" s="57" t="n">
        <f aca="false">N16/$W42</f>
        <v>0.471253763660361</v>
      </c>
      <c r="AO42" s="57" t="n">
        <f aca="false">O16/$W42</f>
        <v>0.500532708530246</v>
      </c>
      <c r="AP42" s="57" t="n">
        <f aca="false">P16/$W42</f>
        <v>0.531063416900816</v>
      </c>
      <c r="AQ42" s="57" t="n">
        <f aca="false">Q16/$W42</f>
        <v>0.561625366335669</v>
      </c>
      <c r="AR42" s="57" t="n">
        <f aca="false">R16/$W42</f>
        <v>0.591155567014162</v>
      </c>
    </row>
    <row r="43" customFormat="false" ht="11.25" hidden="false" customHeight="false" outlineLevel="0" collapsed="false">
      <c r="T43" s="13"/>
    </row>
    <row r="44" s="3" customFormat="true" ht="11.25" hidden="false" customHeight="false" outlineLevel="0" collapsed="false">
      <c r="T44" s="13"/>
    </row>
    <row r="45" customFormat="false" ht="11.25" hidden="false" customHeight="false" outlineLevel="0" collapsed="false">
      <c r="T45" s="13"/>
    </row>
    <row r="46" s="3" customFormat="true" ht="11.25" hidden="false" customHeight="false" outlineLevel="0" collapsed="false">
      <c r="T46" s="13"/>
    </row>
    <row r="47" s="3" customFormat="true" ht="11.25" hidden="false" customHeight="false" outlineLevel="0" collapsed="false">
      <c r="T47" s="13"/>
    </row>
    <row r="48" s="3" customFormat="true" ht="11.25" hidden="false" customHeight="false" outlineLevel="0" collapsed="false">
      <c r="T48" s="13"/>
    </row>
    <row r="49" s="3" customFormat="true" ht="11.25" hidden="false" customHeight="false" outlineLevel="0" collapsed="false">
      <c r="T49" s="13"/>
    </row>
    <row r="50" customFormat="false" ht="11.25" hidden="false" customHeight="false" outlineLevel="0" collapsed="false">
      <c r="T50" s="13"/>
    </row>
    <row r="51" customFormat="false" ht="11.25" hidden="false" customHeight="false" outlineLevel="0" collapsed="false">
      <c r="T51" s="13"/>
    </row>
    <row r="52" customFormat="false" ht="12.65" hidden="false" customHeight="false" outlineLevel="0" collapsed="false">
      <c r="A52" s="61" t="s">
        <v>40</v>
      </c>
      <c r="T52" s="13"/>
    </row>
    <row r="53" customFormat="false" ht="12.65" hidden="false" customHeight="false" outlineLevel="0" collapsed="false">
      <c r="A53" s="23" t="str">
        <f aca="false">CONCATENATE(A52,". Potential Work Force - ",A5," 1970 to 2050")</f>
        <v> Gráfico 2. Força de Trabalho Potencial - SumWorld 1970 a 2050</v>
      </c>
      <c r="T53" s="13"/>
    </row>
    <row r="54" customFormat="false" ht="11.25" hidden="false" customHeight="false" outlineLevel="0" collapsed="false">
      <c r="B54" s="24" t="n">
        <v>1970</v>
      </c>
      <c r="C54" s="24" t="n">
        <v>1975</v>
      </c>
      <c r="D54" s="24" t="n">
        <v>1980</v>
      </c>
      <c r="E54" s="24" t="n">
        <v>1985</v>
      </c>
      <c r="F54" s="24" t="n">
        <v>1990</v>
      </c>
      <c r="G54" s="24" t="n">
        <v>1995</v>
      </c>
      <c r="H54" s="24" t="n">
        <v>2000</v>
      </c>
      <c r="I54" s="24" t="n">
        <v>2005</v>
      </c>
      <c r="J54" s="24" t="n">
        <v>2010</v>
      </c>
      <c r="K54" s="24" t="n">
        <v>2015</v>
      </c>
      <c r="L54" s="24" t="n">
        <v>2020</v>
      </c>
      <c r="M54" s="24" t="n">
        <v>2025</v>
      </c>
      <c r="N54" s="24" t="n">
        <v>2030</v>
      </c>
      <c r="O54" s="24" t="n">
        <v>2035</v>
      </c>
      <c r="P54" s="24" t="n">
        <v>2040</v>
      </c>
      <c r="Q54" s="24" t="n">
        <v>2045</v>
      </c>
      <c r="R54" s="24" t="n">
        <v>2050</v>
      </c>
      <c r="S54" s="25" t="s">
        <v>15</v>
      </c>
      <c r="T54" s="13"/>
    </row>
    <row r="55" customFormat="false" ht="11.25" hidden="false" customHeight="false" outlineLevel="0" collapsed="false">
      <c r="A55" s="11" t="s">
        <v>198</v>
      </c>
      <c r="B55" s="27" t="n">
        <f aca="false">B9</f>
        <v>3696.186306</v>
      </c>
      <c r="C55" s="27" t="n">
        <f aca="false">C9</f>
        <v>4076.419207</v>
      </c>
      <c r="D55" s="27" t="n">
        <f aca="false">D9</f>
        <v>4453.007478</v>
      </c>
      <c r="E55" s="27" t="n">
        <f aca="false">E9</f>
        <v>4863.289935</v>
      </c>
      <c r="F55" s="27" t="n">
        <f aca="false">F9</f>
        <v>5306.425154</v>
      </c>
      <c r="G55" s="27" t="n">
        <f aca="false">G9</f>
        <v>5726.239315</v>
      </c>
      <c r="H55" s="27" t="n">
        <f aca="false">H9</f>
        <v>6122.77022</v>
      </c>
      <c r="I55" s="27" t="n">
        <f aca="false">I9</f>
        <v>6506.649175</v>
      </c>
      <c r="J55" s="27" t="n">
        <f aca="false">J9</f>
        <v>6895.889018</v>
      </c>
      <c r="K55" s="27" t="n">
        <f aca="false">K9</f>
        <v>7232.563674147</v>
      </c>
      <c r="L55" s="27" t="n">
        <f aca="false">L9</f>
        <v>7512.21477029445</v>
      </c>
      <c r="M55" s="27" t="n">
        <f aca="false">M9</f>
        <v>7734.56392405069</v>
      </c>
      <c r="N55" s="27" t="n">
        <f aca="false">N9</f>
        <v>7904.80442220768</v>
      </c>
      <c r="O55" s="27" t="n">
        <f aca="false">O9</f>
        <v>8018.06135294744</v>
      </c>
      <c r="P55" s="27" t="n">
        <f aca="false">P9</f>
        <v>8067.82806311415</v>
      </c>
      <c r="Q55" s="27" t="n">
        <f aca="false">Q9</f>
        <v>8049.73680757153</v>
      </c>
      <c r="R55" s="27" t="n">
        <f aca="false">R9</f>
        <v>7965.64098874217</v>
      </c>
      <c r="S55" s="28" t="s">
        <v>17</v>
      </c>
      <c r="T55" s="13"/>
      <c r="U55" s="29" t="s">
        <v>18</v>
      </c>
    </row>
    <row r="56" customFormat="false" ht="11.25" hidden="false" customHeight="false" outlineLevel="0" collapsed="false">
      <c r="A56" s="11" t="s">
        <v>201</v>
      </c>
      <c r="B56" s="27" t="n">
        <f aca="false"> EUA!B56+ China!B56+ OCDE!B56+ BRISE!B56+ LINHA!B56</f>
        <v>2114.175299</v>
      </c>
      <c r="C56" s="27" t="n">
        <f aca="false"> EUA!C56+ China!C56+ OCDE!C56+ BRISE!C56+ LINHA!C56</f>
        <v>2347.949958</v>
      </c>
      <c r="D56" s="27" t="n">
        <f aca="false"> EUA!D56+ China!D56+ OCDE!D56+ BRISE!D56+ LINHA!D56</f>
        <v>2615.278174</v>
      </c>
      <c r="E56" s="27" t="n">
        <f aca="false"> EUA!E56+ China!E56+ OCDE!E56+ BRISE!E56+ LINHA!E56</f>
        <v>2927.067356</v>
      </c>
      <c r="F56" s="27" t="n">
        <f aca="false"> EUA!F56+ China!F56+ OCDE!F56+ BRISE!F56+ LINHA!F56</f>
        <v>3240.162486</v>
      </c>
      <c r="G56" s="27" t="n">
        <f aca="false"> EUA!G56+ China!G56+ OCDE!G56+ BRISE!G56+ LINHA!G56</f>
        <v>3531.207613</v>
      </c>
      <c r="H56" s="27" t="n">
        <f aca="false"> EUA!H56+ China!H56+ OCDE!H56+ BRISE!H56+ LINHA!H56</f>
        <v>3851.820165</v>
      </c>
      <c r="I56" s="27" t="n">
        <f aca="false"> EUA!I56+ China!I56+ OCDE!I56+ BRISE!I56+ LINHA!I56</f>
        <v>4197.009289</v>
      </c>
      <c r="J56" s="27" t="n">
        <f aca="false"> EUA!J56+ China!J56+ OCDE!J56+ BRISE!J56+ LINHA!J56</f>
        <v>4524.849849</v>
      </c>
      <c r="K56" s="27" t="n">
        <f aca="false"> EUA!K56+ China!K56+ OCDE!K56+ BRISE!K56+ LINHA!K56</f>
        <v>4804.410905</v>
      </c>
      <c r="L56" s="27" t="n">
        <f aca="false"> EUA!L56+ China!L56+ OCDE!L56+ BRISE!L56+ LINHA!L56</f>
        <v>5031.77907</v>
      </c>
      <c r="M56" s="27" t="n">
        <f aca="false"> EUA!M56+ China!M56+ OCDE!M56+ BRISE!M56+ LINHA!M56</f>
        <v>5248.598902</v>
      </c>
      <c r="N56" s="27" t="n">
        <f aca="false"> EUA!N56+ China!N56+ OCDE!N56+ BRISE!N56+ LINHA!N56</f>
        <v>5372.034429</v>
      </c>
      <c r="O56" s="27" t="n">
        <f aca="false"> EUA!O56+ China!O56+ OCDE!O56+ BRISE!O56+ LINHA!O56</f>
        <v>5411.61747</v>
      </c>
      <c r="P56" s="27" t="n">
        <f aca="false"> EUA!P56+ China!P56+ OCDE!P56+ BRISE!P56+ LINHA!P56</f>
        <v>5396.910827</v>
      </c>
      <c r="Q56" s="27" t="n">
        <f aca="false"> EUA!Q56+ China!Q56+ OCDE!Q56+ BRISE!Q56+ LINHA!Q56</f>
        <v>5370.477686</v>
      </c>
      <c r="R56" s="27" t="n">
        <f aca="false"> EUA!R56+ China!R56+ OCDE!R56+ BRISE!R56+ LINHA!R56</f>
        <v>5289.899549</v>
      </c>
      <c r="S56" s="28" t="s">
        <v>17</v>
      </c>
      <c r="T56" s="13"/>
      <c r="U56" s="29" t="s">
        <v>21</v>
      </c>
    </row>
    <row r="57" customFormat="false" ht="11.25" hidden="false" customHeight="false" outlineLevel="0" collapsed="false">
      <c r="A57" s="63" t="s">
        <v>42</v>
      </c>
      <c r="B57" s="47"/>
      <c r="C57" s="47"/>
      <c r="D57" s="47"/>
      <c r="E57" s="47"/>
      <c r="F57" s="47"/>
      <c r="G57" s="47"/>
      <c r="H57" s="47"/>
      <c r="I57" s="47"/>
      <c r="J57" s="47"/>
      <c r="K57" s="27" t="n">
        <v>1452.885571</v>
      </c>
      <c r="L57" s="27" t="n">
        <v>1600.973764</v>
      </c>
      <c r="M57" s="27" t="n">
        <v>1752.4278</v>
      </c>
      <c r="N57" s="27" t="n">
        <v>1885.532976</v>
      </c>
      <c r="O57" s="27" t="n">
        <v>2003.43901</v>
      </c>
      <c r="P57" s="27" t="n">
        <v>2103.460158</v>
      </c>
      <c r="Q57" s="27" t="n">
        <v>2188.792437</v>
      </c>
      <c r="R57" s="27" t="n">
        <v>2254.028987</v>
      </c>
      <c r="S57" s="28" t="s">
        <v>17</v>
      </c>
      <c r="T57" s="13"/>
      <c r="U57" s="29" t="s">
        <v>23</v>
      </c>
    </row>
    <row r="58" customFormat="false" ht="11.25" hidden="false" customHeight="false" outlineLevel="0" collapsed="false">
      <c r="A58" s="11" t="s">
        <v>43</v>
      </c>
      <c r="B58" s="65" t="n">
        <f aca="false">B56/B55*100</f>
        <v>57.1988293871462</v>
      </c>
      <c r="C58" s="65" t="n">
        <f aca="false">C56/C55*100</f>
        <v>57.5983440066251</v>
      </c>
      <c r="D58" s="65" t="n">
        <f aca="false">D56/D55*100</f>
        <v>58.7306036857277</v>
      </c>
      <c r="E58" s="65" t="n">
        <f aca="false">E56/E55*100</f>
        <v>60.1869803182935</v>
      </c>
      <c r="F58" s="65" t="n">
        <f aca="false">F56/F55*100</f>
        <v>61.0611172675743</v>
      </c>
      <c r="G58" s="65" t="n">
        <f aca="false">G56/G55*100</f>
        <v>61.6671329776583</v>
      </c>
      <c r="H58" s="65" t="n">
        <f aca="false">H56/H55*100</f>
        <v>62.9097618659287</v>
      </c>
      <c r="I58" s="65" t="n">
        <f aca="false">I56/I55*100</f>
        <v>64.5033899341899</v>
      </c>
      <c r="J58" s="65" t="n">
        <f aca="false">J56/J55*100</f>
        <v>65.6166280691149</v>
      </c>
      <c r="K58" s="65" t="n">
        <f aca="false">K56/K55*100</f>
        <v>66.4274954422247</v>
      </c>
      <c r="L58" s="65" t="n">
        <f aca="false">L56/L55*100</f>
        <v>66.9812994417727</v>
      </c>
      <c r="M58" s="65" t="n">
        <f aca="false">M56/M55*100</f>
        <v>67.8590151111097</v>
      </c>
      <c r="N58" s="65" t="n">
        <f aca="false">N56/N55*100</f>
        <v>67.9591061596395</v>
      </c>
      <c r="O58" s="65" t="n">
        <f aca="false">O56/O55*100</f>
        <v>67.4928418701945</v>
      </c>
      <c r="P58" s="65" t="n">
        <f aca="false">P56/P55*100</f>
        <v>66.8942221472778</v>
      </c>
      <c r="Q58" s="65" t="n">
        <f aca="false">Q56/Q55*100</f>
        <v>66.7161897883241</v>
      </c>
      <c r="R58" s="65" t="n">
        <f aca="false">R56/R55*100</f>
        <v>66.4089626494115</v>
      </c>
      <c r="S58" s="28" t="s">
        <v>44</v>
      </c>
      <c r="T58" s="13"/>
    </row>
    <row r="59" customFormat="false" ht="11.25" hidden="false" customHeight="false" outlineLevel="0" collapsed="false">
      <c r="A59" s="11" t="s">
        <v>45</v>
      </c>
      <c r="B59" s="32" t="n">
        <f aca="false">B55/B56</f>
        <v>1.74828752741</v>
      </c>
      <c r="C59" s="32" t="n">
        <f aca="false">C55/C56</f>
        <v>1.7361610255409</v>
      </c>
      <c r="D59" s="32" t="n">
        <f aca="false">D55/D56</f>
        <v>1.70268980266418</v>
      </c>
      <c r="E59" s="32" t="n">
        <f aca="false">E55/E56</f>
        <v>1.66148890459629</v>
      </c>
      <c r="F59" s="32" t="n">
        <f aca="false">F55/F56</f>
        <v>1.63770341053199</v>
      </c>
      <c r="G59" s="32" t="n">
        <f aca="false">G55/G56</f>
        <v>1.62160935933619</v>
      </c>
      <c r="H59" s="32" t="n">
        <f aca="false">H55/H56</f>
        <v>1.58957842207568</v>
      </c>
      <c r="I59" s="32" t="n">
        <f aca="false">I55/I56</f>
        <v>1.55030611727579</v>
      </c>
      <c r="J59" s="32" t="n">
        <f aca="false">J55/J56</f>
        <v>1.52400394446768</v>
      </c>
      <c r="K59" s="32" t="n">
        <f aca="false">K55/K56</f>
        <v>1.50540072803098</v>
      </c>
      <c r="L59" s="32" t="n">
        <f aca="false">L55/L56</f>
        <v>1.4929540160225</v>
      </c>
      <c r="M59" s="32" t="n">
        <f aca="false">M55/M56</f>
        <v>1.47364355106339</v>
      </c>
      <c r="N59" s="32" t="n">
        <f aca="false">N55/N56</f>
        <v>1.47147314982476</v>
      </c>
      <c r="O59" s="32" t="n">
        <f aca="false">O55/O56</f>
        <v>1.48163860387335</v>
      </c>
      <c r="P59" s="32" t="n">
        <f aca="false">P55/P56</f>
        <v>1.49489741849206</v>
      </c>
      <c r="Q59" s="32" t="n">
        <f aca="false">Q55/Q56</f>
        <v>1.49888655688039</v>
      </c>
      <c r="R59" s="32" t="n">
        <f aca="false">R55/R56</f>
        <v>1.50582084120066</v>
      </c>
      <c r="S59" s="28" t="s">
        <v>46</v>
      </c>
      <c r="T59" s="13"/>
    </row>
    <row r="60" customFormat="false" ht="13.8" hidden="false" customHeight="false" outlineLevel="0" collapsed="false">
      <c r="A60" s="23" t="s">
        <v>7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13"/>
      <c r="U60" s="35"/>
      <c r="V60" s="35"/>
    </row>
    <row r="61" customFormat="false" ht="11.25" hidden="false" customHeight="false" outlineLevel="0" collapsed="false">
      <c r="B61" s="42"/>
      <c r="D61" s="42"/>
      <c r="E61" s="42"/>
      <c r="F61" s="69"/>
      <c r="G61" s="69"/>
      <c r="H61" s="37" t="s">
        <v>42</v>
      </c>
      <c r="I61" s="43"/>
      <c r="J61" s="100" t="s">
        <v>7</v>
      </c>
      <c r="K61" s="84" t="n">
        <f aca="false"> EUA!K61+ China!K61+ OCDE!K61+ BRISE!K61+ LINHA!K61</f>
        <v>4804.398568</v>
      </c>
      <c r="L61" s="84" t="n">
        <f aca="false"> EUA!L61+ China!L61+ OCDE!L61+ BRISE!L61+ LINHA!L61</f>
        <v>4931.1434886</v>
      </c>
      <c r="M61" s="84" t="n">
        <f aca="false"> EUA!M61+ China!M61+ OCDE!M61+ BRISE!M61+ LINHA!M61</f>
        <v>5143.62692396</v>
      </c>
      <c r="N61" s="84" t="n">
        <f aca="false"> EUA!N61+ China!N61+ OCDE!N61+ BRISE!N61+ LINHA!N61</f>
        <v>5264.59374042</v>
      </c>
      <c r="O61" s="84" t="n">
        <f aca="false"> EUA!O61+ China!O61+ OCDE!O61+ BRISE!O61+ LINHA!O61</f>
        <v>5303.3851206</v>
      </c>
      <c r="P61" s="84" t="n">
        <f aca="false"> EUA!P61+ China!P61+ OCDE!P61+ BRISE!P61+ LINHA!P61</f>
        <v>5288.97261046</v>
      </c>
      <c r="Q61" s="84" t="n">
        <f aca="false"> EUA!Q61+ China!Q61+ OCDE!Q61+ BRISE!Q61+ LINHA!Q61</f>
        <v>5263.06813228</v>
      </c>
      <c r="R61" s="84" t="n">
        <f aca="false"> EUA!R61+ China!R61+ OCDE!R61+ BRISE!R61+ LINHA!R61</f>
        <v>5184.10155802</v>
      </c>
      <c r="S61" s="28" t="s">
        <v>17</v>
      </c>
      <c r="T61" s="13"/>
    </row>
    <row r="62" customFormat="false" ht="11.25" hidden="false" customHeight="false" outlineLevel="0" collapsed="false">
      <c r="B62" s="42"/>
      <c r="G62" s="69"/>
      <c r="H62" s="69"/>
      <c r="I62" s="43"/>
      <c r="J62" s="37" t="s">
        <v>43</v>
      </c>
      <c r="K62" s="45" t="n">
        <f aca="false">K61/K17*100</f>
        <v>66.4272338443047</v>
      </c>
      <c r="L62" s="45" t="n">
        <f aca="false">L61/L17*100</f>
        <v>65.6904930578277</v>
      </c>
      <c r="M62" s="45" t="n">
        <f aca="false">M61/M17*100</f>
        <v>66.5906121650684</v>
      </c>
      <c r="N62" s="45" t="n">
        <f aca="false">N61/N17*100</f>
        <v>66.7194962399964</v>
      </c>
      <c r="O62" s="45" t="n">
        <f aca="false">O61/O17*100</f>
        <v>66.2831034949657</v>
      </c>
      <c r="P62" s="45" t="n">
        <f aca="false">P61/P17*100</f>
        <v>65.706526190427</v>
      </c>
      <c r="Q62" s="45" t="n">
        <f aca="false">Q61/Q17*100</f>
        <v>65.5323791786068</v>
      </c>
      <c r="R62" s="45" t="n">
        <f aca="false">R61/R17*100</f>
        <v>65.2208339418838</v>
      </c>
      <c r="S62" s="28" t="s">
        <v>44</v>
      </c>
      <c r="T62" s="13"/>
    </row>
    <row r="63" customFormat="false" ht="11.25" hidden="false" customHeight="false" outlineLevel="0" collapsed="false">
      <c r="B63" s="42"/>
      <c r="G63" s="69"/>
      <c r="H63" s="69"/>
      <c r="I63" s="43"/>
      <c r="J63" s="37" t="s">
        <v>45</v>
      </c>
      <c r="K63" s="43" t="n">
        <f aca="false">K17/K61</f>
        <v>1.50540665646841</v>
      </c>
      <c r="L63" s="43" t="n">
        <f aca="false">L17/L61</f>
        <v>1.52229029415215</v>
      </c>
      <c r="M63" s="43" t="n">
        <f aca="false">M17/M61</f>
        <v>1.50171318071254</v>
      </c>
      <c r="N63" s="43" t="n">
        <f aca="false">N17/N61</f>
        <v>1.49881227580452</v>
      </c>
      <c r="O63" s="43" t="n">
        <f aca="false">O17/O61</f>
        <v>1.50868011193222</v>
      </c>
      <c r="P63" s="43" t="n">
        <f aca="false">P17/P61</f>
        <v>1.5219188381712</v>
      </c>
      <c r="Q63" s="43" t="n">
        <f aca="false">Q17/Q61</f>
        <v>1.52596321472554</v>
      </c>
      <c r="R63" s="43" t="n">
        <f aca="false">R17/R61</f>
        <v>1.53325239737209</v>
      </c>
      <c r="S63" s="28" t="s">
        <v>46</v>
      </c>
      <c r="T63" s="13"/>
    </row>
    <row r="64" customFormat="false" ht="12.65" hidden="false" customHeight="false" outlineLevel="0" collapsed="false">
      <c r="A64" s="23" t="s">
        <v>27</v>
      </c>
      <c r="B64" s="42"/>
      <c r="S64" s="28"/>
      <c r="T64" s="13"/>
    </row>
    <row r="65" customFormat="false" ht="11.25" hidden="false" customHeight="false" outlineLevel="0" collapsed="false">
      <c r="A65" s="11" t="s">
        <v>47</v>
      </c>
      <c r="B65" s="36"/>
      <c r="C65" s="36"/>
      <c r="D65" s="36"/>
      <c r="E65" s="36"/>
      <c r="F65" s="36"/>
      <c r="G65" s="36"/>
      <c r="H65" s="36"/>
      <c r="I65" s="36"/>
      <c r="J65" s="47"/>
      <c r="K65" s="27" t="n">
        <f aca="false"> EUA!K65+ China!K65+ OCDE!K65+ BRISE!K65+ LINHA!K65</f>
        <v>7217.275233</v>
      </c>
      <c r="L65" s="27" t="n">
        <f aca="false"> EUA!L65+ China!L65+ OCDE!L65+ BRISE!L65+ LINHA!L65</f>
        <v>7480.225321</v>
      </c>
      <c r="M65" s="27" t="n">
        <f aca="false"> EUA!M65+ China!M65+ OCDE!M65+ BRISE!M65+ LINHA!M65</f>
        <v>7689.13525</v>
      </c>
      <c r="N65" s="27" t="n">
        <f aca="false"> EUA!N65+ China!N65+ OCDE!N65+ BRISE!N65+ LINHA!N65</f>
        <v>7867.332284</v>
      </c>
      <c r="O65" s="27" t="n">
        <f aca="false"> EUA!O65+ China!O65+ OCDE!O65+ BRISE!O65+ LINHA!O65</f>
        <v>8006.641994</v>
      </c>
      <c r="P65" s="27" t="n">
        <f aca="false"> EUA!P65+ China!P65+ OCDE!P65+ BRISE!P65+ LINHA!P65</f>
        <v>8096.724595</v>
      </c>
      <c r="Q65" s="27" t="n">
        <f aca="false"> EUA!Q65+ China!Q65+ OCDE!Q65+ BRISE!Q65+ LINHA!Q65</f>
        <v>8131.432437</v>
      </c>
      <c r="R65" s="27" t="n">
        <f aca="false"> EUA!R65+ China!R65+ OCDE!R65+ BRISE!R65+ LINHA!R65</f>
        <v>8112.190801</v>
      </c>
      <c r="S65" s="28" t="s">
        <v>17</v>
      </c>
      <c r="T65" s="13"/>
    </row>
    <row r="66" customFormat="false" ht="11.25" hidden="false" customHeight="false" outlineLevel="0" collapsed="false">
      <c r="A66" s="11" t="s">
        <v>202</v>
      </c>
      <c r="B66" s="41"/>
      <c r="C66" s="41"/>
      <c r="D66" s="41"/>
      <c r="E66" s="41"/>
      <c r="F66" s="41"/>
      <c r="G66" s="41"/>
      <c r="H66" s="41"/>
      <c r="I66" s="41"/>
      <c r="J66" s="48"/>
      <c r="K66" s="27" t="n">
        <f aca="false"> EUA!K66+ China!K66+ OCDE!K66+ BRISE!K66+ LINHA!K66</f>
        <v>4804.410905</v>
      </c>
      <c r="L66" s="27" t="n">
        <f aca="false"> EUA!L66+ China!L66+ OCDE!L66+ BRISE!L66+ LINHA!L66</f>
        <v>5031.77907</v>
      </c>
      <c r="M66" s="27" t="n">
        <f aca="false"> EUA!M66+ China!M66+ OCDE!M66+ BRISE!M66+ LINHA!M66</f>
        <v>5248.598902</v>
      </c>
      <c r="N66" s="27" t="n">
        <f aca="false"> EUA!N66+ China!N66+ OCDE!N66+ BRISE!N66+ LINHA!N66</f>
        <v>5372.034429</v>
      </c>
      <c r="O66" s="27" t="n">
        <f aca="false"> EUA!O66+ China!O66+ OCDE!O66+ BRISE!O66+ LINHA!O66</f>
        <v>5411.61747</v>
      </c>
      <c r="P66" s="27" t="n">
        <f aca="false"> EUA!P66+ China!P66+ OCDE!P66+ BRISE!P66+ LINHA!P66</f>
        <v>5396.910827</v>
      </c>
      <c r="Q66" s="27" t="n">
        <f aca="false"> EUA!Q66+ China!Q66+ OCDE!Q66+ BRISE!Q66+ LINHA!Q66</f>
        <v>5370.250484</v>
      </c>
      <c r="R66" s="27" t="n">
        <f aca="false"> EUA!R66+ China!R66+ OCDE!R66+ BRISE!R66+ LINHA!R66</f>
        <v>5289.899549</v>
      </c>
      <c r="S66" s="28" t="s">
        <v>17</v>
      </c>
      <c r="T66" s="13"/>
    </row>
    <row r="67" customFormat="false" ht="11.25" hidden="false" customHeight="false" outlineLevel="0" collapsed="false">
      <c r="A67" s="11" t="s">
        <v>49</v>
      </c>
      <c r="B67" s="42"/>
      <c r="C67" s="42"/>
      <c r="D67" s="42"/>
      <c r="E67" s="42"/>
      <c r="F67" s="42"/>
      <c r="G67" s="42"/>
      <c r="H67" s="42"/>
      <c r="I67" s="42"/>
      <c r="J67" s="48"/>
      <c r="K67" s="32" t="n">
        <f aca="false">K65/K66</f>
        <v>1.50221856034189</v>
      </c>
      <c r="L67" s="32" t="n">
        <f aca="false">L65/L66</f>
        <v>1.4865965331423</v>
      </c>
      <c r="M67" s="32" t="n">
        <f aca="false">M65/M66</f>
        <v>1.46498816037743</v>
      </c>
      <c r="N67" s="32" t="n">
        <f aca="false">N65/N66</f>
        <v>1.46449774065661</v>
      </c>
      <c r="O67" s="32" t="n">
        <f aca="false">O65/O66</f>
        <v>1.47952844752717</v>
      </c>
      <c r="P67" s="32" t="n">
        <f aca="false">P65/P66</f>
        <v>1.50025169111433</v>
      </c>
      <c r="Q67" s="32" t="n">
        <f aca="false">Q65/Q66</f>
        <v>1.51416260027844</v>
      </c>
      <c r="R67" s="32" t="n">
        <f aca="false">R65/R66</f>
        <v>1.53352454538263</v>
      </c>
      <c r="S67" s="28" t="s">
        <v>46</v>
      </c>
      <c r="T67" s="13"/>
      <c r="X67" s="15" t="s">
        <v>33</v>
      </c>
    </row>
    <row r="68" s="3" customFormat="true" ht="11.25" hidden="false" customHeight="false" outlineLevel="0" collapsed="false">
      <c r="S68" s="28"/>
      <c r="T68" s="13"/>
      <c r="V68" s="3" t="s">
        <v>35</v>
      </c>
      <c r="AA68" s="52" t="str">
        <f aca="false">AA26</f>
        <v> Cálculos realizados para ajustar todas as variáveis para valores entre 0 e 1.</v>
      </c>
    </row>
    <row r="69" s="3" customFormat="true" ht="28.3" hidden="false" customHeight="false" outlineLevel="0" collapsed="false">
      <c r="S69" s="28"/>
      <c r="T69" s="13"/>
      <c r="U69" s="53" t="s">
        <v>37</v>
      </c>
      <c r="V69" s="54" t="s">
        <v>38</v>
      </c>
      <c r="W69" s="54" t="s">
        <v>39</v>
      </c>
      <c r="X69" s="55"/>
      <c r="Y69" s="55"/>
      <c r="AA69" s="16"/>
      <c r="AB69" s="24" t="n">
        <v>1970</v>
      </c>
      <c r="AC69" s="24" t="n">
        <v>1975</v>
      </c>
      <c r="AD69" s="24" t="n">
        <v>1980</v>
      </c>
      <c r="AE69" s="24" t="n">
        <v>1985</v>
      </c>
      <c r="AF69" s="24" t="n">
        <v>1990</v>
      </c>
      <c r="AG69" s="24" t="n">
        <v>1995</v>
      </c>
      <c r="AH69" s="24" t="n">
        <v>2000</v>
      </c>
      <c r="AI69" s="24" t="n">
        <v>2005</v>
      </c>
      <c r="AJ69" s="24" t="n">
        <v>2010</v>
      </c>
      <c r="AK69" s="24" t="n">
        <v>2015</v>
      </c>
      <c r="AL69" s="24" t="n">
        <v>2020</v>
      </c>
      <c r="AM69" s="24" t="n">
        <v>2025</v>
      </c>
      <c r="AN69" s="24" t="n">
        <v>2030</v>
      </c>
      <c r="AO69" s="24" t="n">
        <v>2035</v>
      </c>
      <c r="AP69" s="24" t="n">
        <v>2040</v>
      </c>
      <c r="AQ69" s="24" t="n">
        <v>2045</v>
      </c>
      <c r="AR69" s="24" t="n">
        <v>2050</v>
      </c>
    </row>
    <row r="70" s="3" customFormat="true" ht="11.25" hidden="false" customHeight="false" outlineLevel="0" collapsed="false">
      <c r="S70" s="28"/>
      <c r="T70" s="13"/>
      <c r="U70" s="15" t="str">
        <f aca="false">AA71</f>
        <v> Pessoas SumWorld Idade 15-64 (0 - 6 Gp)</v>
      </c>
      <c r="V70" s="25" t="n">
        <v>6000</v>
      </c>
      <c r="W70" s="70" t="n">
        <f aca="false">W74</f>
        <v>6000</v>
      </c>
      <c r="AA70" s="29" t="str">
        <f aca="false">CONCATENATE(A55," (0 - ",V28/1000," Gp)")</f>
        <v> População, SumWorld (0 - 9 Gp)</v>
      </c>
      <c r="AB70" s="57" t="n">
        <f aca="false">B55/$V28</f>
        <v>0.410687367333333</v>
      </c>
      <c r="AC70" s="57" t="n">
        <f aca="false">C55/$V28</f>
        <v>0.452935467444444</v>
      </c>
      <c r="AD70" s="57" t="n">
        <f aca="false">D55/$V28</f>
        <v>0.494778608666667</v>
      </c>
      <c r="AE70" s="57" t="n">
        <f aca="false">E55/$V28</f>
        <v>0.540365548333333</v>
      </c>
      <c r="AF70" s="57" t="n">
        <f aca="false">F55/$V28</f>
        <v>0.589602794888889</v>
      </c>
      <c r="AG70" s="57" t="n">
        <f aca="false">G55/$V28</f>
        <v>0.636248812777778</v>
      </c>
      <c r="AH70" s="57" t="n">
        <f aca="false">H55/$V28</f>
        <v>0.680307802222222</v>
      </c>
      <c r="AI70" s="57" t="n">
        <f aca="false">I55/$V28</f>
        <v>0.722961019444444</v>
      </c>
      <c r="AJ70" s="57" t="n">
        <f aca="false">J55/$V28</f>
        <v>0.766209890888889</v>
      </c>
      <c r="AK70" s="57" t="n">
        <f aca="false">K55/$V28</f>
        <v>0.803618186016333</v>
      </c>
      <c r="AL70" s="57" t="n">
        <f aca="false">L55/$V28</f>
        <v>0.834690530032717</v>
      </c>
      <c r="AM70" s="57" t="n">
        <f aca="false">M55/$V28</f>
        <v>0.859395991561188</v>
      </c>
      <c r="AN70" s="57" t="n">
        <f aca="false">N55/$V28</f>
        <v>0.878311602467521</v>
      </c>
      <c r="AO70" s="57" t="n">
        <f aca="false">O55/$V28</f>
        <v>0.890895705883049</v>
      </c>
      <c r="AP70" s="57" t="n">
        <f aca="false">P55/$V28</f>
        <v>0.896425340346016</v>
      </c>
      <c r="AQ70" s="57" t="n">
        <f aca="false">Q55/$V28</f>
        <v>0.894415200841281</v>
      </c>
      <c r="AR70" s="57" t="n">
        <f aca="false">R55/$V28</f>
        <v>0.885071220971353</v>
      </c>
    </row>
    <row r="71" s="3" customFormat="true" ht="11.25" hidden="false" customHeight="false" outlineLevel="0" collapsed="false">
      <c r="S71" s="28"/>
      <c r="T71" s="13"/>
      <c r="U71" s="15" t="str">
        <f aca="false">AA72</f>
        <v> Sobrecarga de apoio (população/idade 15-64) (0 - 3)</v>
      </c>
      <c r="V71" s="25" t="n">
        <v>1.8</v>
      </c>
      <c r="W71" s="70" t="n">
        <f aca="false">W75</f>
        <v>3</v>
      </c>
      <c r="AA71" s="29" t="str">
        <f aca="false">CONCATENATE(A56," (0 - ",W70/1000," Gp)")</f>
        <v> Pessoas SumWorld Idade 15-64 (0 - 6 Gp)</v>
      </c>
      <c r="AB71" s="57" t="n">
        <f aca="false">B56/$W70</f>
        <v>0.352362549833333</v>
      </c>
      <c r="AC71" s="57" t="n">
        <f aca="false">C56/$W70</f>
        <v>0.391324993</v>
      </c>
      <c r="AD71" s="57" t="n">
        <f aca="false">D56/$W70</f>
        <v>0.435879695666667</v>
      </c>
      <c r="AE71" s="57" t="n">
        <f aca="false">E56/$W70</f>
        <v>0.487844559333333</v>
      </c>
      <c r="AF71" s="57" t="n">
        <f aca="false">F56/$W70</f>
        <v>0.540027081</v>
      </c>
      <c r="AG71" s="57" t="n">
        <f aca="false">G56/$W70</f>
        <v>0.588534602166667</v>
      </c>
      <c r="AH71" s="57" t="n">
        <f aca="false">H56/$W70</f>
        <v>0.6419700275</v>
      </c>
      <c r="AI71" s="57" t="n">
        <f aca="false">I56/$W70</f>
        <v>0.699501548166667</v>
      </c>
      <c r="AJ71" s="57" t="n">
        <f aca="false">J56/$W70</f>
        <v>0.7541416415</v>
      </c>
      <c r="AK71" s="57" t="n">
        <f aca="false">K56/$W70</f>
        <v>0.800735150833334</v>
      </c>
      <c r="AL71" s="57" t="n">
        <f aca="false">L56/$W70</f>
        <v>0.838629845</v>
      </c>
      <c r="AM71" s="57" t="n">
        <f aca="false">M56/$W70</f>
        <v>0.874766483666667</v>
      </c>
      <c r="AN71" s="57" t="n">
        <f aca="false">N56/$W70</f>
        <v>0.8953390715</v>
      </c>
      <c r="AO71" s="57" t="n">
        <f aca="false">O56/$W70</f>
        <v>0.901936245</v>
      </c>
      <c r="AP71" s="57" t="n">
        <f aca="false">P56/$W70</f>
        <v>0.899485137833333</v>
      </c>
      <c r="AQ71" s="57" t="n">
        <f aca="false">Q56/$W70</f>
        <v>0.895079614333333</v>
      </c>
      <c r="AR71" s="57" t="n">
        <f aca="false">R56/$W70</f>
        <v>0.881649924833333</v>
      </c>
    </row>
    <row r="72" s="3" customFormat="true" ht="11.25" hidden="false" customHeight="false" outlineLevel="0" collapsed="false">
      <c r="S72" s="28"/>
      <c r="T72" s="13"/>
      <c r="U72" s="58" t="str">
        <f aca="false">AA73</f>
        <v> Soma das Pessoas no Mundo, Idade 15-64, Previsão de Baixa da ONU (Mp) (0 - 6 Gp)</v>
      </c>
      <c r="W72" s="71" t="n">
        <f aca="false">W70</f>
        <v>6000</v>
      </c>
      <c r="AA72" s="29" t="str">
        <f aca="false">CONCATENATE(A59," (0 - ",W71,")")</f>
        <v> Sobrecarga de apoio (população/idade 15-64) (0 - 3)</v>
      </c>
      <c r="AB72" s="57" t="n">
        <f aca="false">B59/$W71</f>
        <v>0.582762509136665</v>
      </c>
      <c r="AC72" s="57" t="n">
        <f aca="false">C59/$W71</f>
        <v>0.578720341846968</v>
      </c>
      <c r="AD72" s="57" t="n">
        <f aca="false">D59/$W71</f>
        <v>0.567563267554727</v>
      </c>
      <c r="AE72" s="57" t="n">
        <f aca="false">E59/$W71</f>
        <v>0.55382963486543</v>
      </c>
      <c r="AF72" s="57" t="n">
        <f aca="false">F59/$W71</f>
        <v>0.545901136843995</v>
      </c>
      <c r="AG72" s="57" t="n">
        <f aca="false">G59/$W71</f>
        <v>0.540536453112063</v>
      </c>
      <c r="AH72" s="57" t="n">
        <f aca="false">H59/$W71</f>
        <v>0.529859474025228</v>
      </c>
      <c r="AI72" s="57" t="n">
        <f aca="false">I59/$W71</f>
        <v>0.516768705758596</v>
      </c>
      <c r="AJ72" s="57" t="n">
        <f aca="false">J59/$W71</f>
        <v>0.508001314822561</v>
      </c>
      <c r="AK72" s="57" t="n">
        <f aca="false">K59/$W71</f>
        <v>0.501800242676995</v>
      </c>
      <c r="AL72" s="57" t="n">
        <f aca="false">L59/$W71</f>
        <v>0.497651338674166</v>
      </c>
      <c r="AM72" s="57" t="n">
        <f aca="false">M59/$W71</f>
        <v>0.49121451702113</v>
      </c>
      <c r="AN72" s="57" t="n">
        <f aca="false">N59/$W71</f>
        <v>0.490491049941587</v>
      </c>
      <c r="AO72" s="57" t="n">
        <f aca="false">O59/$W71</f>
        <v>0.493879534624451</v>
      </c>
      <c r="AP72" s="57" t="n">
        <f aca="false">P59/$W71</f>
        <v>0.498299139497353</v>
      </c>
      <c r="AQ72" s="57" t="n">
        <f aca="false">Q59/$W71</f>
        <v>0.499628852293465</v>
      </c>
      <c r="AR72" s="57" t="n">
        <f aca="false">R59/$W71</f>
        <v>0.50194028040022</v>
      </c>
    </row>
    <row r="73" s="3" customFormat="true" ht="11.25" hidden="false" customHeight="false" outlineLevel="0" collapsed="false">
      <c r="S73" s="28"/>
      <c r="T73" s="13"/>
      <c r="U73" s="58" t="str">
        <f aca="false">AA74</f>
        <v> Sobrecarga de apoio ONU Baixa (população/idade 15-64) (0 - 3)</v>
      </c>
      <c r="W73" s="71" t="n">
        <f aca="false">W71</f>
        <v>3</v>
      </c>
      <c r="Y73" s="72"/>
      <c r="AA73" s="29" t="str">
        <f aca="false">CONCATENATE(A66," (0 - ",W72/1000," Gp)")</f>
        <v> Soma das Pessoas no Mundo, Idade 15-64, Previsão de Baixa da ONU (Mp) (0 - 6 Gp)</v>
      </c>
      <c r="AB73" s="29"/>
      <c r="AC73" s="29"/>
      <c r="AD73" s="29"/>
      <c r="AE73" s="29"/>
      <c r="AF73" s="29"/>
      <c r="AG73" s="29"/>
      <c r="AH73" s="29"/>
      <c r="AI73" s="29"/>
      <c r="AJ73" s="29"/>
      <c r="AK73" s="57" t="n">
        <f aca="false">K66/$W72</f>
        <v>0.800735150833334</v>
      </c>
      <c r="AL73" s="57" t="n">
        <f aca="false">L66/$W72</f>
        <v>0.838629845</v>
      </c>
      <c r="AM73" s="57" t="n">
        <f aca="false">M66/$W72</f>
        <v>0.874766483666667</v>
      </c>
      <c r="AN73" s="57" t="n">
        <f aca="false">N66/$W72</f>
        <v>0.8953390715</v>
      </c>
      <c r="AO73" s="57" t="n">
        <f aca="false">O66/$W72</f>
        <v>0.901936245</v>
      </c>
      <c r="AP73" s="57" t="n">
        <f aca="false">P66/$W72</f>
        <v>0.899485137833333</v>
      </c>
      <c r="AQ73" s="57" t="n">
        <f aca="false">Q66/$W72</f>
        <v>0.895041747333333</v>
      </c>
      <c r="AR73" s="57" t="n">
        <f aca="false">R66/$W72</f>
        <v>0.881649924833333</v>
      </c>
    </row>
    <row r="74" s="3" customFormat="true" ht="11.25" hidden="false" customHeight="false" outlineLevel="0" collapsed="false">
      <c r="S74" s="28"/>
      <c r="T74" s="13"/>
      <c r="U74" s="37" t="str">
        <f aca="false">AA75</f>
        <v> Pessoas SumWorld Idade 15-64 (0 - 6 Gp) Sua previsão</v>
      </c>
      <c r="W74" s="4" t="n">
        <v>6000</v>
      </c>
      <c r="Y74" s="72"/>
      <c r="AA74" s="29" t="str">
        <f aca="false">CONCATENATE(A67," (0 - ",W73,")")</f>
        <v> Sobrecarga de apoio ONU Baixa (população/idade 15-64) (0 - 3)</v>
      </c>
      <c r="AB74" s="29"/>
      <c r="AC74" s="29"/>
      <c r="AD74" s="29"/>
      <c r="AE74" s="29"/>
      <c r="AF74" s="29"/>
      <c r="AG74" s="29"/>
      <c r="AH74" s="29"/>
      <c r="AI74" s="29"/>
      <c r="AJ74" s="29"/>
      <c r="AK74" s="57" t="n">
        <f aca="false">K67/$W73</f>
        <v>0.500739520113965</v>
      </c>
      <c r="AL74" s="57" t="n">
        <f aca="false">L67/$W73</f>
        <v>0.495532177714101</v>
      </c>
      <c r="AM74" s="57" t="n">
        <f aca="false">M67/$W73</f>
        <v>0.488329386792478</v>
      </c>
      <c r="AN74" s="57" t="n">
        <f aca="false">N67/$W73</f>
        <v>0.488165913552202</v>
      </c>
      <c r="AO74" s="57" t="n">
        <f aca="false">O67/$W73</f>
        <v>0.493176149175723</v>
      </c>
      <c r="AP74" s="57" t="n">
        <f aca="false">P67/$W73</f>
        <v>0.500083897038111</v>
      </c>
      <c r="AQ74" s="57" t="n">
        <f aca="false">Q67/$W73</f>
        <v>0.504720866759481</v>
      </c>
      <c r="AR74" s="57" t="n">
        <f aca="false">R67/$W73</f>
        <v>0.511174848460877</v>
      </c>
    </row>
    <row r="75" s="3" customFormat="true" ht="11.25" hidden="false" customHeight="false" outlineLevel="0" collapsed="false">
      <c r="S75" s="28"/>
      <c r="T75" s="13"/>
      <c r="U75" s="37" t="str">
        <f aca="false">AA76</f>
        <v>Ônus de suporte (população/idade 15-64) (0 - 3) Sua previsão</v>
      </c>
      <c r="W75" s="4" t="n">
        <v>3</v>
      </c>
      <c r="AA75" s="29" t="str">
        <f aca="false">CONCATENATE(AA71," Your forecast")</f>
        <v> Pessoas SumWorld Idade 15-64 (0 - 6 Gp) Sua previsão</v>
      </c>
      <c r="AB75" s="29"/>
      <c r="AC75" s="29"/>
      <c r="AD75" s="29"/>
      <c r="AE75" s="29"/>
      <c r="AF75" s="29"/>
      <c r="AG75" s="29"/>
      <c r="AH75" s="29"/>
      <c r="AI75" s="29"/>
      <c r="AJ75" s="29"/>
      <c r="AK75" s="57" t="n">
        <f aca="false">K61/$W74</f>
        <v>0.800733094666667</v>
      </c>
      <c r="AL75" s="57" t="n">
        <f aca="false">L61/$W74</f>
        <v>0.8218572481</v>
      </c>
      <c r="AM75" s="57" t="n">
        <f aca="false">M61/$W74</f>
        <v>0.857271153993333</v>
      </c>
      <c r="AN75" s="57" t="n">
        <f aca="false">N61/$W74</f>
        <v>0.87743229007</v>
      </c>
      <c r="AO75" s="57" t="n">
        <f aca="false">O61/$W74</f>
        <v>0.8838975201</v>
      </c>
      <c r="AP75" s="57" t="n">
        <f aca="false">P61/$W74</f>
        <v>0.881495435076667</v>
      </c>
      <c r="AQ75" s="57" t="n">
        <f aca="false">Q61/$W74</f>
        <v>0.877178022046667</v>
      </c>
      <c r="AR75" s="57" t="n">
        <f aca="false">R61/$W74</f>
        <v>0.864016926336667</v>
      </c>
    </row>
    <row r="76" s="3" customFormat="true" ht="11.25" hidden="false" customHeight="false" outlineLevel="0" collapsed="false">
      <c r="S76" s="28"/>
      <c r="T76" s="13"/>
      <c r="AA76" s="29" t="str">
        <f aca="false">CONCATENATE(AA72," Your forecast ")</f>
        <v> Ônus de suporte (população/idade 15-64) (0 - 3) Sua previsão</v>
      </c>
      <c r="AB76" s="29"/>
      <c r="AC76" s="29"/>
      <c r="AD76" s="29"/>
      <c r="AE76" s="29"/>
      <c r="AF76" s="29"/>
      <c r="AG76" s="29"/>
      <c r="AH76" s="29"/>
      <c r="AI76" s="29"/>
      <c r="AJ76" s="29"/>
      <c r="AK76" s="57" t="n">
        <f aca="false">K63/$W75</f>
        <v>0.501802218822804</v>
      </c>
      <c r="AL76" s="57" t="n">
        <f aca="false">L63/$W75</f>
        <v>0.507430098050715</v>
      </c>
      <c r="AM76" s="57" t="n">
        <f aca="false">M63/$W75</f>
        <v>0.500571060237513</v>
      </c>
      <c r="AN76" s="57" t="n">
        <f aca="false">N63/$W75</f>
        <v>0.49960409193484</v>
      </c>
      <c r="AO76" s="57" t="n">
        <f aca="false">O63/$W75</f>
        <v>0.502893370644074</v>
      </c>
      <c r="AP76" s="57" t="n">
        <f aca="false">P63/$W75</f>
        <v>0.507306279390399</v>
      </c>
      <c r="AQ76" s="57" t="n">
        <f aca="false">Q63/$W75</f>
        <v>0.508654404908514</v>
      </c>
      <c r="AR76" s="57" t="n">
        <f aca="false">R63/$W75</f>
        <v>0.511084132457362</v>
      </c>
    </row>
    <row r="77" customFormat="false" ht="11.25" hidden="false" customHeight="false" outlineLevel="0" collapsed="false">
      <c r="S77" s="28"/>
      <c r="T77" s="13"/>
    </row>
    <row r="78" customFormat="false" ht="11.25" hidden="false" customHeight="false" outlineLevel="0" collapsed="false">
      <c r="S78" s="28"/>
      <c r="T78" s="13"/>
    </row>
    <row r="79" customFormat="false" ht="11.25" hidden="false" customHeight="false" outlineLevel="0" collapsed="false">
      <c r="T79" s="13"/>
    </row>
    <row r="80" customFormat="false" ht="11.25" hidden="false" customHeight="false" outlineLevel="0" collapsed="false">
      <c r="T80" s="13"/>
    </row>
    <row r="81" customFormat="false" ht="11.25" hidden="false" customHeight="false" outlineLevel="0" collapsed="false">
      <c r="T81" s="13"/>
    </row>
    <row r="82" customFormat="false" ht="11.25" hidden="false" customHeight="false" outlineLevel="0" collapsed="false">
      <c r="T82" s="13"/>
    </row>
    <row r="83" customFormat="false" ht="11.25" hidden="false" customHeight="false" outlineLevel="0" collapsed="false">
      <c r="T83" s="13"/>
    </row>
    <row r="84" customFormat="false" ht="11.25" hidden="false" customHeight="false" outlineLevel="0" collapsed="false">
      <c r="T84" s="13"/>
    </row>
    <row r="85" customFormat="false" ht="11.25" hidden="false" customHeight="false" outlineLevel="0" collapsed="false">
      <c r="T85" s="13"/>
    </row>
    <row r="86" customFormat="false" ht="11.25" hidden="false" customHeight="false" outlineLevel="0" collapsed="false">
      <c r="T86" s="13"/>
      <c r="W86" s="3" t="s">
        <v>50</v>
      </c>
    </row>
    <row r="87" customFormat="false" ht="11.25" hidden="false" customHeight="false" outlineLevel="0" collapsed="false">
      <c r="T87" s="13"/>
    </row>
    <row r="88" customFormat="false" ht="11.25" hidden="false" customHeight="false" outlineLevel="0" collapsed="false">
      <c r="T88" s="13"/>
    </row>
    <row r="89" customFormat="false" ht="11.25" hidden="false" customHeight="false" outlineLevel="0" collapsed="false">
      <c r="T89" s="13"/>
    </row>
    <row r="90" customFormat="false" ht="11.25" hidden="false" customHeight="false" outlineLevel="0" collapsed="false">
      <c r="T90" s="13"/>
    </row>
    <row r="91" s="35" customFormat="true" ht="13.8" hidden="false" customHeight="false" outlineLevel="0" collapsed="false">
      <c r="A91" s="73"/>
      <c r="T91" s="13"/>
    </row>
    <row r="92" s="35" customFormat="true" ht="13.8" hidden="false" customHeight="false" outlineLevel="0" collapsed="false">
      <c r="A92" s="73"/>
      <c r="T92" s="13"/>
    </row>
    <row r="93" customFormat="false" ht="12.65" hidden="false" customHeight="false" outlineLevel="0" collapsed="false">
      <c r="A93" s="61" t="s">
        <v>51</v>
      </c>
      <c r="T93" s="13"/>
    </row>
    <row r="94" customFormat="false" ht="12.65" hidden="false" customHeight="false" outlineLevel="0" collapsed="false">
      <c r="A94" s="23" t="str">
        <f aca="false">CONCATENATE(A93,". Labour Productivity - ",A5," 1970 to 2050")</f>
        <v> Gráfico 3. Produtividade do Trabalho - SumWorld 1970 a 2050</v>
      </c>
      <c r="T94" s="13"/>
    </row>
    <row r="95" customFormat="false" ht="11.25" hidden="false" customHeight="false" outlineLevel="0" collapsed="false">
      <c r="B95" s="24" t="n">
        <v>1970</v>
      </c>
      <c r="C95" s="24" t="n">
        <v>1975</v>
      </c>
      <c r="D95" s="24" t="n">
        <v>1980</v>
      </c>
      <c r="E95" s="24" t="n">
        <v>1985</v>
      </c>
      <c r="F95" s="24" t="n">
        <v>1990</v>
      </c>
      <c r="G95" s="24" t="n">
        <v>1995</v>
      </c>
      <c r="H95" s="24" t="n">
        <v>2000</v>
      </c>
      <c r="I95" s="24" t="n">
        <v>2005</v>
      </c>
      <c r="J95" s="24" t="n">
        <v>2010</v>
      </c>
      <c r="K95" s="24" t="n">
        <v>2015</v>
      </c>
      <c r="L95" s="24" t="n">
        <v>2020</v>
      </c>
      <c r="M95" s="24" t="n">
        <v>2025</v>
      </c>
      <c r="N95" s="24" t="n">
        <v>2030</v>
      </c>
      <c r="O95" s="24" t="n">
        <v>2035</v>
      </c>
      <c r="P95" s="24" t="n">
        <v>2040</v>
      </c>
      <c r="Q95" s="24" t="n">
        <v>2045</v>
      </c>
      <c r="R95" s="24" t="n">
        <v>2050</v>
      </c>
      <c r="S95" s="25" t="s">
        <v>15</v>
      </c>
      <c r="T95" s="13"/>
    </row>
    <row r="96" customFormat="false" ht="11.25" hidden="false" customHeight="false" outlineLevel="0" collapsed="false">
      <c r="A96" s="11" t="s">
        <v>203</v>
      </c>
      <c r="B96" s="27" t="n">
        <f aca="false"> EUA!B96+ China!B96+ OCDE!B96+ BRISE!B96+ LINHA!B96</f>
        <v>16.6234990193103</v>
      </c>
      <c r="C96" s="27" t="n">
        <f aca="false"> EUA!C96+ China!C96+ OCDE!C96+ BRISE!C96+ LINHA!C96</f>
        <v>20.2371024599048</v>
      </c>
      <c r="D96" s="27" t="n">
        <f aca="false"> EUA!D96+ China!D96+ OCDE!D96+ BRISE!D96+ LINHA!D96</f>
        <v>24.4539871145969</v>
      </c>
      <c r="E96" s="27" t="n">
        <f aca="false"> EUA!E96+ China!E96+ OCDE!E96+ BRISE!E96+ LINHA!E96</f>
        <v>28.027811317816</v>
      </c>
      <c r="F96" s="27" t="n">
        <f aca="false"> EUA!F96+ China!F96+ OCDE!F96+ BRISE!F96+ LINHA!F96</f>
        <v>36.2286172307455</v>
      </c>
      <c r="G96" s="27" t="n">
        <f aca="false"> EUA!G96+ China!G96+ OCDE!G96+ BRISE!G96+ LINHA!G96</f>
        <v>41.5060931997364</v>
      </c>
      <c r="H96" s="27" t="n">
        <f aca="false"> EUA!H96+ China!H96+ OCDE!H96+ BRISE!H96+ LINHA!H96</f>
        <v>48.9240038966411</v>
      </c>
      <c r="I96" s="27" t="n">
        <f aca="false"> EUA!I96+ China!I96+ OCDE!I96+ BRISE!I96+ LINHA!I96</f>
        <v>59.3516654405472</v>
      </c>
      <c r="J96" s="27" t="n">
        <f aca="false"> EUA!J96+ China!J96+ OCDE!J96+ BRISE!J96+ LINHA!J96</f>
        <v>66.804166910091</v>
      </c>
      <c r="K96" s="27" t="n">
        <f aca="false"> EUA!K96+ China!K96+ OCDE!K96+ BRISE!K96+ LINHA!K96</f>
        <v>77.31169502576</v>
      </c>
      <c r="L96" s="27" t="n">
        <f aca="false"> EUA!L96+ China!L96+ OCDE!L96+ BRISE!L96+ LINHA!L96</f>
        <v>89.2696559309027</v>
      </c>
      <c r="M96" s="27" t="n">
        <f aca="false"> EUA!M96+ China!M96+ OCDE!M96+ BRISE!M96+ LINHA!M96</f>
        <v>102.8078962373</v>
      </c>
      <c r="N96" s="27" t="n">
        <f aca="false"> EUA!N96+ China!N96+ OCDE!N96+ BRISE!N96+ LINHA!N96</f>
        <v>115.818697557203</v>
      </c>
      <c r="O96" s="27" t="n">
        <f aca="false"> EUA!O96+ China!O96+ OCDE!O96+ BRISE!O96+ LINHA!O96</f>
        <v>126.575257031175</v>
      </c>
      <c r="P96" s="27" t="n">
        <f aca="false"> EUA!P96+ China!P96+ OCDE!P96+ BRISE!P96+ LINHA!P96</f>
        <v>135.137412870323</v>
      </c>
      <c r="Q96" s="27" t="n">
        <f aca="false"> EUA!Q96+ China!Q96+ OCDE!Q96+ BRISE!Q96+ LINHA!Q96</f>
        <v>142.097812187292</v>
      </c>
      <c r="R96" s="27" t="n">
        <f aca="false"> EUA!R96+ China!R96+ OCDE!R96+ BRISE!R96+ LINHA!R96</f>
        <v>145.371448837128</v>
      </c>
      <c r="S96" s="76" t="s">
        <v>53</v>
      </c>
      <c r="T96" s="13"/>
      <c r="U96" s="3" t="s">
        <v>54</v>
      </c>
    </row>
    <row r="97" customFormat="false" ht="11.25" hidden="false" customHeight="false" outlineLevel="0" collapsed="false">
      <c r="A97" s="11" t="s">
        <v>201</v>
      </c>
      <c r="B97" s="27" t="n">
        <f aca="false">B56</f>
        <v>2114.175299</v>
      </c>
      <c r="C97" s="27" t="n">
        <f aca="false">C56</f>
        <v>2347.949958</v>
      </c>
      <c r="D97" s="27" t="n">
        <f aca="false">D56</f>
        <v>2615.278174</v>
      </c>
      <c r="E97" s="27" t="n">
        <f aca="false">E56</f>
        <v>2927.067356</v>
      </c>
      <c r="F97" s="27" t="n">
        <f aca="false">F56</f>
        <v>3240.162486</v>
      </c>
      <c r="G97" s="27" t="n">
        <f aca="false">G56</f>
        <v>3531.207613</v>
      </c>
      <c r="H97" s="27" t="n">
        <f aca="false">H56</f>
        <v>3851.820165</v>
      </c>
      <c r="I97" s="27" t="n">
        <f aca="false">I56</f>
        <v>4197.009289</v>
      </c>
      <c r="J97" s="27" t="n">
        <f aca="false">J56</f>
        <v>4524.849849</v>
      </c>
      <c r="K97" s="27" t="n">
        <f aca="false">K56</f>
        <v>4804.410905</v>
      </c>
      <c r="L97" s="27" t="n">
        <f aca="false">L56</f>
        <v>5031.77907</v>
      </c>
      <c r="M97" s="27" t="n">
        <f aca="false">M56</f>
        <v>5248.598902</v>
      </c>
      <c r="N97" s="27" t="n">
        <f aca="false">N56</f>
        <v>5372.034429</v>
      </c>
      <c r="O97" s="27" t="n">
        <f aca="false">O56</f>
        <v>5411.61747</v>
      </c>
      <c r="P97" s="27" t="n">
        <f aca="false">P56</f>
        <v>5396.910827</v>
      </c>
      <c r="Q97" s="27" t="n">
        <f aca="false">Q56</f>
        <v>5370.477686</v>
      </c>
      <c r="R97" s="27" t="n">
        <f aca="false">R56</f>
        <v>5289.899549</v>
      </c>
      <c r="S97" s="76" t="s">
        <v>17</v>
      </c>
      <c r="T97" s="13"/>
      <c r="U97" s="3" t="s">
        <v>55</v>
      </c>
    </row>
    <row r="98" customFormat="false" ht="11.25" hidden="false" customHeight="false" outlineLevel="0" collapsed="false">
      <c r="A98" s="11" t="s">
        <v>56</v>
      </c>
      <c r="B98" s="27" t="n">
        <f aca="false">B96/B97*1000000</f>
        <v>7862.87637887606</v>
      </c>
      <c r="C98" s="27" t="n">
        <f aca="false">C96/C97*1000000</f>
        <v>8619.05186307416</v>
      </c>
      <c r="D98" s="27" t="n">
        <f aca="false">D96/D97*1000000</f>
        <v>9350.43444238864</v>
      </c>
      <c r="E98" s="27" t="n">
        <f aca="false">E96/E97*1000000</f>
        <v>9575.38994118591</v>
      </c>
      <c r="F98" s="27" t="n">
        <f aca="false">F96/F97*1000000</f>
        <v>11181.1112520687</v>
      </c>
      <c r="G98" s="27" t="n">
        <f aca="false">G96/G97*1000000</f>
        <v>11754.0789861614</v>
      </c>
      <c r="H98" s="27" t="n">
        <f aca="false">H96/H97*1000000</f>
        <v>12701.5285763325</v>
      </c>
      <c r="I98" s="27" t="n">
        <f aca="false">I96/I97*1000000</f>
        <v>14141.4186516344</v>
      </c>
      <c r="J98" s="27" t="n">
        <f aca="false">J96/J97*1000000</f>
        <v>14763.8417051242</v>
      </c>
      <c r="K98" s="27" t="n">
        <f aca="false">K96/K97*1000000</f>
        <v>16091.8157406772</v>
      </c>
      <c r="L98" s="27" t="n">
        <f aca="false">L96/L97*1000000</f>
        <v>17741.171599353</v>
      </c>
      <c r="M98" s="27" t="n">
        <f aca="false">M96/M97*1000000</f>
        <v>19587.6839051512</v>
      </c>
      <c r="N98" s="27" t="n">
        <f aca="false">N96/N97*1000000</f>
        <v>21559.5598069841</v>
      </c>
      <c r="O98" s="27" t="n">
        <f aca="false">O96/O97*1000000</f>
        <v>23389.5425411831</v>
      </c>
      <c r="P98" s="27" t="n">
        <f aca="false">P96/P97*1000000</f>
        <v>25039.7713066239</v>
      </c>
      <c r="Q98" s="27" t="n">
        <f aca="false">Q96/Q97*1000000</f>
        <v>26459.063885084</v>
      </c>
      <c r="R98" s="27" t="n">
        <f aca="false">R96/R97*1000000</f>
        <v>27480.9469424819</v>
      </c>
      <c r="S98" s="76" t="s">
        <v>57</v>
      </c>
      <c r="T98" s="13"/>
      <c r="U98" s="41"/>
    </row>
    <row r="99" customFormat="false" ht="11.25" hidden="false" customHeight="false" outlineLevel="0" collapsed="false">
      <c r="A99" s="11" t="s">
        <v>59</v>
      </c>
      <c r="B99" s="75"/>
      <c r="C99" s="75" t="n">
        <f aca="false">(((C98/B98)-1)/5)*100</f>
        <v>1.92340677319969</v>
      </c>
      <c r="D99" s="75" t="n">
        <f aca="false">(((D98/C98)-1)/5)*100</f>
        <v>1.69713001135979</v>
      </c>
      <c r="E99" s="75" t="n">
        <f aca="false">(((E98/D98)-1)/5)*100</f>
        <v>0.481165875624923</v>
      </c>
      <c r="F99" s="75" t="n">
        <f aca="false">(((F98/E98)-1)/5)*100</f>
        <v>3.35385048702032</v>
      </c>
      <c r="G99" s="75" t="n">
        <f aca="false">(((G98/F98)-1)/5)*100</f>
        <v>1.02488513203311</v>
      </c>
      <c r="H99" s="75" t="n">
        <f aca="false">(((H98/G98)-1)/5)*100</f>
        <v>1.61212050946157</v>
      </c>
      <c r="I99" s="75" t="n">
        <f aca="false">(((I98/H98)-1)/5)*100</f>
        <v>2.26727053621706</v>
      </c>
      <c r="J99" s="75" t="n">
        <f aca="false">(((J98/I98)-1)/5)*100</f>
        <v>0.880283752037689</v>
      </c>
      <c r="K99" s="75" t="n">
        <f aca="false">(((K98/J98)-1)/5)*100</f>
        <v>1.79895458387645</v>
      </c>
      <c r="L99" s="75" t="n">
        <f aca="false">(((L98/K98)-1)/5)*100</f>
        <v>2.04993132565712</v>
      </c>
      <c r="M99" s="75" t="n">
        <f aca="false">(((M98/L98)-1)/5)*100</f>
        <v>2.08161258737337</v>
      </c>
      <c r="N99" s="75" t="n">
        <f aca="false">(((N98/M98)-1)/5)*100</f>
        <v>2.01338342131847</v>
      </c>
      <c r="O99" s="75" t="n">
        <f aca="false">(((O98/N98)-1)/5)*100</f>
        <v>1.69760676988058</v>
      </c>
      <c r="P99" s="75" t="n">
        <f aca="false">(((P98/O98)-1)/5)*100</f>
        <v>1.41108254899398</v>
      </c>
      <c r="Q99" s="75" t="n">
        <f aca="false">(((Q98/P98)-1)/5)*100</f>
        <v>1.13363062392239</v>
      </c>
      <c r="R99" s="75" t="n">
        <f aca="false">(((R98/Q98)-1)/5)*100</f>
        <v>0.772425707754443</v>
      </c>
      <c r="S99" s="76" t="s">
        <v>60</v>
      </c>
      <c r="T99" s="13"/>
      <c r="U99" s="41"/>
    </row>
    <row r="100" customFormat="false" ht="11.25" hidden="false" customHeight="false" outlineLevel="0" collapsed="false">
      <c r="A100" s="11" t="str">
        <f aca="false">A9</f>
        <v> População, SumWorld</v>
      </c>
      <c r="B100" s="27" t="n">
        <f aca="false">B9</f>
        <v>3696.186306</v>
      </c>
      <c r="C100" s="27" t="n">
        <f aca="false">C9</f>
        <v>4076.419207</v>
      </c>
      <c r="D100" s="27" t="n">
        <f aca="false">D9</f>
        <v>4453.007478</v>
      </c>
      <c r="E100" s="27" t="n">
        <f aca="false">E9</f>
        <v>4863.289935</v>
      </c>
      <c r="F100" s="27" t="n">
        <f aca="false">F9</f>
        <v>5306.425154</v>
      </c>
      <c r="G100" s="27" t="n">
        <f aca="false">G9</f>
        <v>5726.239315</v>
      </c>
      <c r="H100" s="27" t="n">
        <f aca="false">H9</f>
        <v>6122.77022</v>
      </c>
      <c r="I100" s="27" t="n">
        <f aca="false">I9</f>
        <v>6506.649175</v>
      </c>
      <c r="J100" s="27" t="n">
        <f aca="false">J9</f>
        <v>6895.889018</v>
      </c>
      <c r="K100" s="27" t="n">
        <f aca="false">K9</f>
        <v>7232.563674147</v>
      </c>
      <c r="L100" s="27" t="n">
        <f aca="false">L9</f>
        <v>7512.21477029445</v>
      </c>
      <c r="M100" s="27" t="n">
        <f aca="false">M9</f>
        <v>7734.56392405069</v>
      </c>
      <c r="N100" s="27" t="n">
        <f aca="false">N9</f>
        <v>7904.80442220768</v>
      </c>
      <c r="O100" s="27" t="n">
        <f aca="false">O9</f>
        <v>8018.06135294744</v>
      </c>
      <c r="P100" s="27" t="n">
        <f aca="false">P9</f>
        <v>8067.82806311415</v>
      </c>
      <c r="Q100" s="27" t="n">
        <f aca="false">Q9</f>
        <v>8049.73680757153</v>
      </c>
      <c r="R100" s="27" t="n">
        <f aca="false">R9</f>
        <v>7965.64098874217</v>
      </c>
      <c r="S100" s="76" t="s">
        <v>17</v>
      </c>
      <c r="T100" s="13"/>
      <c r="U100" s="41"/>
    </row>
    <row r="101" customFormat="false" ht="11.25" hidden="false" customHeight="false" outlineLevel="0" collapsed="false">
      <c r="A101" s="11" t="s">
        <v>63</v>
      </c>
      <c r="B101" s="27" t="n">
        <f aca="false">B96/B100*1000000</f>
        <v>4497.47324487553</v>
      </c>
      <c r="C101" s="27" t="n">
        <f aca="false">C96/C100*1000000</f>
        <v>4964.43114220289</v>
      </c>
      <c r="D101" s="27" t="n">
        <f aca="false">D96/D100*1000000</f>
        <v>5491.56659525306</v>
      </c>
      <c r="E101" s="27" t="n">
        <f aca="false">E96/E100*1000000</f>
        <v>5763.13805930142</v>
      </c>
      <c r="F101" s="27" t="n">
        <f aca="false">F96/F100*1000000</f>
        <v>6827.31145344361</v>
      </c>
      <c r="G101" s="27" t="n">
        <f aca="false">G96/G100*1000000</f>
        <v>7248.40351869512</v>
      </c>
      <c r="H101" s="27" t="n">
        <f aca="false">H96/H100*1000000</f>
        <v>7990.50138070364</v>
      </c>
      <c r="I101" s="27" t="n">
        <f aca="false">I96/I100*1000000</f>
        <v>9121.69441508996</v>
      </c>
      <c r="J101" s="27" t="n">
        <f aca="false">J96/J100*1000000</f>
        <v>9687.5351003642</v>
      </c>
      <c r="K101" s="27" t="n">
        <f aca="false">K96/K100*1000000</f>
        <v>10689.3901677095</v>
      </c>
      <c r="L101" s="27" t="n">
        <f aca="false">L96/L100*1000000</f>
        <v>11883.2672734413</v>
      </c>
      <c r="M101" s="27" t="n">
        <f aca="false">M96/M100*1000000</f>
        <v>13292.0093811129</v>
      </c>
      <c r="N101" s="27" t="n">
        <f aca="false">N96/N100*1000000</f>
        <v>14651.6841367793</v>
      </c>
      <c r="O101" s="27" t="n">
        <f aca="false">O96/O100*1000000</f>
        <v>15786.2669614826</v>
      </c>
      <c r="P101" s="27" t="n">
        <f aca="false">P96/P100*1000000</f>
        <v>16750.1602430234</v>
      </c>
      <c r="Q101" s="27" t="n">
        <f aca="false">Q96/Q100*1000000</f>
        <v>17652.4792777866</v>
      </c>
      <c r="R101" s="27" t="n">
        <f aca="false">R96/R100*1000000</f>
        <v>18249.8117907374</v>
      </c>
      <c r="S101" s="76" t="s">
        <v>64</v>
      </c>
      <c r="T101" s="13"/>
      <c r="U101" s="36"/>
    </row>
    <row r="102" customFormat="false" ht="12.65" hidden="false" customHeight="false" outlineLevel="0" collapsed="false">
      <c r="A102" s="23" t="s">
        <v>7</v>
      </c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13"/>
      <c r="U102" s="36"/>
    </row>
    <row r="103" customFormat="false" ht="11.25" hidden="false" customHeight="false" outlineLevel="0" collapsed="false">
      <c r="A103" s="63"/>
      <c r="B103" s="41"/>
      <c r="C103" s="41"/>
      <c r="D103" s="41"/>
      <c r="E103" s="47"/>
      <c r="F103" s="47"/>
      <c r="G103" s="84"/>
      <c r="H103" s="84"/>
      <c r="I103" s="43"/>
      <c r="J103" s="158" t="s">
        <v>65</v>
      </c>
      <c r="K103" s="137" t="n">
        <f aca="false">(((K105/J98)-1)/5)*100</f>
        <v>1.79878930614897</v>
      </c>
      <c r="L103" s="137" t="n">
        <f aca="false">(((L105/K105)-1)/5)*100</f>
        <v>1.92408202551304</v>
      </c>
      <c r="M103" s="137" t="n">
        <f aca="false">(((M105/L105)-1)/5)*100</f>
        <v>1.94612589467347</v>
      </c>
      <c r="N103" s="137" t="n">
        <f aca="false">(((N105/M105)-1)/5)*100</f>
        <v>1.8759611768317</v>
      </c>
      <c r="O103" s="137" t="n">
        <f aca="false">(((O105/N105)-1)/5)*100</f>
        <v>1.576729925599</v>
      </c>
      <c r="P103" s="137" t="n">
        <f aca="false">(((P105/O105)-1)/5)*100</f>
        <v>1.30741747740129</v>
      </c>
      <c r="Q103" s="137" t="n">
        <f aca="false">(((Q105/P105)-1)/5)*100</f>
        <v>1.05022375967956</v>
      </c>
      <c r="R103" s="137" t="n">
        <f aca="false">(((R105/Q105)-1)/5)*100</f>
        <v>0.713728346010059</v>
      </c>
      <c r="S103" s="76" t="s">
        <v>60</v>
      </c>
      <c r="T103" s="13"/>
    </row>
    <row r="104" customFormat="false" ht="11.25" hidden="false" customHeight="false" outlineLevel="0" collapsed="false">
      <c r="A104" s="63"/>
      <c r="B104" s="41"/>
      <c r="C104" s="41"/>
      <c r="D104" s="41"/>
      <c r="E104" s="47"/>
      <c r="F104" s="47"/>
      <c r="G104" s="47"/>
      <c r="H104" s="84"/>
      <c r="I104" s="84"/>
      <c r="J104" s="85" t="str">
        <f aca="false">CONCATENATE(A96,", Your forecast")</f>
        <v> PIB SumWorld, sua previsão</v>
      </c>
      <c r="K104" s="84" t="n">
        <f aca="false"> EUA!K104+ China!K104+ OCDE!K104+ BRISE!K104+ LINHA!K104</f>
        <v>77.3109103321649</v>
      </c>
      <c r="L104" s="84" t="n">
        <f aca="false"> EUA!L104+ China!L104+ OCDE!L104+ BRISE!L104+ LINHA!L104</f>
        <v>86.9842895795956</v>
      </c>
      <c r="M104" s="84" t="n">
        <f aca="false"> EUA!M104+ China!M104+ OCDE!M104+ BRISE!M104+ LINHA!M104</f>
        <v>99.5612893718604</v>
      </c>
      <c r="N104" s="84" t="n">
        <f aca="false"> EUA!N104+ China!N104+ OCDE!N104+ BRISE!N104+ LINHA!N104</f>
        <v>111.461032754033</v>
      </c>
      <c r="O104" s="84" t="n">
        <f aca="false"> EUA!O104+ China!O104+ OCDE!O104+ BRISE!O104+ LINHA!O104</f>
        <v>121.134261342782</v>
      </c>
      <c r="P104" s="84" t="n">
        <f aca="false"> EUA!P104+ China!P104+ OCDE!P104+ BRISE!P104+ LINHA!P104</f>
        <v>128.702198915714</v>
      </c>
      <c r="Q104" s="84" t="n">
        <f aca="false"> EUA!Q104+ China!Q104+ OCDE!Q104+ BRISE!Q104+ LINHA!Q104</f>
        <v>134.797042025232</v>
      </c>
      <c r="R104" s="84" t="n">
        <f aca="false"> EUA!R104+ China!R104+ OCDE!R104+ BRISE!R104+ LINHA!R104</f>
        <v>137.512808368037</v>
      </c>
      <c r="S104" s="76" t="str">
        <f aca="false">S96</f>
        <v> T$ / ano</v>
      </c>
      <c r="T104" s="13"/>
    </row>
    <row r="105" customFormat="false" ht="11.25" hidden="false" customHeight="false" outlineLevel="0" collapsed="false">
      <c r="A105" s="63"/>
      <c r="B105" s="41"/>
      <c r="C105" s="41"/>
      <c r="D105" s="41"/>
      <c r="E105" s="47"/>
      <c r="F105" s="47"/>
      <c r="G105" s="84"/>
      <c r="H105" s="84"/>
      <c r="I105" s="84"/>
      <c r="J105" s="85" t="str">
        <f aca="false">CONCATENATE(A98,", Your forecast")</f>
        <v> Produtividade do trabalho, sua previsão</v>
      </c>
      <c r="K105" s="84" t="n">
        <f aca="false">K104/K61*1000000</f>
        <v>16091.6937339669</v>
      </c>
      <c r="L105" s="84" t="n">
        <f aca="false">L104/L61*1000000</f>
        <v>17639.7806676462</v>
      </c>
      <c r="M105" s="84" t="n">
        <f aca="false">M104/M61*1000000</f>
        <v>19356.2423643295</v>
      </c>
      <c r="N105" s="84" t="n">
        <f aca="false">N104/N61*1000000</f>
        <v>21171.8203245709</v>
      </c>
      <c r="O105" s="84" t="n">
        <f aca="false">O104/O61*1000000</f>
        <v>22840.9324588287</v>
      </c>
      <c r="P105" s="84" t="n">
        <f aca="false">P104/P61*1000000</f>
        <v>24334.0641736694</v>
      </c>
      <c r="Q105" s="84" t="n">
        <f aca="false">Q104/Q61*1000000</f>
        <v>25611.8747919072</v>
      </c>
      <c r="R105" s="84" t="n">
        <f aca="false">R104/R61*1000000</f>
        <v>26525.8708435794</v>
      </c>
      <c r="S105" s="76" t="s">
        <v>57</v>
      </c>
      <c r="T105" s="13"/>
      <c r="X105" s="15" t="s">
        <v>33</v>
      </c>
    </row>
    <row r="106" customFormat="false" ht="11.25" hidden="false" customHeight="false" outlineLevel="0" collapsed="false">
      <c r="A106" s="63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S106" s="41"/>
      <c r="T106" s="13"/>
      <c r="V106" s="3" t="s">
        <v>35</v>
      </c>
      <c r="AA106" s="52" t="s">
        <v>36</v>
      </c>
    </row>
    <row r="107" customFormat="false" ht="28.3" hidden="false" customHeight="false" outlineLevel="0" collapsed="false">
      <c r="T107" s="13"/>
      <c r="U107" s="53" t="s">
        <v>37</v>
      </c>
      <c r="V107" s="54" t="s">
        <v>38</v>
      </c>
      <c r="W107" s="54" t="s">
        <v>39</v>
      </c>
      <c r="X107" s="55"/>
      <c r="Y107" s="55"/>
      <c r="AA107" s="16"/>
      <c r="AB107" s="24" t="n">
        <v>1970</v>
      </c>
      <c r="AC107" s="24" t="n">
        <v>1975</v>
      </c>
      <c r="AD107" s="24" t="n">
        <v>1980</v>
      </c>
      <c r="AE107" s="24" t="n">
        <v>1985</v>
      </c>
      <c r="AF107" s="24" t="n">
        <v>1990</v>
      </c>
      <c r="AG107" s="24" t="n">
        <v>1995</v>
      </c>
      <c r="AH107" s="24" t="n">
        <v>2000</v>
      </c>
      <c r="AI107" s="24" t="n">
        <v>2005</v>
      </c>
      <c r="AJ107" s="24" t="n">
        <v>2010</v>
      </c>
      <c r="AK107" s="24" t="n">
        <v>2015</v>
      </c>
      <c r="AL107" s="24" t="n">
        <v>2020</v>
      </c>
      <c r="AM107" s="24" t="n">
        <v>2025</v>
      </c>
      <c r="AN107" s="24" t="n">
        <v>2030</v>
      </c>
      <c r="AO107" s="24" t="n">
        <v>2035</v>
      </c>
      <c r="AP107" s="24" t="n">
        <v>2040</v>
      </c>
      <c r="AQ107" s="24" t="n">
        <v>2045</v>
      </c>
      <c r="AR107" s="24" t="n">
        <v>2050</v>
      </c>
    </row>
    <row r="108" customFormat="false" ht="11.25" hidden="false" customHeight="false" outlineLevel="0" collapsed="false">
      <c r="T108" s="13"/>
      <c r="U108" s="15" t="str">
        <f aca="false">AA108</f>
        <v> PIB SumWorld (0 - 50 T$ / ano)</v>
      </c>
      <c r="V108" s="25" t="n">
        <v>50</v>
      </c>
      <c r="W108" s="70" t="n">
        <v>50</v>
      </c>
      <c r="AA108" s="29" t="str">
        <f aca="false">CONCATENATE(A96," (0 - ",W108," T$ / yr)")</f>
        <v> PIB SumWorld (0 - 50 T$ / ano)</v>
      </c>
      <c r="AB108" s="57" t="n">
        <f aca="false">B96/$W108</f>
        <v>0.332469980386206</v>
      </c>
      <c r="AC108" s="57" t="n">
        <f aca="false">C96/$W108</f>
        <v>0.404742049198096</v>
      </c>
      <c r="AD108" s="57" t="n">
        <f aca="false">D96/$W108</f>
        <v>0.489079742291937</v>
      </c>
      <c r="AE108" s="57" t="n">
        <f aca="false">E96/$W108</f>
        <v>0.560556226356321</v>
      </c>
      <c r="AF108" s="57" t="n">
        <f aca="false">F96/$W108</f>
        <v>0.72457234461491</v>
      </c>
      <c r="AG108" s="57" t="n">
        <f aca="false">G96/$W108</f>
        <v>0.830121863994727</v>
      </c>
      <c r="AH108" s="57" t="n">
        <f aca="false">H96/$W108</f>
        <v>0.978480077932823</v>
      </c>
      <c r="AI108" s="57" t="n">
        <f aca="false">I96/$W108</f>
        <v>1.18703330881094</v>
      </c>
      <c r="AJ108" s="57" t="n">
        <f aca="false">J96/$W108</f>
        <v>1.33608333820182</v>
      </c>
      <c r="AK108" s="57" t="n">
        <f aca="false">K96/$W108</f>
        <v>1.5462339005152</v>
      </c>
      <c r="AL108" s="57" t="n">
        <f aca="false">L96/$W108</f>
        <v>1.78539311861805</v>
      </c>
      <c r="AM108" s="57" t="n">
        <f aca="false">M96/$W108</f>
        <v>2.05615792474599</v>
      </c>
      <c r="AN108" s="57" t="n">
        <f aca="false">N96/$W108</f>
        <v>2.31637395114406</v>
      </c>
      <c r="AO108" s="57" t="n">
        <f aca="false">O96/$W108</f>
        <v>2.5315051406235</v>
      </c>
      <c r="AP108" s="57" t="n">
        <f aca="false">P96/$W108</f>
        <v>2.70274825740645</v>
      </c>
      <c r="AQ108" s="57" t="n">
        <f aca="false">Q96/$W108</f>
        <v>2.84195624374585</v>
      </c>
      <c r="AR108" s="57" t="n">
        <f aca="false">R96/$W108</f>
        <v>2.90742897674255</v>
      </c>
    </row>
    <row r="109" customFormat="false" ht="11.25" hidden="false" customHeight="false" outlineLevel="0" collapsed="false">
      <c r="T109" s="13"/>
      <c r="U109" s="15" t="str">
        <f aca="false">AA109</f>
        <v> Produtividade do trabalho (0 - 30000 $ / pessoa-ano)</v>
      </c>
      <c r="V109" s="25" t="n">
        <v>30000</v>
      </c>
      <c r="W109" s="70" t="n">
        <f aca="false">W112</f>
        <v>30000</v>
      </c>
      <c r="AA109" s="29" t="str">
        <f aca="false">CONCATENATE(A98," (0 - ",W109," $ / person-yr)")</f>
        <v> Produtividade do trabalho (0 - 30000 $ / pessoa-ano)</v>
      </c>
      <c r="AB109" s="57" t="n">
        <f aca="false">B98/$W109</f>
        <v>0.262095879295869</v>
      </c>
      <c r="AC109" s="57" t="n">
        <f aca="false">C98/$W109</f>
        <v>0.287301728769139</v>
      </c>
      <c r="AD109" s="57" t="n">
        <f aca="false">D98/$W109</f>
        <v>0.311681148079621</v>
      </c>
      <c r="AE109" s="57" t="n">
        <f aca="false">E98/$W109</f>
        <v>0.319179664706197</v>
      </c>
      <c r="AF109" s="57" t="n">
        <f aca="false">F98/$W109</f>
        <v>0.37270370840229</v>
      </c>
      <c r="AG109" s="57" t="n">
        <f aca="false">G98/$W109</f>
        <v>0.391802632872046</v>
      </c>
      <c r="AH109" s="57" t="n">
        <f aca="false">H98/$W109</f>
        <v>0.423384285877749</v>
      </c>
      <c r="AI109" s="57" t="n">
        <f aca="false">I98/$W109</f>
        <v>0.471380621721145</v>
      </c>
      <c r="AJ109" s="57" t="n">
        <f aca="false">J98/$W109</f>
        <v>0.492128056837472</v>
      </c>
      <c r="AK109" s="57" t="n">
        <f aca="false">K98/$W109</f>
        <v>0.536393858022572</v>
      </c>
      <c r="AL109" s="57" t="n">
        <f aca="false">L98/$W109</f>
        <v>0.591372386645099</v>
      </c>
      <c r="AM109" s="57" t="n">
        <f aca="false">M98/$W109</f>
        <v>0.652922796838373</v>
      </c>
      <c r="AN109" s="57" t="n">
        <f aca="false">N98/$W109</f>
        <v>0.718651993566136</v>
      </c>
      <c r="AO109" s="57" t="n">
        <f aca="false">O98/$W109</f>
        <v>0.779651418039438</v>
      </c>
      <c r="AP109" s="57" t="n">
        <f aca="false">P98/$W109</f>
        <v>0.834659043554132</v>
      </c>
      <c r="AQ109" s="57" t="n">
        <f aca="false">Q98/$W109</f>
        <v>0.881968796169468</v>
      </c>
      <c r="AR109" s="57" t="n">
        <f aca="false">R98/$W109</f>
        <v>0.916031564749395</v>
      </c>
    </row>
    <row r="110" customFormat="false" ht="11.25" hidden="false" customHeight="false" outlineLevel="0" collapsed="false">
      <c r="T110" s="13"/>
      <c r="U110" s="15" t="str">
        <f aca="false">AA110</f>
        <v> PIB per capita (0 - 50.000 $ / pessoa-ano)</v>
      </c>
      <c r="V110" s="25" t="n">
        <v>50000</v>
      </c>
      <c r="W110" s="70" t="n">
        <v>50000</v>
      </c>
      <c r="AA110" s="29" t="str">
        <f aca="false">CONCATENATE(A101," (0 - ",W110," $ / person-yr)")</f>
        <v> PIB per capita (0 - 50.000 $ / pessoa-ano)</v>
      </c>
      <c r="AB110" s="57" t="n">
        <f aca="false">B101/$W110</f>
        <v>0.0899494648975106</v>
      </c>
      <c r="AC110" s="57" t="n">
        <f aca="false">C101/$W110</f>
        <v>0.0992886228440577</v>
      </c>
      <c r="AD110" s="57" t="n">
        <f aca="false">D101/$W110</f>
        <v>0.109831331905061</v>
      </c>
      <c r="AE110" s="57" t="n">
        <f aca="false">E101/$W110</f>
        <v>0.115262761186028</v>
      </c>
      <c r="AF110" s="57" t="n">
        <f aca="false">F101/$W110</f>
        <v>0.136546229068872</v>
      </c>
      <c r="AG110" s="57" t="n">
        <f aca="false">G101/$W110</f>
        <v>0.144968070373902</v>
      </c>
      <c r="AH110" s="57" t="n">
        <f aca="false">H101/$W110</f>
        <v>0.159810027614073</v>
      </c>
      <c r="AI110" s="57" t="n">
        <f aca="false">I101/$W110</f>
        <v>0.182433888301799</v>
      </c>
      <c r="AJ110" s="57" t="n">
        <f aca="false">J101/$W110</f>
        <v>0.193750702007284</v>
      </c>
      <c r="AK110" s="57" t="n">
        <f aca="false">K101/$W110</f>
        <v>0.21378780335419</v>
      </c>
      <c r="AL110" s="57" t="n">
        <f aca="false">L101/$W110</f>
        <v>0.237665345468827</v>
      </c>
      <c r="AM110" s="57" t="n">
        <f aca="false">M101/$W110</f>
        <v>0.265840187622259</v>
      </c>
      <c r="AN110" s="57" t="n">
        <f aca="false">N101/$W110</f>
        <v>0.293033682735586</v>
      </c>
      <c r="AO110" s="57" t="n">
        <f aca="false">O101/$W110</f>
        <v>0.315725339229652</v>
      </c>
      <c r="AP110" s="57" t="n">
        <f aca="false">P101/$W110</f>
        <v>0.335003204860467</v>
      </c>
      <c r="AQ110" s="57" t="n">
        <f aca="false">Q101/$W110</f>
        <v>0.353049585555732</v>
      </c>
      <c r="AR110" s="57" t="n">
        <f aca="false">R101/$W110</f>
        <v>0.364996235814747</v>
      </c>
    </row>
    <row r="111" customFormat="false" ht="11.25" hidden="false" customHeight="false" outlineLevel="0" collapsed="false">
      <c r="T111" s="13"/>
      <c r="U111" s="15" t="str">
        <f aca="false">AA111</f>
        <v> Crescimento da produtividade (0 - 4 % / ano)</v>
      </c>
      <c r="V111" s="86" t="n">
        <v>4</v>
      </c>
      <c r="W111" s="70" t="n">
        <f aca="false">W113</f>
        <v>4</v>
      </c>
      <c r="AA111" s="29" t="str">
        <f aca="false">CONCATENATE(A99," (0 - ",W111," % / yr)")</f>
        <v> Crescimento da produtividade (0 - 4 % / ano)</v>
      </c>
      <c r="AB111" s="57"/>
      <c r="AC111" s="57" t="n">
        <f aca="false">C99/$W111</f>
        <v>0.480851693299922</v>
      </c>
      <c r="AD111" s="57" t="n">
        <f aca="false">D99/$W111</f>
        <v>0.424282502839947</v>
      </c>
      <c r="AE111" s="57" t="n">
        <f aca="false">E99/$W111</f>
        <v>0.120291468906231</v>
      </c>
      <c r="AF111" s="57" t="n">
        <f aca="false">F99/$W111</f>
        <v>0.83846262175508</v>
      </c>
      <c r="AG111" s="57" t="n">
        <f aca="false">G99/$W111</f>
        <v>0.256221283008278</v>
      </c>
      <c r="AH111" s="57" t="n">
        <f aca="false">H99/$W111</f>
        <v>0.403030127365394</v>
      </c>
      <c r="AI111" s="57" t="n">
        <f aca="false">I99/$W111</f>
        <v>0.566817634054264</v>
      </c>
      <c r="AJ111" s="57" t="n">
        <f aca="false">J99/$W111</f>
        <v>0.220070938009422</v>
      </c>
      <c r="AK111" s="57" t="n">
        <f aca="false">K99/$W111</f>
        <v>0.449738645969113</v>
      </c>
      <c r="AL111" s="57" t="n">
        <f aca="false">L99/$W111</f>
        <v>0.51248283141428</v>
      </c>
      <c r="AM111" s="57" t="n">
        <f aca="false">M99/$W111</f>
        <v>0.520403146843342</v>
      </c>
      <c r="AN111" s="57" t="n">
        <f aca="false">N99/$W111</f>
        <v>0.503345855329617</v>
      </c>
      <c r="AO111" s="57" t="n">
        <f aca="false">O99/$W111</f>
        <v>0.424401692470146</v>
      </c>
      <c r="AP111" s="57" t="n">
        <f aca="false">P99/$W111</f>
        <v>0.352770637248496</v>
      </c>
      <c r="AQ111" s="57" t="n">
        <f aca="false">Q99/$W111</f>
        <v>0.283407655980598</v>
      </c>
      <c r="AR111" s="57" t="n">
        <f aca="false">R99/$W111</f>
        <v>0.193106426938611</v>
      </c>
    </row>
    <row r="112" customFormat="false" ht="11.25" hidden="false" customHeight="false" outlineLevel="0" collapsed="false">
      <c r="T112" s="13"/>
      <c r="U112" s="37" t="str">
        <f aca="false">AA112</f>
        <v> Produtividade do trabalho (0 - 30.000 $/pessoa-ano) Sua previsão</v>
      </c>
      <c r="W112" s="4" t="n">
        <v>30000</v>
      </c>
      <c r="AA112" s="29" t="str">
        <f aca="false">CONCATENATE(A98," (0 - ",W112," $ / person-yr) Your forecast")</f>
        <v> Produtividade do trabalho (0 - 30.000 $/pessoa-ano) Sua previsão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57" t="n">
        <f aca="false">K105/$W112</f>
        <v>0.536389791132228</v>
      </c>
      <c r="AL112" s="57" t="n">
        <f aca="false">L105/$W112</f>
        <v>0.587992688921539</v>
      </c>
      <c r="AM112" s="57" t="n">
        <f aca="false">M105/$W112</f>
        <v>0.645208078810984</v>
      </c>
      <c r="AN112" s="57" t="n">
        <f aca="false">N105/$W112</f>
        <v>0.705727344152362</v>
      </c>
      <c r="AO112" s="57" t="n">
        <f aca="false">O105/$W112</f>
        <v>0.761364415294289</v>
      </c>
      <c r="AP112" s="57" t="n">
        <f aca="false">P105/$W112</f>
        <v>0.811135472455647</v>
      </c>
      <c r="AQ112" s="57" t="n">
        <f aca="false">Q105/$W112</f>
        <v>0.853729159730239</v>
      </c>
      <c r="AR112" s="57" t="n">
        <f aca="false">R105/$W112</f>
        <v>0.88419569478598</v>
      </c>
    </row>
    <row r="113" customFormat="false" ht="11.25" hidden="false" customHeight="false" outlineLevel="0" collapsed="false">
      <c r="T113" s="13"/>
      <c r="U113" s="37" t="str">
        <f aca="false">AA113</f>
        <v> Crescimento da produtividade (0 - 4% ao ano) Sua previsão</v>
      </c>
      <c r="W113" s="87" t="n">
        <v>4</v>
      </c>
      <c r="AA113" s="29" t="str">
        <f aca="false">CONCATENATE(A99," (0 - ",W113," % / yr) Your forecast")</f>
        <v> Crescimento da produtividade (0 - 4% ao ano) Sua previsão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57" t="n">
        <f aca="false">K103/$W113</f>
        <v>0.449697326537242</v>
      </c>
      <c r="AL113" s="57" t="n">
        <f aca="false">L103/$W113</f>
        <v>0.481020506378259</v>
      </c>
      <c r="AM113" s="57" t="n">
        <f aca="false">M103/$W113</f>
        <v>0.486531473668368</v>
      </c>
      <c r="AN113" s="57" t="n">
        <f aca="false">N103/$W113</f>
        <v>0.468990294207925</v>
      </c>
      <c r="AO113" s="57" t="n">
        <f aca="false">O103/$W113</f>
        <v>0.39418248139975</v>
      </c>
      <c r="AP113" s="57" t="n">
        <f aca="false">P103/$W113</f>
        <v>0.326854369350323</v>
      </c>
      <c r="AQ113" s="57" t="n">
        <f aca="false">Q103/$W113</f>
        <v>0.262555939919891</v>
      </c>
      <c r="AR113" s="57" t="n">
        <f aca="false">R103/$W113</f>
        <v>0.178432086502515</v>
      </c>
    </row>
    <row r="114" customFormat="false" ht="11.25" hidden="false" customHeight="false" outlineLevel="0" collapsed="false">
      <c r="T114" s="13"/>
    </row>
    <row r="115" customFormat="false" ht="11.25" hidden="false" customHeight="false" outlineLevel="0" collapsed="false">
      <c r="T115" s="13"/>
    </row>
    <row r="116" customFormat="false" ht="11.25" hidden="false" customHeight="false" outlineLevel="0" collapsed="false">
      <c r="T116" s="13"/>
    </row>
    <row r="117" customFormat="false" ht="11.25" hidden="false" customHeight="false" outlineLevel="0" collapsed="false">
      <c r="T117" s="13"/>
    </row>
    <row r="118" customFormat="false" ht="11.25" hidden="false" customHeight="false" outlineLevel="0" collapsed="false">
      <c r="T118" s="13"/>
    </row>
    <row r="119" customFormat="false" ht="11.25" hidden="false" customHeight="false" outlineLevel="0" collapsed="false">
      <c r="T119" s="13"/>
    </row>
    <row r="120" customFormat="false" ht="11.25" hidden="false" customHeight="false" outlineLevel="0" collapsed="false">
      <c r="T120" s="13"/>
    </row>
    <row r="121" customFormat="false" ht="11.25" hidden="false" customHeight="false" outlineLevel="0" collapsed="false">
      <c r="T121" s="13"/>
    </row>
    <row r="122" customFormat="false" ht="11.25" hidden="false" customHeight="false" outlineLevel="0" collapsed="false">
      <c r="T122" s="13"/>
    </row>
    <row r="123" customFormat="false" ht="11.25" hidden="false" customHeight="false" outlineLevel="0" collapsed="false">
      <c r="T123" s="13"/>
    </row>
    <row r="124" customFormat="false" ht="11.25" hidden="false" customHeight="false" outlineLevel="0" collapsed="false">
      <c r="T124" s="13"/>
    </row>
    <row r="125" customFormat="false" ht="11.25" hidden="false" customHeight="false" outlineLevel="0" collapsed="false">
      <c r="T125" s="13"/>
    </row>
    <row r="126" customFormat="false" ht="11.25" hidden="false" customHeight="false" outlineLevel="0" collapsed="false">
      <c r="T126" s="13"/>
    </row>
    <row r="127" s="35" customFormat="true" ht="13.8" hidden="false" customHeight="false" outlineLevel="0" collapsed="false">
      <c r="A127" s="73"/>
      <c r="T127" s="13"/>
    </row>
    <row r="128" s="35" customFormat="true" ht="13.8" hidden="false" customHeight="false" outlineLevel="0" collapsed="false">
      <c r="A128" s="73"/>
      <c r="T128" s="13"/>
    </row>
    <row r="129" s="35" customFormat="true" ht="13.8" hidden="false" customHeight="false" outlineLevel="0" collapsed="false">
      <c r="A129" s="73"/>
      <c r="T129" s="13"/>
    </row>
    <row r="130" s="35" customFormat="true" ht="13.8" hidden="false" customHeight="false" outlineLevel="0" collapsed="false">
      <c r="A130" s="73"/>
      <c r="T130" s="13"/>
    </row>
    <row r="131" customFormat="false" ht="12.65" hidden="false" customHeight="false" outlineLevel="0" collapsed="false">
      <c r="A131" s="61" t="s">
        <v>66</v>
      </c>
      <c r="T131" s="13"/>
    </row>
    <row r="132" customFormat="false" ht="12.65" hidden="false" customHeight="false" outlineLevel="0" collapsed="false">
      <c r="A132" s="23" t="str">
        <f aca="false">CONCATENATE(A131,". Production (GDP) and Consumption - ",A5," 1970 to 2050")</f>
        <v> Gráfico 4. Produção (PIB) e Consumo - SumWorld 1970 a 2050</v>
      </c>
      <c r="T132" s="13"/>
    </row>
    <row r="133" customFormat="false" ht="11.25" hidden="false" customHeight="false" outlineLevel="0" collapsed="false">
      <c r="B133" s="24" t="n">
        <v>1970</v>
      </c>
      <c r="C133" s="24" t="n">
        <v>1975</v>
      </c>
      <c r="D133" s="24" t="n">
        <v>1980</v>
      </c>
      <c r="E133" s="24" t="n">
        <v>1985</v>
      </c>
      <c r="F133" s="24" t="n">
        <v>1990</v>
      </c>
      <c r="G133" s="24" t="n">
        <v>1995</v>
      </c>
      <c r="H133" s="24" t="n">
        <v>2000</v>
      </c>
      <c r="I133" s="24" t="n">
        <v>2005</v>
      </c>
      <c r="J133" s="24" t="n">
        <v>2010</v>
      </c>
      <c r="K133" s="24" t="n">
        <v>2015</v>
      </c>
      <c r="L133" s="24" t="n">
        <v>2020</v>
      </c>
      <c r="M133" s="24" t="n">
        <v>2025</v>
      </c>
      <c r="N133" s="24" t="n">
        <v>2030</v>
      </c>
      <c r="O133" s="24" t="n">
        <v>2035</v>
      </c>
      <c r="P133" s="24" t="n">
        <v>2040</v>
      </c>
      <c r="Q133" s="24" t="n">
        <v>2045</v>
      </c>
      <c r="R133" s="24" t="n">
        <v>2050</v>
      </c>
      <c r="S133" s="25" t="s">
        <v>15</v>
      </c>
      <c r="T133" s="13"/>
      <c r="AA133" s="52" t="s">
        <v>36</v>
      </c>
    </row>
    <row r="134" customFormat="false" ht="11.25" hidden="false" customHeight="false" outlineLevel="0" collapsed="false">
      <c r="A134" s="11" t="str">
        <f aca="false">A96</f>
        <v>PIB SumWorld</v>
      </c>
      <c r="B134" s="31" t="n">
        <f aca="false">B96</f>
        <v>16.6234990193103</v>
      </c>
      <c r="C134" s="31" t="n">
        <f aca="false">C96</f>
        <v>20.2371024599048</v>
      </c>
      <c r="D134" s="31" t="n">
        <f aca="false">D96</f>
        <v>24.4539871145969</v>
      </c>
      <c r="E134" s="31" t="n">
        <f aca="false">E96</f>
        <v>28.027811317816</v>
      </c>
      <c r="F134" s="31" t="n">
        <f aca="false">F96</f>
        <v>36.2286172307455</v>
      </c>
      <c r="G134" s="31" t="n">
        <f aca="false">G96</f>
        <v>41.5060931997364</v>
      </c>
      <c r="H134" s="31" t="n">
        <f aca="false">H96</f>
        <v>48.9240038966411</v>
      </c>
      <c r="I134" s="31" t="n">
        <f aca="false">I96</f>
        <v>59.3516654405472</v>
      </c>
      <c r="J134" s="31" t="n">
        <f aca="false">J96</f>
        <v>66.804166910091</v>
      </c>
      <c r="K134" s="31" t="n">
        <f aca="false">K96</f>
        <v>77.31169502576</v>
      </c>
      <c r="L134" s="31" t="n">
        <f aca="false">L96</f>
        <v>89.2696559309027</v>
      </c>
      <c r="M134" s="31" t="n">
        <f aca="false">M96</f>
        <v>102.8078962373</v>
      </c>
      <c r="N134" s="31" t="n">
        <f aca="false">N96</f>
        <v>115.818697557203</v>
      </c>
      <c r="O134" s="31" t="n">
        <f aca="false">O96</f>
        <v>126.575257031175</v>
      </c>
      <c r="P134" s="31" t="n">
        <f aca="false">P96</f>
        <v>135.137412870323</v>
      </c>
      <c r="Q134" s="31" t="n">
        <f aca="false">Q96</f>
        <v>142.097812187292</v>
      </c>
      <c r="R134" s="31" t="n">
        <f aca="false">R96</f>
        <v>145.371448837128</v>
      </c>
      <c r="S134" s="28" t="s">
        <v>53</v>
      </c>
      <c r="T134" s="13"/>
      <c r="U134" s="3" t="s">
        <v>54</v>
      </c>
      <c r="AA134" s="52"/>
      <c r="AB134" s="24" t="n">
        <v>1970</v>
      </c>
      <c r="AC134" s="24" t="n">
        <v>1975</v>
      </c>
      <c r="AD134" s="24" t="n">
        <v>1980</v>
      </c>
      <c r="AE134" s="24" t="n">
        <v>1985</v>
      </c>
      <c r="AF134" s="24" t="n">
        <v>1990</v>
      </c>
      <c r="AG134" s="24" t="n">
        <v>1995</v>
      </c>
      <c r="AH134" s="24" t="n">
        <v>2000</v>
      </c>
      <c r="AI134" s="24" t="n">
        <v>2005</v>
      </c>
      <c r="AJ134" s="24" t="n">
        <v>2010</v>
      </c>
      <c r="AK134" s="24" t="n">
        <v>2015</v>
      </c>
      <c r="AL134" s="24" t="n">
        <v>2020</v>
      </c>
      <c r="AM134" s="24" t="n">
        <v>2025</v>
      </c>
      <c r="AN134" s="24" t="n">
        <v>2030</v>
      </c>
      <c r="AO134" s="24" t="n">
        <v>2035</v>
      </c>
      <c r="AP134" s="24" t="n">
        <v>2040</v>
      </c>
      <c r="AQ134" s="24" t="n">
        <v>2045</v>
      </c>
      <c r="AR134" s="24" t="n">
        <v>2050</v>
      </c>
    </row>
    <row r="135" customFormat="false" ht="11.25" hidden="false" customHeight="false" outlineLevel="0" collapsed="false">
      <c r="A135" s="11" t="s">
        <v>67</v>
      </c>
      <c r="B135" s="31" t="n">
        <f aca="false"> EUA!B135+ China!B135+ OCDE!B135+ BRISE!B135+ LINHA!B135</f>
        <v>3.80128112775163</v>
      </c>
      <c r="C135" s="31" t="n">
        <f aca="false"> EUA!C135+ China!C135+ OCDE!C135+ BRISE!C135+ LINHA!C135</f>
        <v>4.47475459067779</v>
      </c>
      <c r="D135" s="31" t="n">
        <f aca="false"> EUA!D135+ China!D135+ OCDE!D135+ BRISE!D135+ LINHA!D135</f>
        <v>5.61283856894301</v>
      </c>
      <c r="E135" s="31" t="n">
        <f aca="false"> EUA!E135+ China!E135+ OCDE!E135+ BRISE!E135+ LINHA!E135</f>
        <v>6.14075220441345</v>
      </c>
      <c r="F135" s="31" t="n">
        <f aca="false"> EUA!F135+ China!F135+ OCDE!F135+ BRISE!F135+ LINHA!F135</f>
        <v>8.76665151767083</v>
      </c>
      <c r="G135" s="31" t="n">
        <f aca="false"> EUA!G135+ China!G135+ OCDE!G135+ BRISE!G135+ LINHA!G135</f>
        <v>9.87912276984854</v>
      </c>
      <c r="H135" s="31" t="n">
        <f aca="false"> EUA!H135+ China!H135+ OCDE!H135+ BRISE!H135+ LINHA!H135</f>
        <v>11.881183984824</v>
      </c>
      <c r="I135" s="31" t="n">
        <f aca="false"> EUA!I135+ China!I135+ OCDE!I135+ BRISE!I135+ LINHA!I135</f>
        <v>14.7305658573828</v>
      </c>
      <c r="J135" s="31" t="n">
        <f aca="false"> EUA!J135+ China!J135+ OCDE!J135+ BRISE!J135+ LINHA!J135</f>
        <v>15.8601113912554</v>
      </c>
      <c r="K135" s="31" t="n">
        <f aca="false"> EUA!K135+ China!K135+ OCDE!K135+ BRISE!K135+ LINHA!K135</f>
        <v>19.1370330392646</v>
      </c>
      <c r="L135" s="31" t="n">
        <f aca="false"> EUA!L135+ China!L135+ OCDE!L135+ BRISE!L135+ LINHA!L135</f>
        <v>23.94528893941</v>
      </c>
      <c r="M135" s="31" t="n">
        <f aca="false"> EUA!M135+ China!M135+ OCDE!M135+ BRISE!M135+ LINHA!M135</f>
        <v>29.0561991145794</v>
      </c>
      <c r="N135" s="31" t="n">
        <f aca="false"> EUA!N135+ China!N135+ OCDE!N135+ BRISE!N135+ LINHA!N135</f>
        <v>34.1834840543938</v>
      </c>
      <c r="O135" s="31" t="n">
        <f aca="false"> EUA!O135+ China!O135+ OCDE!O135+ BRISE!O135+ LINHA!O135</f>
        <v>38.7758792679484</v>
      </c>
      <c r="P135" s="31" t="n">
        <f aca="false"> EUA!P135+ China!P135+ OCDE!P135+ BRISE!P135+ LINHA!P135</f>
        <v>42.8746528064724</v>
      </c>
      <c r="Q135" s="31" t="n">
        <f aca="false"> EUA!Q135+ China!Q135+ OCDE!Q135+ BRISE!Q135+ LINHA!Q135</f>
        <v>47.4702771799557</v>
      </c>
      <c r="R135" s="31" t="n">
        <f aca="false"> EUA!R135+ China!R135+ OCDE!R135+ BRISE!R135+ LINHA!R135</f>
        <v>51.3872701278286</v>
      </c>
      <c r="S135" s="28" t="s">
        <v>53</v>
      </c>
      <c r="T135" s="13"/>
      <c r="U135" s="3" t="s">
        <v>55</v>
      </c>
      <c r="AA135" s="29" t="str">
        <f aca="false">CONCATENATE(A96," (0 - ",W155," T$ / yr)")</f>
        <v> PIB SumWorld (0 - 150 T$ / ano)</v>
      </c>
      <c r="AB135" s="57" t="n">
        <f aca="false">B134/$W155</f>
        <v>0.110823326795402</v>
      </c>
      <c r="AC135" s="57" t="n">
        <f aca="false">C134/$W155</f>
        <v>0.134914016399365</v>
      </c>
      <c r="AD135" s="57" t="n">
        <f aca="false">D134/$W155</f>
        <v>0.163026580763979</v>
      </c>
      <c r="AE135" s="57" t="n">
        <f aca="false">E134/$W155</f>
        <v>0.186852075452107</v>
      </c>
      <c r="AF135" s="57" t="n">
        <f aca="false">F134/$W155</f>
        <v>0.241524114871637</v>
      </c>
      <c r="AG135" s="57" t="n">
        <f aca="false">G134/$W155</f>
        <v>0.276707287998242</v>
      </c>
      <c r="AH135" s="57" t="n">
        <f aca="false">H134/$W155</f>
        <v>0.326160025977608</v>
      </c>
      <c r="AI135" s="57" t="n">
        <f aca="false">I134/$W155</f>
        <v>0.395677769603648</v>
      </c>
      <c r="AJ135" s="57" t="n">
        <f aca="false">J134/$W155</f>
        <v>0.44536111273394</v>
      </c>
      <c r="AK135" s="57" t="n">
        <f aca="false">K134/$W155</f>
        <v>0.515411300171733</v>
      </c>
      <c r="AL135" s="57" t="n">
        <f aca="false">L134/$W155</f>
        <v>0.595131039539352</v>
      </c>
      <c r="AM135" s="57" t="n">
        <f aca="false">M134/$W155</f>
        <v>0.68538597491533</v>
      </c>
      <c r="AN135" s="57" t="n">
        <f aca="false">N134/$W155</f>
        <v>0.772124650381354</v>
      </c>
      <c r="AO135" s="57" t="n">
        <f aca="false">O134/$W155</f>
        <v>0.843835046874499</v>
      </c>
      <c r="AP135" s="57" t="n">
        <f aca="false">P134/$W155</f>
        <v>0.900916085802151</v>
      </c>
      <c r="AQ135" s="57" t="n">
        <f aca="false">Q134/$W155</f>
        <v>0.947318747915282</v>
      </c>
      <c r="AR135" s="57" t="n">
        <f aca="false">R134/$W155</f>
        <v>0.969142992247518</v>
      </c>
    </row>
    <row r="136" customFormat="false" ht="11.25" hidden="false" customHeight="false" outlineLevel="0" collapsed="false">
      <c r="A136" s="11" t="s">
        <v>68</v>
      </c>
      <c r="B136" s="65" t="n">
        <f aca="false">B134-B135</f>
        <v>12.8222178915587</v>
      </c>
      <c r="C136" s="65" t="n">
        <f aca="false">C134-C135</f>
        <v>15.762347869227</v>
      </c>
      <c r="D136" s="65" t="n">
        <f aca="false">D134-D135</f>
        <v>18.8411485456539</v>
      </c>
      <c r="E136" s="65" t="n">
        <f aca="false">E134-E135</f>
        <v>21.8870591134026</v>
      </c>
      <c r="F136" s="65" t="n">
        <f aca="false">F134-F135</f>
        <v>27.4619657130747</v>
      </c>
      <c r="G136" s="65" t="n">
        <f aca="false">G134-G135</f>
        <v>31.6269704298878</v>
      </c>
      <c r="H136" s="65" t="n">
        <f aca="false">H134-H135</f>
        <v>37.0428199118172</v>
      </c>
      <c r="I136" s="65" t="n">
        <f aca="false">I134-I135</f>
        <v>44.6210995831644</v>
      </c>
      <c r="J136" s="65" t="n">
        <f aca="false">J134-J135</f>
        <v>50.9440555188356</v>
      </c>
      <c r="K136" s="65" t="n">
        <f aca="false">K134-K135</f>
        <v>58.1746619864954</v>
      </c>
      <c r="L136" s="65" t="n">
        <f aca="false">L134-L135</f>
        <v>65.3243669914927</v>
      </c>
      <c r="M136" s="65" t="n">
        <f aca="false">M134-M135</f>
        <v>73.7516971227201</v>
      </c>
      <c r="N136" s="65" t="n">
        <f aca="false">N134-N135</f>
        <v>81.6352135028093</v>
      </c>
      <c r="O136" s="65" t="n">
        <f aca="false">O134-O135</f>
        <v>87.7993777632265</v>
      </c>
      <c r="P136" s="65" t="n">
        <f aca="false">P134-P135</f>
        <v>92.2627600638503</v>
      </c>
      <c r="Q136" s="65" t="n">
        <f aca="false">Q134-Q135</f>
        <v>94.6275350073367</v>
      </c>
      <c r="R136" s="65" t="n">
        <f aca="false">R134-R135</f>
        <v>93.9841787092991</v>
      </c>
      <c r="S136" s="28" t="s">
        <v>53</v>
      </c>
      <c r="T136" s="13"/>
      <c r="AA136" s="29" t="str">
        <f aca="false">CONCATENATE(A137," (0 - ",W156,"% /yr)")</f>
        <v> Percentagem de investimento (0 - 40%/ano)</v>
      </c>
      <c r="AB136" s="57" t="n">
        <f aca="false">B137/$W$156</f>
        <v>0.571672835444565</v>
      </c>
      <c r="AC136" s="57" t="n">
        <f aca="false">C137/$W$156</f>
        <v>0.552790919493477</v>
      </c>
      <c r="AD136" s="57" t="n">
        <f aca="false">D137/$W$156</f>
        <v>0.573816300654776</v>
      </c>
      <c r="AE136" s="57" t="n">
        <f aca="false">E137/$W$156</f>
        <v>0.547737400432517</v>
      </c>
      <c r="AF136" s="57" t="n">
        <f aca="false">F137/$W$156</f>
        <v>0.604953500007654</v>
      </c>
      <c r="AG136" s="57" t="n">
        <f aca="false">G137/$W$156</f>
        <v>0.595040511420098</v>
      </c>
      <c r="AH136" s="57" t="n">
        <f aca="false">H137/$W$156</f>
        <v>0.607124470532126</v>
      </c>
      <c r="AI136" s="57" t="n">
        <f aca="false">I137/$W$156</f>
        <v>0.620478201750653</v>
      </c>
      <c r="AJ136" s="57" t="n">
        <f aca="false">J137/$W$156</f>
        <v>0.593530019339994</v>
      </c>
      <c r="AK136" s="57" t="n">
        <f aca="false">K137/$W$156</f>
        <v>0.618827236710053</v>
      </c>
      <c r="AL136" s="57" t="n">
        <f aca="false">L137/$W$156</f>
        <v>0.670588698077439</v>
      </c>
      <c r="AM136" s="57" t="n">
        <f aca="false">M137/$W$156</f>
        <v>0.706565355824234</v>
      </c>
      <c r="AN136" s="57" t="n">
        <f aca="false">N137/$W$156</f>
        <v>0.737866268041705</v>
      </c>
      <c r="AO136" s="57" t="n">
        <f aca="false">O137/$W$156</f>
        <v>0.765866097716043</v>
      </c>
      <c r="AP136" s="57" t="n">
        <f aca="false">P137/$W$156</f>
        <v>0.793167707887355</v>
      </c>
      <c r="AQ136" s="57" t="n">
        <f aca="false">Q137/$W$156</f>
        <v>0.835169036898811</v>
      </c>
      <c r="AR136" s="57" t="n">
        <f aca="false">R137/$W$156</f>
        <v>0.883723567091263</v>
      </c>
    </row>
    <row r="137" customFormat="false" ht="11.25" hidden="false" customHeight="false" outlineLevel="0" collapsed="false">
      <c r="A137" s="46" t="s">
        <v>69</v>
      </c>
      <c r="B137" s="31" t="n">
        <f aca="false">B135/B134*100</f>
        <v>22.8669134177826</v>
      </c>
      <c r="C137" s="31" t="n">
        <f aca="false">C135/C134*100</f>
        <v>22.1116367797391</v>
      </c>
      <c r="D137" s="31" t="n">
        <f aca="false">D135/D134*100</f>
        <v>22.952652026191</v>
      </c>
      <c r="E137" s="31" t="n">
        <f aca="false">E135/E134*100</f>
        <v>21.9094960173007</v>
      </c>
      <c r="F137" s="31" t="n">
        <f aca="false">F135/F134*100</f>
        <v>24.1981400003061</v>
      </c>
      <c r="G137" s="31" t="n">
        <f aca="false">G135/G134*100</f>
        <v>23.8016204568039</v>
      </c>
      <c r="H137" s="31" t="n">
        <f aca="false">H135/H134*100</f>
        <v>24.284978821285</v>
      </c>
      <c r="I137" s="31" t="n">
        <f aca="false">I135/I134*100</f>
        <v>24.8191280700261</v>
      </c>
      <c r="J137" s="31" t="n">
        <f aca="false">J135/J134*100</f>
        <v>23.7412007735998</v>
      </c>
      <c r="K137" s="31" t="n">
        <f aca="false">K135/K134*100</f>
        <v>24.7530894684021</v>
      </c>
      <c r="L137" s="31" t="n">
        <f aca="false">L135/L134*100</f>
        <v>26.8235479230976</v>
      </c>
      <c r="M137" s="31" t="n">
        <f aca="false">M135/M134*100</f>
        <v>28.2626142329694</v>
      </c>
      <c r="N137" s="31" t="n">
        <f aca="false">N135/N134*100</f>
        <v>29.5146507216682</v>
      </c>
      <c r="O137" s="31" t="n">
        <f aca="false">O135/O134*100</f>
        <v>30.6346439086417</v>
      </c>
      <c r="P137" s="31" t="n">
        <f aca="false">P135/P134*100</f>
        <v>31.7267083154942</v>
      </c>
      <c r="Q137" s="31" t="n">
        <f aca="false">Q135/Q134*100</f>
        <v>33.4067614759525</v>
      </c>
      <c r="R137" s="31" t="n">
        <f aca="false">R135/R134*100</f>
        <v>35.3489426836505</v>
      </c>
      <c r="S137" s="28" t="s">
        <v>25</v>
      </c>
      <c r="T137" s="13"/>
      <c r="AA137" s="29" t="str">
        <f aca="false">CONCATENATE(A136," (0 - ",W157, " T$ / yr)")</f>
        <v> Consumo (0 - 150 T$ / ano)</v>
      </c>
      <c r="AB137" s="57" t="n">
        <f aca="false">B136/$W$157</f>
        <v>0.0854814526103913</v>
      </c>
      <c r="AC137" s="57" t="n">
        <f aca="false">C136/$W$157</f>
        <v>0.10508231912818</v>
      </c>
      <c r="AD137" s="57" t="n">
        <f aca="false">D136/$W$157</f>
        <v>0.125607656971026</v>
      </c>
      <c r="AE137" s="57" t="n">
        <f aca="false">E136/$W$157</f>
        <v>0.145913727422684</v>
      </c>
      <c r="AF137" s="57" t="n">
        <f aca="false">F136/$W$157</f>
        <v>0.183079771420498</v>
      </c>
      <c r="AG137" s="57" t="n">
        <f aca="false">G136/$W$157</f>
        <v>0.210846469532585</v>
      </c>
      <c r="AH137" s="57" t="n">
        <f aca="false">H136/$W$157</f>
        <v>0.246952132745448</v>
      </c>
      <c r="AI137" s="57" t="n">
        <f aca="false">I136/$W$157</f>
        <v>0.297473997221096</v>
      </c>
      <c r="AJ137" s="57" t="n">
        <f aca="false">J136/$W$157</f>
        <v>0.339627036792238</v>
      </c>
      <c r="AK137" s="57" t="n">
        <f aca="false">K136/$W$157</f>
        <v>0.387831079909969</v>
      </c>
      <c r="AL137" s="57" t="n">
        <f aca="false">L136/$W$157</f>
        <v>0.435495779943285</v>
      </c>
      <c r="AM137" s="57" t="n">
        <f aca="false">M136/$W$157</f>
        <v>0.491677980818134</v>
      </c>
      <c r="AN137" s="57" t="n">
        <f aca="false">N136/$W$157</f>
        <v>0.544234756685395</v>
      </c>
      <c r="AO137" s="57" t="n">
        <f aca="false">O136/$W$157</f>
        <v>0.585329185088176</v>
      </c>
      <c r="AP137" s="57" t="n">
        <f aca="false">P136/$W$157</f>
        <v>0.615085067092335</v>
      </c>
      <c r="AQ137" s="57" t="n">
        <f aca="false">Q136/$W$157</f>
        <v>0.630850233382245</v>
      </c>
      <c r="AR137" s="57" t="n">
        <f aca="false">R136/$W$157</f>
        <v>0.626561191395327</v>
      </c>
    </row>
    <row r="138" customFormat="false" ht="11.25" hidden="false" customHeight="false" outlineLevel="0" collapsed="false">
      <c r="A138" s="46"/>
      <c r="B138" s="41"/>
      <c r="C138" s="41"/>
      <c r="D138" s="41"/>
      <c r="E138" s="41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13"/>
      <c r="AA138" s="29" t="str">
        <f aca="false">CONCATENATE("normal + norm change inv."," (0 - ",W156,"% /yr)")</f>
        <v> normal + mudança normal inv. (0 - 40% /ano)</v>
      </c>
      <c r="AB138" s="29"/>
      <c r="AC138" s="29"/>
      <c r="AD138" s="29"/>
      <c r="AE138" s="29"/>
      <c r="AF138" s="29"/>
      <c r="AG138" s="29"/>
      <c r="AH138" s="29"/>
      <c r="AI138" s="29"/>
      <c r="AJ138" s="29"/>
      <c r="AK138" s="48" t="n">
        <f aca="false">(AK141+AK145)/AK$146*100/$W$156</f>
        <v>0.612908469941563</v>
      </c>
      <c r="AL138" s="48" t="n">
        <f aca="false">(AL141+AL145)/AL$146*100/$W$156</f>
        <v>0.622444591625315</v>
      </c>
      <c r="AM138" s="48" t="n">
        <f aca="false">(AM141+AM145)/AM$146*100/$W$156</f>
        <v>0.625816899384414</v>
      </c>
      <c r="AN138" s="48" t="n">
        <f aca="false">(AN141+AN145)/AN$146*100/$W$156</f>
        <v>0.624593777549717</v>
      </c>
      <c r="AO138" s="48" t="n">
        <f aca="false">(AO141+AO145)/AO$146*100/$W$156</f>
        <v>0.620341148725492</v>
      </c>
      <c r="AP138" s="48" t="n">
        <f aca="false">(AP141+AP145)/AP$146*100/$W$156</f>
        <v>0.615720586486639</v>
      </c>
      <c r="AQ138" s="48" t="n">
        <f aca="false">(AQ141+AQ145)/AQ$146*100/$W$156</f>
        <v>0.611925213930987</v>
      </c>
      <c r="AR138" s="48" t="n">
        <f aca="false">(AR141+AR145)/AR$146*100/$W$156</f>
        <v>0.608379439344158</v>
      </c>
    </row>
    <row r="139" customFormat="false" ht="12.65" hidden="false" customHeight="false" outlineLevel="0" collapsed="false">
      <c r="A139" s="23" t="s">
        <v>7</v>
      </c>
      <c r="B139" s="42"/>
      <c r="C139" s="42"/>
      <c r="D139" s="42"/>
      <c r="E139" s="42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13"/>
      <c r="AA139" s="29" t="str">
        <f aca="false">CONCATENATE("normal + voluntary inv."," (0 - ",W156,"% /yr)")</f>
        <v> Inventário normal + voluntário (0 - 40% /ano)</v>
      </c>
      <c r="AB139" s="29"/>
      <c r="AC139" s="29"/>
      <c r="AD139" s="29"/>
      <c r="AE139" s="29"/>
      <c r="AF139" s="29"/>
      <c r="AG139" s="29"/>
      <c r="AH139" s="29"/>
      <c r="AI139" s="29"/>
      <c r="AJ139" s="29"/>
      <c r="AK139" s="48" t="n">
        <f aca="false">(AK141+AK143+AK145)/AK$146*100/$W$156</f>
        <v>0.615077236710053</v>
      </c>
      <c r="AL139" s="48" t="n">
        <f aca="false">(AL141+AL143+AL145)/AL$146*100/$W$156</f>
        <v>0.650588698077439</v>
      </c>
      <c r="AM139" s="48" t="n">
        <f aca="false">(AM141+AM143+AM145)/AM$146*100/$W$156</f>
        <v>0.669065355824234</v>
      </c>
      <c r="AN139" s="48" t="n">
        <f aca="false">(AN141+AN143+AN145)/AN$146*100/$W$156</f>
        <v>0.682866268041705</v>
      </c>
      <c r="AO139" s="48" t="n">
        <f aca="false">(AO141+AO143+AO145)/AO$146*100/$W$156</f>
        <v>0.693366097716043</v>
      </c>
      <c r="AP139" s="48" t="n">
        <f aca="false">(AP141+AP143+AP145)/AP$146*100/$W$156</f>
        <v>0.703167707887355</v>
      </c>
      <c r="AQ139" s="48" t="n">
        <f aca="false">(AQ141+AQ143+AQ145)/AQ$146*100/$W$156</f>
        <v>0.717669036898811</v>
      </c>
      <c r="AR139" s="48" t="n">
        <f aca="false">(AR141+AR143+AR145)/AR$146*100/$W$156</f>
        <v>0.733723567091263</v>
      </c>
    </row>
    <row r="140" customFormat="false" ht="11.25" hidden="false" customHeight="false" outlineLevel="0" collapsed="false">
      <c r="A140" s="46"/>
      <c r="B140" s="41"/>
      <c r="C140" s="41"/>
      <c r="D140" s="41"/>
      <c r="F140" s="8"/>
      <c r="G140" s="8"/>
      <c r="H140" s="8"/>
      <c r="I140" s="8"/>
      <c r="J140" s="37" t="str">
        <f aca="false">CONCATENATE(A134," calculated from Your forecast")</f>
        <v> PIB SumWorld calculado a partir da sua previsão</v>
      </c>
      <c r="K140" s="91" t="n">
        <f aca="false"> EUA!K145+ China!K145+ OCDE!K145+ BRISE!K145+ LINHA!K145</f>
        <v>77.3109103321649</v>
      </c>
      <c r="L140" s="91" t="n">
        <f aca="false"> EUA!L145+ China!L145+ OCDE!L145+ BRISE!L145+ LINHA!L145</f>
        <v>86.9842895795956</v>
      </c>
      <c r="M140" s="91" t="n">
        <f aca="false"> EUA!M145+ China!M145+ OCDE!M145+ BRISE!M145+ LINHA!M145</f>
        <v>99.5612893718604</v>
      </c>
      <c r="N140" s="91" t="n">
        <f aca="false"> EUA!N145+ China!N145+ OCDE!N145+ BRISE!N145+ LINHA!N145</f>
        <v>111.461032754033</v>
      </c>
      <c r="O140" s="91" t="n">
        <f aca="false"> EUA!O145+ China!O145+ OCDE!O145+ BRISE!O145+ LINHA!O145</f>
        <v>121.134261342782</v>
      </c>
      <c r="P140" s="91" t="n">
        <f aca="false"> EUA!P145+ China!P145+ OCDE!P145+ BRISE!P145+ LINHA!P145</f>
        <v>128.702198915714</v>
      </c>
      <c r="Q140" s="91" t="n">
        <f aca="false"> EUA!Q145+ China!Q145+ OCDE!Q145+ BRISE!Q145+ LINHA!Q145</f>
        <v>134.797042025232</v>
      </c>
      <c r="R140" s="91" t="n">
        <f aca="false"> EUA!R145+ China!R145+ OCDE!R145+ BRISE!R145+ LINHA!R145</f>
        <v>137.512808368037</v>
      </c>
      <c r="S140" s="28" t="s">
        <v>53</v>
      </c>
      <c r="T140" s="13"/>
      <c r="AA140" s="29" t="str">
        <f aca="false">CONCATENATE("normal + voluntary + forced inv."," (0 - ",W156,"% /yr)")</f>
        <v> Inventário normal + voluntário + forçado (0 - 40% /ano)</v>
      </c>
      <c r="AB140" s="29"/>
      <c r="AC140" s="29"/>
      <c r="AD140" s="29"/>
      <c r="AE140" s="29"/>
      <c r="AF140" s="29"/>
      <c r="AG140" s="29"/>
      <c r="AH140" s="29"/>
      <c r="AI140" s="29"/>
      <c r="AJ140" s="29"/>
      <c r="AK140" s="48" t="n">
        <f aca="false">(AK141+AK143+AK144+AK145)/AK$146*100/$W$156</f>
        <v>0.618827236710053</v>
      </c>
      <c r="AL140" s="48" t="n">
        <f aca="false">(AL141+AL143+AL144+AL145)/AL$146*100/$W$156</f>
        <v>0.670588698077439</v>
      </c>
      <c r="AM140" s="48" t="n">
        <f aca="false">(AM141+AM143+AM144+AM145)/AM$146*100/$W$156</f>
        <v>0.706565355824234</v>
      </c>
      <c r="AN140" s="48" t="n">
        <f aca="false">(AN141+AN143+AN144+AN145)/AN$146*100/$W$156</f>
        <v>0.737866268041705</v>
      </c>
      <c r="AO140" s="48" t="n">
        <f aca="false">(AO141+AO143+AO144+AO145)/AO$146*100/$W$156</f>
        <v>0.765866097716043</v>
      </c>
      <c r="AP140" s="48" t="n">
        <f aca="false">(AP141+AP143+AP144+AP145)/AP$146*100/$W$156</f>
        <v>0.793167707887355</v>
      </c>
      <c r="AQ140" s="48" t="n">
        <f aca="false">(AQ141+AQ143+AQ144+AQ145)/AQ$146*100/$W$156</f>
        <v>0.835169036898811</v>
      </c>
      <c r="AR140" s="48" t="n">
        <f aca="false">(AR141+AR143+AR144+AR145)/AR$146*100/$W$156</f>
        <v>0.883723567091263</v>
      </c>
    </row>
    <row r="141" customFormat="false" ht="11.25" hidden="false" customHeight="false" outlineLevel="0" collapsed="false">
      <c r="A141" s="46"/>
      <c r="B141" s="42"/>
      <c r="C141" s="42"/>
      <c r="D141" s="42"/>
      <c r="F141" s="8"/>
      <c r="G141" s="8"/>
      <c r="H141" s="8"/>
      <c r="I141" s="8"/>
      <c r="J141" s="37" t="str">
        <f aca="false">CONCATENATE(A135," calculated from Your forecast")</f>
        <v> Investimento calculado a partir da sua previsão.</v>
      </c>
      <c r="K141" s="91" t="n">
        <f aca="false"> EUA!K146+ China!K146+ OCDE!K146+ BRISE!K146+ LINHA!K146</f>
        <v>19.1368866876963</v>
      </c>
      <c r="L141" s="91" t="n">
        <f aca="false"> EUA!L146+ China!L146+ OCDE!L146+ BRISE!L146+ LINHA!L146</f>
        <v>23.2749511541316</v>
      </c>
      <c r="M141" s="91" t="n">
        <f aca="false"> EUA!M146+ China!M146+ OCDE!M146+ BRISE!M146+ LINHA!M146</f>
        <v>28.0319137499226</v>
      </c>
      <c r="N141" s="91" t="n">
        <f aca="false"> EUA!N146+ China!N146+ OCDE!N146+ BRISE!N146+ LINHA!N146</f>
        <v>32.74261600851</v>
      </c>
      <c r="O141" s="91" t="n">
        <f aca="false"> EUA!O146+ China!O146+ OCDE!O146+ BRISE!O146+ LINHA!O146</f>
        <v>36.9102510568178</v>
      </c>
      <c r="P141" s="91" t="n">
        <f aca="false"> EUA!P146+ China!P146+ OCDE!P146+ BRISE!P146+ LINHA!P146</f>
        <v>40.5932375210249</v>
      </c>
      <c r="Q141" s="91" t="n">
        <f aca="false"> EUA!Q146+ China!Q146+ OCDE!Q146+ BRISE!Q146+ LINHA!Q146</f>
        <v>44.7356281593213</v>
      </c>
      <c r="R141" s="91" t="n">
        <f aca="false"> EUA!R146+ China!R146+ OCDE!R146+ BRISE!R146+ LINHA!R146</f>
        <v>48.2554018690174</v>
      </c>
      <c r="S141" s="28" t="s">
        <v>53</v>
      </c>
      <c r="T141" s="13"/>
      <c r="AA141" s="29" t="s">
        <v>74</v>
      </c>
      <c r="AB141" s="29"/>
      <c r="AC141" s="29"/>
      <c r="AD141" s="29"/>
      <c r="AE141" s="29"/>
      <c r="AF141" s="29"/>
      <c r="AG141" s="29"/>
      <c r="AH141" s="29"/>
      <c r="AI141" s="29"/>
      <c r="AJ141" s="29"/>
      <c r="AK141" s="77" t="n">
        <f aca="false"> EUA!AK141+ China!AK141+ OCDE!AK141+ BRISE!AK141+ LINHA!AK141</f>
        <v>19.0870605082471</v>
      </c>
      <c r="AL141" s="77" t="n">
        <f aca="false"> EUA!AL141+ China!AL141+ OCDE!AL141+ BRISE!AL141+ LINHA!AL141</f>
        <v>22.4933152750974</v>
      </c>
      <c r="AM141" s="77" t="n">
        <f aca="false"> EUA!AM141+ China!AM141+ OCDE!AM141+ BRISE!AM141+ LINHA!AM141</f>
        <v>26.0894583572621</v>
      </c>
      <c r="AN141" s="77" t="n">
        <f aca="false"> EUA!AN141+ China!AN141+ OCDE!AN141+ BRISE!AN141+ LINHA!AN141</f>
        <v>29.3156443650993</v>
      </c>
      <c r="AO141" s="77" t="n">
        <f aca="false"> EUA!AO141+ China!AO141+ OCDE!AO141+ BRISE!AO141+ LINHA!AO141</f>
        <v>31.7512276225425</v>
      </c>
      <c r="AP141" s="77" t="n">
        <f aca="false"> EUA!AP141+ China!AP141+ OCDE!AP141+ BRISE!AP141+ LINHA!AP141</f>
        <v>33.566013428402</v>
      </c>
      <c r="AQ141" s="77" t="n">
        <f aca="false"> EUA!AQ141+ China!AQ141+ OCDE!AQ141+ BRISE!AQ141+ LINHA!AQ141</f>
        <v>35.0072332233282</v>
      </c>
      <c r="AR141" s="77" t="n">
        <f aca="false"> EUA!AR141+ China!AR141+ OCDE!AR141+ BRISE!AR141+ LINHA!AR141</f>
        <v>35.5388177144589</v>
      </c>
    </row>
    <row r="142" customFormat="false" ht="11.25" hidden="false" customHeight="false" outlineLevel="0" collapsed="false">
      <c r="B142" s="42"/>
      <c r="C142" s="42"/>
      <c r="D142" s="42"/>
      <c r="F142" s="8"/>
      <c r="G142" s="8"/>
      <c r="H142" s="8"/>
      <c r="I142" s="8"/>
      <c r="J142" s="37" t="str">
        <f aca="false">CONCATENATE(A136," calculated from Your forecast")</f>
        <v> Consumo calculado a partir da sua previsão.</v>
      </c>
      <c r="K142" s="91" t="n">
        <f aca="false"> EUA!K147+ China!K147+ OCDE!K147+ BRISE!K147+ LINHA!K147</f>
        <v>58.1740236444686</v>
      </c>
      <c r="L142" s="91" t="n">
        <f aca="false"> EUA!L147+ China!L147+ OCDE!L147+ BRISE!L147+ LINHA!L147</f>
        <v>63.7093384254639</v>
      </c>
      <c r="M142" s="91" t="n">
        <f aca="false"> EUA!M147+ China!M147+ OCDE!M147+ BRISE!M147+ LINHA!M147</f>
        <v>71.5293756219378</v>
      </c>
      <c r="N142" s="91" t="n">
        <f aca="false"> EUA!N147+ China!N147+ OCDE!N147+ BRISE!N147+ LINHA!N147</f>
        <v>78.7184167455227</v>
      </c>
      <c r="O142" s="91" t="n">
        <f aca="false"> EUA!O147+ China!O147+ OCDE!O147+ BRISE!O147+ LINHA!O147</f>
        <v>84.2240102859638</v>
      </c>
      <c r="P142" s="91" t="n">
        <f aca="false"> EUA!P147+ China!P147+ OCDE!P147+ BRISE!P147+ LINHA!P147</f>
        <v>88.1089613946886</v>
      </c>
      <c r="Q142" s="91" t="n">
        <f aca="false"> EUA!Q147+ China!Q147+ OCDE!Q147+ BRISE!Q147+ LINHA!Q147</f>
        <v>90.0614138659108</v>
      </c>
      <c r="R142" s="91" t="n">
        <f aca="false"> EUA!R147+ China!R147+ OCDE!R147+ BRISE!R147+ LINHA!R147</f>
        <v>89.2574064990198</v>
      </c>
      <c r="S142" s="28" t="s">
        <v>53</v>
      </c>
      <c r="T142" s="13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77"/>
      <c r="AL142" s="77"/>
      <c r="AM142" s="77"/>
      <c r="AN142" s="77"/>
      <c r="AO142" s="77"/>
      <c r="AP142" s="77"/>
      <c r="AQ142" s="77"/>
      <c r="AR142" s="77"/>
    </row>
    <row r="143" customFormat="false" ht="11.25" hidden="false" customHeight="false" outlineLevel="0" collapsed="false">
      <c r="C143" s="28"/>
      <c r="D143" s="28"/>
      <c r="E143" s="8"/>
      <c r="F143" s="8"/>
      <c r="G143" s="8"/>
      <c r="H143" s="8"/>
      <c r="I143" s="8"/>
      <c r="J143" s="37" t="str">
        <f aca="false">CONCATENATE(A137," calculated from Your forecast")</f>
        <v> A porcentagem de participação no investimento é calculada a partir da sua previsão.</v>
      </c>
      <c r="K143" s="159" t="n">
        <f aca="false">K141/K140*100</f>
        <v>24.7531514057654</v>
      </c>
      <c r="L143" s="159" t="n">
        <f aca="false">L141/L140*100</f>
        <v>26.7576493026752</v>
      </c>
      <c r="M143" s="159" t="n">
        <f aca="false">M141/M140*100</f>
        <v>28.1554346340611</v>
      </c>
      <c r="N143" s="159" t="n">
        <f aca="false">N141/N140*100</f>
        <v>29.3758412240491</v>
      </c>
      <c r="O143" s="159" t="n">
        <f aca="false">O141/O140*100</f>
        <v>30.4705296814172</v>
      </c>
      <c r="P143" s="159" t="n">
        <f aca="false">P141/P140*100</f>
        <v>31.5404382077491</v>
      </c>
      <c r="Q143" s="159" t="n">
        <f aca="false">Q141/Q140*100</f>
        <v>33.1873960193781</v>
      </c>
      <c r="R143" s="159" t="n">
        <f aca="false">R141/R140*100</f>
        <v>35.0915688812546</v>
      </c>
      <c r="S143" s="28" t="s">
        <v>25</v>
      </c>
      <c r="T143" s="13"/>
      <c r="AA143" s="29" t="s">
        <v>75</v>
      </c>
      <c r="AB143" s="29"/>
      <c r="AC143" s="29"/>
      <c r="AD143" s="29"/>
      <c r="AE143" s="29"/>
      <c r="AF143" s="29"/>
      <c r="AG143" s="29"/>
      <c r="AH143" s="29"/>
      <c r="AI143" s="29"/>
      <c r="AJ143" s="29"/>
      <c r="AK143" s="77" t="n">
        <f aca="false"> EUA!AK143+ China!AK143+ OCDE!AK143+ BRISE!AK143+ LINHA!AK143</f>
        <v>0.0670684139949989</v>
      </c>
      <c r="AL143" s="77" t="n">
        <f aca="false"> EUA!AL143+ China!AL143+ OCDE!AL143+ BRISE!AL143+ LINHA!AL143</f>
        <v>1.00496587978554</v>
      </c>
      <c r="AM143" s="77" t="n">
        <f aca="false"> EUA!AM143+ China!AM143+ OCDE!AM143+ BRISE!AM143+ LINHA!AM143</f>
        <v>1.77851312883535</v>
      </c>
      <c r="AN143" s="77" t="n">
        <f aca="false"> EUA!AN143+ China!AN143+ OCDE!AN143+ BRISE!AN143+ LINHA!AN143</f>
        <v>2.69961758087865</v>
      </c>
      <c r="AO143" s="77" t="n">
        <f aca="false"> EUA!AO143+ China!AO143+ OCDE!AO143+ BRISE!AO143+ LINHA!AO143</f>
        <v>3.69726067526699</v>
      </c>
      <c r="AP143" s="77" t="n">
        <f aca="false"> EUA!AP143+ China!AP143+ OCDE!AP143+ BRISE!AP143+ LINHA!AP143</f>
        <v>4.72695109961991</v>
      </c>
      <c r="AQ143" s="77" t="n">
        <f aca="false"> EUA!AQ143+ China!AQ143+ OCDE!AQ143+ BRISE!AQ143+ LINHA!AQ143</f>
        <v>6.01038635841926</v>
      </c>
      <c r="AR143" s="77" t="n">
        <f aca="false"> EUA!AR143+ China!AR143+ OCDE!AR143+ BRISE!AR143+ LINHA!AR143</f>
        <v>7.28858298152907</v>
      </c>
    </row>
    <row r="144" customFormat="false" ht="11.25" hidden="false" customHeight="false" outlineLevel="0" collapsed="false"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13"/>
      <c r="AA144" s="29" t="s">
        <v>76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77" t="n">
        <f aca="false"> EUA!AK144+ China!AK144+ OCDE!AK144+ BRISE!AK144+ LINHA!AK144</f>
        <v>0.11596754253864</v>
      </c>
      <c r="AL144" s="77" t="n">
        <f aca="false"> EUA!AL144+ China!AL144+ OCDE!AL144+ BRISE!AL144+ LINHA!AL144</f>
        <v>0.714157247447222</v>
      </c>
      <c r="AM144" s="77" t="n">
        <f aca="false"> EUA!AM144+ China!AM144+ OCDE!AM144+ BRISE!AM144+ LINHA!AM144</f>
        <v>1.54211844355949</v>
      </c>
      <c r="AN144" s="77" t="n">
        <f aca="false"> EUA!AN144+ China!AN144+ OCDE!AN144+ BRISE!AN144+ LINHA!AN144</f>
        <v>2.54801134625847</v>
      </c>
      <c r="AO144" s="77" t="n">
        <f aca="false"> EUA!AO144+ China!AO144+ OCDE!AO144+ BRISE!AO144+ LINHA!AO144</f>
        <v>3.67068245390407</v>
      </c>
      <c r="AP144" s="77" t="n">
        <f aca="false"> EUA!AP144+ China!AP144+ OCDE!AP144+ BRISE!AP144+ LINHA!AP144</f>
        <v>4.86494686333162</v>
      </c>
      <c r="AQ144" s="77" t="n">
        <f aca="false"> EUA!AQ144+ China!AQ144+ OCDE!AQ144+ BRISE!AQ144+ LINHA!AQ144</f>
        <v>6.67859717280274</v>
      </c>
      <c r="AR144" s="77" t="n">
        <f aca="false"> EUA!AR144+ China!AR144+ OCDE!AR144+ BRISE!AR144+ LINHA!AR144</f>
        <v>8.72228693022766</v>
      </c>
    </row>
    <row r="145" customFormat="false" ht="11.25" hidden="false" customHeight="false" outlineLevel="0" collapsed="false">
      <c r="T145" s="13"/>
      <c r="AA145" s="29" t="s">
        <v>77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77" t="n">
        <f aca="false"> EUA!AK145+ China!AK145+ OCDE!AK145+ BRISE!AK145+ LINHA!AK145</f>
        <v>-0.133063425516173</v>
      </c>
      <c r="AL145" s="77" t="n">
        <f aca="false"> EUA!AL145+ China!AL145+ OCDE!AL145+ BRISE!AL145+ LINHA!AL145</f>
        <v>-0.267149462920196</v>
      </c>
      <c r="AM145" s="77" t="n">
        <f aca="false"> EUA!AM145+ China!AM145+ OCDE!AM145+ BRISE!AM145+ LINHA!AM145</f>
        <v>-0.353890815077555</v>
      </c>
      <c r="AN145" s="77" t="n">
        <f aca="false"> EUA!AN145+ China!AN145+ OCDE!AN145+ BRISE!AN145+ LINHA!AN145</f>
        <v>-0.379789237842636</v>
      </c>
      <c r="AO145" s="77" t="n">
        <f aca="false"> EUA!AO145+ China!AO145+ OCDE!AO145+ BRISE!AO145+ LINHA!AO145</f>
        <v>-0.343291483765131</v>
      </c>
      <c r="AP145" s="77" t="n">
        <f aca="false"> EUA!AP145+ China!AP145+ OCDE!AP145+ BRISE!AP145+ LINHA!AP145</f>
        <v>-0.283258584881134</v>
      </c>
      <c r="AQ145" s="77" t="n">
        <f aca="false"> EUA!AQ145+ China!AQ145+ OCDE!AQ145+ BRISE!AQ145+ LINHA!AQ145</f>
        <v>-0.225939574594496</v>
      </c>
      <c r="AR145" s="77" t="n">
        <f aca="false"> EUA!AR145+ China!AR145+ OCDE!AR145+ BRISE!AR145+ LINHA!AR145</f>
        <v>-0.162417498387077</v>
      </c>
    </row>
    <row r="146" customFormat="false" ht="11.25" hidden="false" customHeight="false" outlineLevel="0" collapsed="false">
      <c r="T146" s="13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77" t="n">
        <f aca="false">K134</f>
        <v>77.31169502576</v>
      </c>
      <c r="AL146" s="77" t="n">
        <f aca="false">L134</f>
        <v>89.2696559309027</v>
      </c>
      <c r="AM146" s="77" t="n">
        <f aca="false">M134</f>
        <v>102.8078962373</v>
      </c>
      <c r="AN146" s="77" t="n">
        <f aca="false">N134</f>
        <v>115.818697557203</v>
      </c>
      <c r="AO146" s="77" t="n">
        <f aca="false">O134</f>
        <v>126.575257031175</v>
      </c>
      <c r="AP146" s="77" t="n">
        <f aca="false">P134</f>
        <v>135.137412870323</v>
      </c>
      <c r="AQ146" s="77" t="n">
        <f aca="false">Q134</f>
        <v>142.097812187292</v>
      </c>
      <c r="AR146" s="77" t="n">
        <f aca="false">R134</f>
        <v>145.371448837128</v>
      </c>
    </row>
    <row r="147" customFormat="false" ht="11.25" hidden="false" customHeight="false" outlineLevel="0" collapsed="false">
      <c r="T147" s="13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77"/>
      <c r="AL147" s="48"/>
      <c r="AM147" s="48"/>
      <c r="AN147" s="48"/>
      <c r="AO147" s="48"/>
      <c r="AP147" s="48"/>
      <c r="AQ147" s="48"/>
      <c r="AR147" s="48"/>
    </row>
    <row r="148" customFormat="false" ht="11.25" hidden="false" customHeight="false" outlineLevel="0" collapsed="false">
      <c r="T148" s="13"/>
      <c r="AA148" s="29" t="str">
        <f aca="false">CONCATENATE(A96," (0 - ",W158," T$ / yr)")</f>
        <v> PIB SumWorld (0 - 150 T$ / ano)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57" t="n">
        <f aca="false">K140/$W158</f>
        <v>0.515406068881099</v>
      </c>
      <c r="AL148" s="57" t="n">
        <f aca="false">L140/$W158</f>
        <v>0.579895263863971</v>
      </c>
      <c r="AM148" s="57" t="n">
        <f aca="false">M140/$W158</f>
        <v>0.663741929145736</v>
      </c>
      <c r="AN148" s="57" t="n">
        <f aca="false">N140/$W158</f>
        <v>0.743073551693551</v>
      </c>
      <c r="AO148" s="57" t="n">
        <f aca="false">O140/$W158</f>
        <v>0.80756174228521</v>
      </c>
      <c r="AP148" s="57" t="n">
        <f aca="false">P140/$W158</f>
        <v>0.85801465943809</v>
      </c>
      <c r="AQ148" s="57" t="n">
        <f aca="false">Q140/$W158</f>
        <v>0.89864694683488</v>
      </c>
      <c r="AR148" s="57" t="n">
        <f aca="false">R140/$W158</f>
        <v>0.916752055786915</v>
      </c>
    </row>
    <row r="149" customFormat="false" ht="11.25" hidden="false" customHeight="fals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13"/>
      <c r="AA149" s="29" t="str">
        <f aca="false">CONCATENATE(A137," (0 - ",W159,"% /yr)")</f>
        <v> Percentagem de investimento (0 - 40%/ano)</v>
      </c>
      <c r="AB149" s="29"/>
      <c r="AC149" s="29"/>
      <c r="AD149" s="29"/>
      <c r="AE149" s="29"/>
      <c r="AF149" s="29"/>
      <c r="AG149" s="29"/>
      <c r="AH149" s="29"/>
      <c r="AI149" s="29"/>
      <c r="AJ149" s="29"/>
      <c r="AK149" s="57" t="n">
        <f aca="false">K143/$W$159</f>
        <v>0.618828785144136</v>
      </c>
      <c r="AL149" s="57" t="n">
        <f aca="false">L143/$W$159</f>
        <v>0.66894123256688</v>
      </c>
      <c r="AM149" s="57" t="n">
        <f aca="false">M143/$W$159</f>
        <v>0.703885865851528</v>
      </c>
      <c r="AN149" s="57" t="n">
        <f aca="false">N143/$W$159</f>
        <v>0.734396030601227</v>
      </c>
      <c r="AO149" s="57" t="n">
        <f aca="false">O143/$W$159</f>
        <v>0.761763242035431</v>
      </c>
      <c r="AP149" s="57" t="n">
        <f aca="false">P143/$W$159</f>
        <v>0.788510955193726</v>
      </c>
      <c r="AQ149" s="57" t="n">
        <f aca="false">Q143/$W$159</f>
        <v>0.829684900484452</v>
      </c>
      <c r="AR149" s="57" t="n">
        <f aca="false">R143/$W$159</f>
        <v>0.877289222031365</v>
      </c>
    </row>
    <row r="150" customFormat="false" ht="11.25" hidden="false" customHeight="false" outlineLevel="0" collapsed="false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13"/>
      <c r="AA150" s="29" t="str">
        <f aca="false">CONCATENATE(A136," (0 - ",W160, " T$ / yr)")</f>
        <v> Consumo (0 - 150 T$ / ano)</v>
      </c>
      <c r="AB150" s="29"/>
      <c r="AC150" s="29"/>
      <c r="AD150" s="29"/>
      <c r="AE150" s="29"/>
      <c r="AF150" s="29"/>
      <c r="AG150" s="29"/>
      <c r="AH150" s="29"/>
      <c r="AI150" s="29"/>
      <c r="AJ150" s="29"/>
      <c r="AK150" s="57" t="n">
        <f aca="false">K142/$W$160</f>
        <v>0.387826824296457</v>
      </c>
      <c r="AL150" s="57" t="n">
        <f aca="false">L142/$W$160</f>
        <v>0.424728922836426</v>
      </c>
      <c r="AM150" s="57" t="n">
        <f aca="false">M142/$W$160</f>
        <v>0.476862504146252</v>
      </c>
      <c r="AN150" s="57" t="n">
        <f aca="false">N142/$W$160</f>
        <v>0.524789444970151</v>
      </c>
      <c r="AO150" s="57" t="n">
        <f aca="false">O142/$W$160</f>
        <v>0.561493401906425</v>
      </c>
      <c r="AP150" s="57" t="n">
        <f aca="false">P142/$W$160</f>
        <v>0.587393075964591</v>
      </c>
      <c r="AQ150" s="57" t="n">
        <f aca="false">Q142/$W$160</f>
        <v>0.600409425772738</v>
      </c>
      <c r="AR150" s="57" t="n">
        <f aca="false">R142/$W$160</f>
        <v>0.595049376660132</v>
      </c>
    </row>
    <row r="151" customFormat="false" ht="11.25" hidden="false" customHeight="fals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13"/>
      <c r="AA151" s="29" t="str">
        <f aca="false">CONCATENATE("normal + norm change inv."," (0 - ",W159,"% /yr)")</f>
        <v> normal + mudança normal inv. (0 - 40% /ano)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48" t="n">
        <f aca="false">(AK154+AK157)/AK$158*100/$W$159</f>
        <v>0.612910021737611</v>
      </c>
      <c r="AL151" s="48" t="n">
        <f aca="false">(AL154+AL157)/AL$158*100/$W$159</f>
        <v>0.621772393671739</v>
      </c>
      <c r="AM151" s="48" t="n">
        <f aca="false">(AM154+AM157)/AM$158*100/$W$159</f>
        <v>0.624793645686198</v>
      </c>
      <c r="AN151" s="48" t="n">
        <f aca="false">(AN154+AN157)/AN$158*100/$W$159</f>
        <v>0.623476637236023</v>
      </c>
      <c r="AO151" s="48" t="n">
        <f aca="false">(AO154+AO157)/AO$158*100/$W$159</f>
        <v>0.619295195144781</v>
      </c>
      <c r="AP151" s="48" t="n">
        <f aca="false">(AP154+AP157)/AP$158*100/$W$159</f>
        <v>0.614826996998465</v>
      </c>
      <c r="AQ151" s="48" t="n">
        <f aca="false">(AQ154+AQ157)/AQ$158*100/$W$159</f>
        <v>0.611201452089268</v>
      </c>
      <c r="AR151" s="48" t="n">
        <f aca="false">(AR154+AR157)/AR$158*100/$W$159</f>
        <v>0.607830227043945</v>
      </c>
    </row>
    <row r="152" customFormat="false" ht="11.25" hidden="false" customHeight="false" outlineLevel="0" collapsed="false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13"/>
      <c r="X152" s="15" t="s">
        <v>33</v>
      </c>
      <c r="AA152" s="29" t="str">
        <f aca="false">CONCATENATE("normal + voluntary inv."," (0 - ",W159,"% /yr)")</f>
        <v> Inventário normal + voluntário (0 - 40% /ano)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48" t="n">
        <f aca="false">(AK154+AK155+AK157)/AK$158*100/$W$159</f>
        <v>0.615078785144136</v>
      </c>
      <c r="AL152" s="48" t="n">
        <f aca="false">(AL154+AL155+AL157)/AL$158*100/$W$159</f>
        <v>0.64934123256688</v>
      </c>
      <c r="AM152" s="48" t="n">
        <f aca="false">(AM154+AM155+AM157)/AM$158*100/$W$159</f>
        <v>0.667135865851528</v>
      </c>
      <c r="AN152" s="48" t="n">
        <f aca="false">(AN154+AN155+AN157)/AN$158*100/$W$159</f>
        <v>0.680496030601227</v>
      </c>
      <c r="AO152" s="48" t="n">
        <f aca="false">(AO154+AO155+AO157)/AO$158*100/$W$159</f>
        <v>0.690713242035431</v>
      </c>
      <c r="AP152" s="48" t="n">
        <f aca="false">(AP154+AP155+AP157)/AP$158*100/$W$159</f>
        <v>0.700310955193726</v>
      </c>
      <c r="AQ152" s="48" t="n">
        <f aca="false">(AQ154+AQ155+AQ157)/AQ$158*100/$W$159</f>
        <v>0.714534900484452</v>
      </c>
      <c r="AR152" s="48" t="n">
        <f aca="false">(AR154+AR155+AR157)/AR$158*100/$W$159</f>
        <v>0.730289222031365</v>
      </c>
    </row>
    <row r="153" s="3" customFormat="true" ht="11.25" hidden="false" customHeight="false" outlineLevel="0" collapsed="false">
      <c r="T153" s="13"/>
      <c r="V153" s="3" t="s">
        <v>35</v>
      </c>
      <c r="AA153" s="29" t="str">
        <f aca="false">CONCATENATE("normal + voluntary + forced inv."," (0 - ",W159,"% /yr)")</f>
        <v> Inventário normal + voluntário + forçado (0 - 40% /ano)</v>
      </c>
      <c r="AB153" s="29"/>
      <c r="AC153" s="29"/>
      <c r="AD153" s="29"/>
      <c r="AE153" s="29"/>
      <c r="AF153" s="29"/>
      <c r="AG153" s="29"/>
      <c r="AH153" s="29"/>
      <c r="AI153" s="29"/>
      <c r="AJ153" s="29"/>
      <c r="AK153" s="48" t="n">
        <f aca="false">(AK154+AK155+AK156+AK157)/AK$158*100/$W$159</f>
        <v>0.618828785144136</v>
      </c>
      <c r="AL153" s="48" t="n">
        <f aca="false">(AL154+AL155+AL156+AL157)/AL$158*100/$W$159</f>
        <v>0.66894123256688</v>
      </c>
      <c r="AM153" s="48" t="n">
        <f aca="false">(AM154+AM155+AM156+AM157)/AM$158*100/$W$159</f>
        <v>0.703885865851528</v>
      </c>
      <c r="AN153" s="48" t="n">
        <f aca="false">(AN154+AN155+AN156+AN157)/AN$158*100/$W$159</f>
        <v>0.734396030601227</v>
      </c>
      <c r="AO153" s="48" t="n">
        <f aca="false">(AO154+AO155+AO156+AO157)/AO$158*100/$W$159</f>
        <v>0.761763242035431</v>
      </c>
      <c r="AP153" s="48" t="n">
        <f aca="false">(AP154+AP155+AP156+AP157)/AP$158*100/$W$159</f>
        <v>0.788510955193726</v>
      </c>
      <c r="AQ153" s="48" t="n">
        <f aca="false">(AQ154+AQ155+AQ156+AQ157)/AQ$158*100/$W$159</f>
        <v>0.829684900484452</v>
      </c>
      <c r="AR153" s="48" t="n">
        <f aca="false">(AR154+AR155+AR156+AR157)/AR$158*100/$W$159</f>
        <v>0.877289222031365</v>
      </c>
    </row>
    <row r="154" s="3" customFormat="true" ht="28.3" hidden="false" customHeight="false" outlineLevel="0" collapsed="false">
      <c r="T154" s="13"/>
      <c r="U154" s="53" t="s">
        <v>37</v>
      </c>
      <c r="V154" s="54" t="s">
        <v>38</v>
      </c>
      <c r="W154" s="54" t="s">
        <v>39</v>
      </c>
      <c r="X154" s="55"/>
      <c r="Y154" s="55"/>
      <c r="AA154" s="29" t="s">
        <v>74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77" t="n">
        <f aca="false"> EUA!AK154+ China!AK154+ OCDE!AK154+ BRISE!AK154+ LINHA!AK154</f>
        <v>19.0869307639557</v>
      </c>
      <c r="AL154" s="77" t="n">
        <f aca="false"> EUA!AL154+ China!AL154+ OCDE!AL154+ BRISE!AL154+ LINHA!AL154</f>
        <v>21.8862861369608</v>
      </c>
      <c r="AM154" s="77" t="n">
        <f aca="false"> EUA!AM154+ China!AM154+ OCDE!AM154+ BRISE!AM154+ LINHA!AM154</f>
        <v>25.2112360267115</v>
      </c>
      <c r="AN154" s="77" t="n">
        <f aca="false"> EUA!AN154+ China!AN154+ OCDE!AN154+ BRISE!AN154+ LINHA!AN154</f>
        <v>28.1462373179912</v>
      </c>
      <c r="AO154" s="77" t="n">
        <f aca="false"> EUA!AO154+ China!AO154+ OCDE!AO154+ BRISE!AO154+ LINHA!AO154</f>
        <v>30.3187876349758</v>
      </c>
      <c r="AP154" s="77" t="n">
        <f aca="false"> EUA!AP154+ China!AP154+ OCDE!AP154+ BRISE!AP154+ LINHA!AP154</f>
        <v>31.9062702021814</v>
      </c>
      <c r="AQ154" s="77" t="n">
        <f aca="false"> EUA!AQ154+ China!AQ154+ OCDE!AQ154+ BRISE!AQ154+ LINHA!AQ154</f>
        <v>33.1565821436667</v>
      </c>
      <c r="AR154" s="77" t="n">
        <f aca="false"> EUA!AR154+ China!AR154+ OCDE!AR154+ BRISE!AR154+ LINHA!AR154</f>
        <v>33.5773441475141</v>
      </c>
    </row>
    <row r="155" s="3" customFormat="true" ht="11.25" hidden="false" customHeight="false" outlineLevel="0" collapsed="false">
      <c r="T155" s="13"/>
      <c r="U155" s="15" t="str">
        <f aca="false">AA135</f>
        <v> PIB SumWorld (0 - 150 T$ / ano)</v>
      </c>
      <c r="V155" s="25" t="n">
        <v>150</v>
      </c>
      <c r="W155" s="70" t="n">
        <f aca="false">W158</f>
        <v>150</v>
      </c>
      <c r="AA155" s="29" t="s">
        <v>75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77" t="n">
        <f aca="false"> EUA!AK155+ China!AK155+ OCDE!AK155+ BRISE!AK155+ LINHA!AK155</f>
        <v>0.0670676293014038</v>
      </c>
      <c r="AL155" s="77" t="n">
        <f aca="false"> EUA!AL155+ China!AL155+ OCDE!AL155+ BRISE!AL155+ LINHA!AL155</f>
        <v>0.959222346331241</v>
      </c>
      <c r="AM155" s="77" t="n">
        <f aca="false"> EUA!AM155+ China!AM155+ OCDE!AM155+ BRISE!AM155+ LINHA!AM155</f>
        <v>1.68625841381098</v>
      </c>
      <c r="AN155" s="77" t="n">
        <f aca="false"> EUA!AN155+ China!AN155+ OCDE!AN155+ BRISE!AN155+ LINHA!AN155</f>
        <v>2.54217618859767</v>
      </c>
      <c r="AO155" s="77" t="n">
        <f aca="false"> EUA!AO155+ China!AO155+ OCDE!AO155+ BRISE!AO155+ LINHA!AO155</f>
        <v>3.46046894265719</v>
      </c>
      <c r="AP155" s="77" t="n">
        <f aca="false"> EUA!AP155+ China!AP155+ OCDE!AP155+ BRISE!AP155+ LINHA!AP155</f>
        <v>4.40078935669963</v>
      </c>
      <c r="AQ155" s="77" t="n">
        <f aca="false"> EUA!AQ155+ China!AQ155+ OCDE!AQ155+ BRISE!AQ155+ LINHA!AQ155</f>
        <v>5.57161727437514</v>
      </c>
      <c r="AR155" s="77" t="n">
        <f aca="false"> EUA!AR155+ China!AR155+ OCDE!AR155+ BRISE!AR155+ LINHA!AR155</f>
        <v>6.735872124259</v>
      </c>
    </row>
    <row r="156" s="3" customFormat="true" ht="11.25" hidden="false" customHeight="false" outlineLevel="0" collapsed="false">
      <c r="T156" s="13"/>
      <c r="U156" s="15" t="str">
        <f aca="false">AA136</f>
        <v> Percentagem de investimento (0 - 40%/ano)</v>
      </c>
      <c r="V156" s="25" t="n">
        <v>40</v>
      </c>
      <c r="W156" s="70" t="n">
        <f aca="false">W159</f>
        <v>40</v>
      </c>
      <c r="AA156" s="29" t="s">
        <v>76</v>
      </c>
      <c r="AB156" s="29"/>
      <c r="AC156" s="29"/>
      <c r="AD156" s="29"/>
      <c r="AE156" s="29"/>
      <c r="AF156" s="29"/>
      <c r="AG156" s="29"/>
      <c r="AH156" s="29"/>
      <c r="AI156" s="29"/>
      <c r="AJ156" s="29"/>
      <c r="AK156" s="77" t="n">
        <f aca="false"> EUA!AK156+ China!AK156+ OCDE!AK156+ BRISE!AK156+ LINHA!AK156</f>
        <v>0.115966365498247</v>
      </c>
      <c r="AL156" s="77" t="n">
        <f aca="false"> EUA!AL156+ China!AL156+ OCDE!AL156+ BRISE!AL156+ LINHA!AL156</f>
        <v>0.681956830304029</v>
      </c>
      <c r="AM156" s="77" t="n">
        <f aca="false"> EUA!AM156+ China!AM156+ OCDE!AM156+ BRISE!AM156+ LINHA!AM156</f>
        <v>1.46355095376635</v>
      </c>
      <c r="AN156" s="77" t="n">
        <f aca="false"> EUA!AN156+ China!AN156+ OCDE!AN156+ BRISE!AN156+ LINHA!AN156</f>
        <v>2.40309986617695</v>
      </c>
      <c r="AO156" s="77" t="n">
        <f aca="false"> EUA!AO156+ China!AO156+ OCDE!AO156+ BRISE!AO156+ LINHA!AO156</f>
        <v>3.44263570736185</v>
      </c>
      <c r="AP156" s="77" t="n">
        <f aca="false"> EUA!AP156+ China!AP156+ OCDE!AP156+ BRISE!AP156+ LINHA!AP156</f>
        <v>4.54061357774637</v>
      </c>
      <c r="AQ156" s="77" t="n">
        <f aca="false"> EUA!AQ156+ China!AQ156+ OCDE!AQ156+ BRISE!AQ156+ LINHA!AQ156</f>
        <v>6.20875175568219</v>
      </c>
      <c r="AR156" s="77" t="n">
        <f aca="false"> EUA!AR156+ China!AR156+ OCDE!AR156+ BRISE!AR156+ LINHA!AR156</f>
        <v>8.08575313204059</v>
      </c>
    </row>
    <row r="157" s="3" customFormat="true" ht="11.25" hidden="false" customHeight="false" outlineLevel="0" collapsed="false">
      <c r="T157" s="13"/>
      <c r="U157" s="15" t="str">
        <f aca="false">AA137</f>
        <v> Consumo (0 - 150 T$ / ano)</v>
      </c>
      <c r="V157" s="25" t="n">
        <v>25</v>
      </c>
      <c r="W157" s="70" t="n">
        <f aca="false">W160</f>
        <v>150</v>
      </c>
      <c r="AA157" s="29" t="s">
        <v>77</v>
      </c>
      <c r="AB157" s="29"/>
      <c r="AC157" s="29"/>
      <c r="AD157" s="29"/>
      <c r="AE157" s="29"/>
      <c r="AF157" s="29"/>
      <c r="AG157" s="29"/>
      <c r="AH157" s="29"/>
      <c r="AI157" s="29"/>
      <c r="AJ157" s="29"/>
      <c r="AK157" s="77" t="n">
        <f aca="false"> EUA!AK157+ China!AK157+ OCDE!AK157+ BRISE!AK157+ LINHA!AK157</f>
        <v>-0.133078071059033</v>
      </c>
      <c r="AL157" s="77" t="n">
        <f aca="false"> EUA!AL157+ China!AL157+ OCDE!AL157+ BRISE!AL157+ LINHA!AL157</f>
        <v>-0.252514159464473</v>
      </c>
      <c r="AM157" s="77" t="n">
        <f aca="false"> EUA!AM157+ China!AM157+ OCDE!AM157+ BRISE!AM157+ LINHA!AM157</f>
        <v>-0.329131644366255</v>
      </c>
      <c r="AN157" s="77" t="n">
        <f aca="false"> EUA!AN157+ China!AN157+ OCDE!AN157+ BRISE!AN157+ LINHA!AN157</f>
        <v>-0.348897364255849</v>
      </c>
      <c r="AO157" s="77" t="n">
        <f aca="false"> EUA!AO157+ China!AO157+ OCDE!AO157+ BRISE!AO157+ LINHA!AO157</f>
        <v>-0.311641228177048</v>
      </c>
      <c r="AP157" s="77" t="n">
        <f aca="false"> EUA!AP157+ China!AP157+ OCDE!AP157+ BRISE!AP157+ LINHA!AP157</f>
        <v>-0.25443561560255</v>
      </c>
      <c r="AQ157" s="77" t="n">
        <f aca="false"> EUA!AQ157+ China!AQ157+ OCDE!AQ157+ BRISE!AQ157+ LINHA!AQ157</f>
        <v>-0.201323014402749</v>
      </c>
      <c r="AR157" s="77" t="n">
        <f aca="false"> EUA!AR157+ China!AR157+ OCDE!AR157+ BRISE!AR157+ LINHA!AR157</f>
        <v>-0.143567534796293</v>
      </c>
    </row>
    <row r="158" s="3" customFormat="true" ht="11.25" hidden="false" customHeight="false" outlineLevel="0" collapsed="false">
      <c r="T158" s="13"/>
      <c r="U158" s="37" t="str">
        <f aca="false">CONCATENATE(AA148," your forcast")</f>
        <v> PIB SumWorld (0 - 150 T$/ano) sua previsão</v>
      </c>
      <c r="W158" s="4" t="n">
        <v>150</v>
      </c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48" t="n">
        <f aca="false">K140</f>
        <v>77.3109103321649</v>
      </c>
      <c r="AL158" s="48" t="n">
        <f aca="false">L140</f>
        <v>86.9842895795956</v>
      </c>
      <c r="AM158" s="48" t="n">
        <f aca="false">M140</f>
        <v>99.5612893718604</v>
      </c>
      <c r="AN158" s="48" t="n">
        <f aca="false">N140</f>
        <v>111.461032754033</v>
      </c>
      <c r="AO158" s="48" t="n">
        <f aca="false">O140</f>
        <v>121.134261342782</v>
      </c>
      <c r="AP158" s="48" t="n">
        <f aca="false">P140</f>
        <v>128.702198915714</v>
      </c>
      <c r="AQ158" s="48" t="n">
        <f aca="false">Q140</f>
        <v>134.797042025232</v>
      </c>
      <c r="AR158" s="48" t="n">
        <f aca="false">R140</f>
        <v>137.512808368037</v>
      </c>
    </row>
    <row r="159" s="3" customFormat="true" ht="11.25" hidden="false" customHeight="false" outlineLevel="0" collapsed="false">
      <c r="T159" s="13"/>
      <c r="U159" s="37" t="str">
        <f aca="false">CONCATENATE(AA149," your forcast")</f>
        <v> Percentual de participação no investimento (0 - 40%/ano) sua previsão</v>
      </c>
      <c r="W159" s="4" t="n">
        <v>40</v>
      </c>
    </row>
    <row r="160" s="3" customFormat="true" ht="11.25" hidden="false" customHeight="false" outlineLevel="0" collapsed="false">
      <c r="T160" s="13"/>
      <c r="U160" s="37" t="str">
        <f aca="false">CONCATENATE(AA150," your forcast")</f>
        <v> Consumo (0 - 150 T$/ano) sua previsão</v>
      </c>
      <c r="W160" s="93" t="n">
        <f aca="false">W158</f>
        <v>150</v>
      </c>
    </row>
    <row r="161" s="3" customFormat="true" ht="11.25" hidden="false" customHeight="false" outlineLevel="0" collapsed="false">
      <c r="T161" s="13"/>
    </row>
    <row r="162" s="3" customFormat="true" ht="11.25" hidden="false" customHeight="false" outlineLevel="0" collapsed="false">
      <c r="T162" s="13"/>
    </row>
    <row r="163" customFormat="false" ht="11.25" hidden="false" customHeight="false" outlineLevel="0" collapsed="false">
      <c r="T163" s="13"/>
    </row>
    <row r="164" customFormat="false" ht="11.25" hidden="false" customHeight="false" outlineLevel="0" collapsed="false">
      <c r="T164" s="13"/>
    </row>
    <row r="165" customFormat="false" ht="11.25" hidden="false" customHeight="false" outlineLevel="0" collapsed="false">
      <c r="T165" s="13"/>
    </row>
    <row r="166" customFormat="false" ht="11.25" hidden="false" customHeight="false" outlineLevel="0" collapsed="false">
      <c r="T166" s="13"/>
    </row>
    <row r="167" customFormat="false" ht="11.25" hidden="false" customHeight="false" outlineLevel="0" collapsed="false">
      <c r="T167" s="13"/>
    </row>
    <row r="168" customFormat="false" ht="11.25" hidden="false" customHeight="false" outlineLevel="0" collapsed="false">
      <c r="T168" s="13"/>
    </row>
    <row r="169" customFormat="false" ht="11.25" hidden="false" customHeight="false" outlineLevel="0" collapsed="false">
      <c r="T169" s="13"/>
    </row>
    <row r="170" customFormat="false" ht="11.25" hidden="false" customHeight="false" outlineLevel="0" collapsed="false">
      <c r="T170" s="13"/>
    </row>
    <row r="171" customFormat="false" ht="11.25" hidden="false" customHeight="false" outlineLevel="0" collapsed="false">
      <c r="T171" s="13"/>
    </row>
    <row r="172" customFormat="false" ht="11.25" hidden="false" customHeight="false" outlineLevel="0" collapsed="false">
      <c r="T172" s="13"/>
    </row>
    <row r="173" customFormat="false" ht="11.25" hidden="false" customHeight="false" outlineLevel="0" collapsed="false">
      <c r="T173" s="13"/>
    </row>
    <row r="174" customFormat="false" ht="11.25" hidden="false" customHeight="false" outlineLevel="0" collapsed="false">
      <c r="T174" s="13"/>
    </row>
    <row r="175" customFormat="false" ht="11.25" hidden="false" customHeight="false" outlineLevel="0" collapsed="false">
      <c r="T175" s="13"/>
    </row>
    <row r="176" s="35" customFormat="true" ht="13.8" hidden="false" customHeight="false" outlineLevel="0" collapsed="false">
      <c r="S176" s="3"/>
      <c r="T176" s="13"/>
      <c r="U176" s="3"/>
    </row>
    <row r="177" s="35" customFormat="true" ht="13.8" hidden="false" customHeight="false" outlineLevel="0" collapsed="false">
      <c r="S177" s="3"/>
      <c r="T177" s="13"/>
      <c r="U177" s="3"/>
    </row>
    <row r="178" s="3" customFormat="true" ht="11.25" hidden="false" customHeight="false" outlineLevel="0" collapsed="false">
      <c r="T178" s="13"/>
      <c r="Y178" s="94" t="str">
        <f aca="false">CONCATENATE(A131,"a. Share in investment - ",A5," 1970 to 2050")</f>
        <v>Gráfico 4a. Participação no investimento - SumWorld de 1970 a 2050</v>
      </c>
    </row>
    <row r="179" customFormat="false" ht="11.25" hidden="false" customHeight="false" outlineLevel="0" collapsed="false">
      <c r="T179" s="13"/>
    </row>
    <row r="180" customFormat="false" ht="11.25" hidden="false" customHeight="false" outlineLevel="0" collapsed="false">
      <c r="T180" s="13"/>
    </row>
    <row r="181" customFormat="false" ht="11.25" hidden="false" customHeight="false" outlineLevel="0" collapsed="false">
      <c r="T181" s="13"/>
    </row>
    <row r="182" customFormat="false" ht="11.25" hidden="false" customHeight="false" outlineLevel="0" collapsed="false">
      <c r="T182" s="13"/>
    </row>
    <row r="183" customFormat="false" ht="11.25" hidden="false" customHeight="false" outlineLevel="0" collapsed="false">
      <c r="T183" s="13"/>
    </row>
    <row r="184" customFormat="false" ht="11.25" hidden="false" customHeight="false" outlineLevel="0" collapsed="false">
      <c r="T184" s="13"/>
    </row>
    <row r="185" customFormat="false" ht="11.25" hidden="false" customHeight="false" outlineLevel="0" collapsed="false">
      <c r="T185" s="13"/>
    </row>
    <row r="186" customFormat="false" ht="11.25" hidden="false" customHeight="false" outlineLevel="0" collapsed="false">
      <c r="T186" s="13"/>
    </row>
    <row r="187" customFormat="false" ht="11.25" hidden="false" customHeight="false" outlineLevel="0" collapsed="false">
      <c r="T187" s="13"/>
    </row>
    <row r="188" customFormat="false" ht="11.25" hidden="false" customHeight="false" outlineLevel="0" collapsed="false">
      <c r="T188" s="13"/>
    </row>
    <row r="189" customFormat="false" ht="11.25" hidden="false" customHeight="false" outlineLevel="0" collapsed="false">
      <c r="T189" s="13"/>
    </row>
    <row r="190" customFormat="false" ht="11.25" hidden="false" customHeight="false" outlineLevel="0" collapsed="false">
      <c r="T190" s="13"/>
    </row>
    <row r="191" customFormat="false" ht="11.25" hidden="false" customHeight="false" outlineLevel="0" collapsed="false">
      <c r="T191" s="13"/>
    </row>
    <row r="192" customFormat="false" ht="11.25" hidden="false" customHeight="false" outlineLevel="0" collapsed="false">
      <c r="T192" s="13"/>
    </row>
    <row r="193" customFormat="false" ht="11.25" hidden="false" customHeight="false" outlineLevel="0" collapsed="false">
      <c r="T193" s="13"/>
    </row>
    <row r="194" customFormat="false" ht="12.65" hidden="false" customHeight="false" outlineLevel="0" collapsed="false">
      <c r="B194" s="95"/>
      <c r="T194" s="13"/>
    </row>
    <row r="195" customFormat="false" ht="12.65" hidden="false" customHeight="false" outlineLevel="0" collapsed="false">
      <c r="A195" s="61" t="s">
        <v>78</v>
      </c>
      <c r="T195" s="13"/>
    </row>
    <row r="196" customFormat="false" ht="12.65" hidden="false" customHeight="false" outlineLevel="0" collapsed="false">
      <c r="A196" s="23" t="str">
        <f aca="false">CONCATENATE(A195,". Consumption per person - ",A5," 1970 to 2050")</f>
        <v> Gráfico 5. Consumo per capita - SumWorld 1970 a 2050</v>
      </c>
      <c r="T196" s="13"/>
    </row>
    <row r="197" customFormat="false" ht="11.25" hidden="false" customHeight="false" outlineLevel="0" collapsed="false">
      <c r="B197" s="24" t="n">
        <v>1970</v>
      </c>
      <c r="C197" s="24" t="n">
        <v>1975</v>
      </c>
      <c r="D197" s="24" t="n">
        <v>1980</v>
      </c>
      <c r="E197" s="24" t="n">
        <v>1985</v>
      </c>
      <c r="F197" s="24" t="n">
        <v>1990</v>
      </c>
      <c r="G197" s="24" t="n">
        <v>1995</v>
      </c>
      <c r="H197" s="24" t="n">
        <v>2000</v>
      </c>
      <c r="I197" s="24" t="n">
        <v>2005</v>
      </c>
      <c r="J197" s="24" t="n">
        <v>2010</v>
      </c>
      <c r="K197" s="24" t="n">
        <v>2015</v>
      </c>
      <c r="L197" s="24" t="n">
        <v>2020</v>
      </c>
      <c r="M197" s="24" t="n">
        <v>2025</v>
      </c>
      <c r="N197" s="24" t="n">
        <v>2030</v>
      </c>
      <c r="O197" s="24" t="n">
        <v>2035</v>
      </c>
      <c r="P197" s="24" t="n">
        <v>2040</v>
      </c>
      <c r="Q197" s="24" t="n">
        <v>2045</v>
      </c>
      <c r="R197" s="24" t="n">
        <v>2050</v>
      </c>
      <c r="S197" s="25" t="s">
        <v>15</v>
      </c>
      <c r="T197" s="13"/>
      <c r="V197" s="96"/>
      <c r="AA197" s="52" t="s">
        <v>36</v>
      </c>
    </row>
    <row r="198" customFormat="false" ht="11.25" hidden="false" customHeight="false" outlineLevel="0" collapsed="false">
      <c r="A198" s="11" t="str">
        <f aca="false">A9</f>
        <v> População, SumWorld</v>
      </c>
      <c r="B198" s="27" t="n">
        <f aca="false">B9</f>
        <v>3696.186306</v>
      </c>
      <c r="C198" s="27" t="n">
        <f aca="false">C9</f>
        <v>4076.419207</v>
      </c>
      <c r="D198" s="27" t="n">
        <f aca="false">D9</f>
        <v>4453.007478</v>
      </c>
      <c r="E198" s="27" t="n">
        <f aca="false">E9</f>
        <v>4863.289935</v>
      </c>
      <c r="F198" s="27" t="n">
        <f aca="false">F9</f>
        <v>5306.425154</v>
      </c>
      <c r="G198" s="27" t="n">
        <f aca="false">G9</f>
        <v>5726.239315</v>
      </c>
      <c r="H198" s="27" t="n">
        <f aca="false">H9</f>
        <v>6122.77022</v>
      </c>
      <c r="I198" s="27" t="n">
        <f aca="false">I9</f>
        <v>6506.649175</v>
      </c>
      <c r="J198" s="27" t="n">
        <f aca="false">J9</f>
        <v>6895.889018</v>
      </c>
      <c r="K198" s="27" t="n">
        <f aca="false">K9</f>
        <v>7232.563674147</v>
      </c>
      <c r="L198" s="27" t="n">
        <f aca="false">L9</f>
        <v>7512.21477029445</v>
      </c>
      <c r="M198" s="27" t="n">
        <f aca="false">M9</f>
        <v>7734.56392405069</v>
      </c>
      <c r="N198" s="27" t="n">
        <f aca="false">N9</f>
        <v>7904.80442220768</v>
      </c>
      <c r="O198" s="27" t="n">
        <f aca="false">O9</f>
        <v>8018.06135294744</v>
      </c>
      <c r="P198" s="27" t="n">
        <f aca="false">P9</f>
        <v>8067.82806311415</v>
      </c>
      <c r="Q198" s="27" t="n">
        <f aca="false">Q9</f>
        <v>8049.73680757153</v>
      </c>
      <c r="R198" s="27" t="n">
        <f aca="false">R9</f>
        <v>7965.64098874217</v>
      </c>
      <c r="S198" s="28" t="s">
        <v>17</v>
      </c>
      <c r="T198" s="13"/>
      <c r="V198" s="96"/>
      <c r="AA198" s="52"/>
      <c r="AB198" s="24" t="n">
        <v>1970</v>
      </c>
      <c r="AC198" s="24" t="n">
        <v>1975</v>
      </c>
      <c r="AD198" s="24" t="n">
        <v>1980</v>
      </c>
      <c r="AE198" s="24" t="n">
        <v>1985</v>
      </c>
      <c r="AF198" s="24" t="n">
        <v>1990</v>
      </c>
      <c r="AG198" s="24" t="n">
        <v>1995</v>
      </c>
      <c r="AH198" s="24" t="n">
        <v>2000</v>
      </c>
      <c r="AI198" s="24" t="n">
        <v>2005</v>
      </c>
      <c r="AJ198" s="24" t="n">
        <v>2010</v>
      </c>
      <c r="AK198" s="24" t="n">
        <v>2015</v>
      </c>
      <c r="AL198" s="24" t="n">
        <v>2020</v>
      </c>
      <c r="AM198" s="24" t="n">
        <v>2025</v>
      </c>
      <c r="AN198" s="24" t="n">
        <v>2030</v>
      </c>
      <c r="AO198" s="24" t="n">
        <v>2035</v>
      </c>
      <c r="AP198" s="24" t="n">
        <v>2040</v>
      </c>
      <c r="AQ198" s="24" t="n">
        <v>2045</v>
      </c>
      <c r="AR198" s="24" t="n">
        <v>2050</v>
      </c>
    </row>
    <row r="199" customFormat="false" ht="11.25" hidden="false" customHeight="false" outlineLevel="0" collapsed="false">
      <c r="A199" s="11" t="str">
        <f aca="false">A136</f>
        <v> Consumo</v>
      </c>
      <c r="B199" s="75" t="n">
        <f aca="false">B136</f>
        <v>12.8222178915587</v>
      </c>
      <c r="C199" s="75" t="n">
        <f aca="false">C136</f>
        <v>15.762347869227</v>
      </c>
      <c r="D199" s="75" t="n">
        <f aca="false">D136</f>
        <v>18.8411485456539</v>
      </c>
      <c r="E199" s="75" t="n">
        <f aca="false">E136</f>
        <v>21.8870591134026</v>
      </c>
      <c r="F199" s="75" t="n">
        <f aca="false">F136</f>
        <v>27.4619657130747</v>
      </c>
      <c r="G199" s="75" t="n">
        <f aca="false">G136</f>
        <v>31.6269704298878</v>
      </c>
      <c r="H199" s="75" t="n">
        <f aca="false">H136</f>
        <v>37.0428199118172</v>
      </c>
      <c r="I199" s="75" t="n">
        <f aca="false">I136</f>
        <v>44.6210995831644</v>
      </c>
      <c r="J199" s="75" t="n">
        <f aca="false">J136</f>
        <v>50.9440555188356</v>
      </c>
      <c r="K199" s="75" t="n">
        <f aca="false">K136</f>
        <v>58.1746619864954</v>
      </c>
      <c r="L199" s="75" t="n">
        <f aca="false">L136</f>
        <v>65.3243669914927</v>
      </c>
      <c r="M199" s="75" t="n">
        <f aca="false">M136</f>
        <v>73.7516971227201</v>
      </c>
      <c r="N199" s="75" t="n">
        <f aca="false">N136</f>
        <v>81.6352135028093</v>
      </c>
      <c r="O199" s="75" t="n">
        <f aca="false">O136</f>
        <v>87.7993777632265</v>
      </c>
      <c r="P199" s="75" t="n">
        <f aca="false">P136</f>
        <v>92.2627600638503</v>
      </c>
      <c r="Q199" s="75" t="n">
        <f aca="false">Q136</f>
        <v>94.6275350073367</v>
      </c>
      <c r="R199" s="75" t="n">
        <f aca="false">R136</f>
        <v>93.9841787092991</v>
      </c>
      <c r="S199" s="28" t="s">
        <v>53</v>
      </c>
      <c r="T199" s="13"/>
      <c r="V199" s="96"/>
      <c r="AA199" s="29" t="str">
        <f aca="false">CONCATENATE(A199," (0 - ",W203, " T$ / yr)")</f>
        <v> Consumo (0 - 150 T$ / ano)</v>
      </c>
      <c r="AB199" s="57" t="n">
        <f aca="false">B199/$W$203</f>
        <v>0.0854814526103913</v>
      </c>
      <c r="AC199" s="57" t="n">
        <f aca="false">C199/$W$203</f>
        <v>0.10508231912818</v>
      </c>
      <c r="AD199" s="57" t="n">
        <f aca="false">D199/$W$203</f>
        <v>0.125607656971026</v>
      </c>
      <c r="AE199" s="57" t="n">
        <f aca="false">E199/$W$203</f>
        <v>0.145913727422684</v>
      </c>
      <c r="AF199" s="57" t="n">
        <f aca="false">F199/$W$203</f>
        <v>0.183079771420498</v>
      </c>
      <c r="AG199" s="57" t="n">
        <f aca="false">G199/$W$203</f>
        <v>0.210846469532585</v>
      </c>
      <c r="AH199" s="57" t="n">
        <f aca="false">H199/$W$203</f>
        <v>0.246952132745448</v>
      </c>
      <c r="AI199" s="57" t="n">
        <f aca="false">I199/$W$203</f>
        <v>0.297473997221096</v>
      </c>
      <c r="AJ199" s="57" t="n">
        <f aca="false">J199/$W$203</f>
        <v>0.339627036792238</v>
      </c>
      <c r="AK199" s="57" t="n">
        <f aca="false">K199/$W$203</f>
        <v>0.387831079909969</v>
      </c>
      <c r="AL199" s="57" t="n">
        <f aca="false">L199/$W$203</f>
        <v>0.435495779943285</v>
      </c>
      <c r="AM199" s="57" t="n">
        <f aca="false">M199/$W$203</f>
        <v>0.491677980818134</v>
      </c>
      <c r="AN199" s="57" t="n">
        <f aca="false">N199/$W$203</f>
        <v>0.544234756685395</v>
      </c>
      <c r="AO199" s="57" t="n">
        <f aca="false">O199/$W$203</f>
        <v>0.585329185088176</v>
      </c>
      <c r="AP199" s="57" t="n">
        <f aca="false">P199/$W$203</f>
        <v>0.615085067092335</v>
      </c>
      <c r="AQ199" s="57" t="n">
        <f aca="false">Q199/$W$203</f>
        <v>0.630850233382245</v>
      </c>
      <c r="AR199" s="57" t="n">
        <f aca="false">R199/$W$203</f>
        <v>0.626561191395327</v>
      </c>
      <c r="AS199" s="29"/>
    </row>
    <row r="200" customFormat="false" ht="11.25" hidden="false" customHeight="false" outlineLevel="0" collapsed="false">
      <c r="A200" s="11" t="s">
        <v>79</v>
      </c>
      <c r="B200" s="27" t="n">
        <f aca="false">B199/B198*1000000</f>
        <v>3469.03993198191</v>
      </c>
      <c r="C200" s="27" t="n">
        <f aca="false">C199/C198*1000000</f>
        <v>3866.71415985873</v>
      </c>
      <c r="D200" s="27" t="n">
        <f aca="false">D199/D198*1000000</f>
        <v>4231.10642385808</v>
      </c>
      <c r="E200" s="27" t="n">
        <f aca="false">E199/E198*1000000</f>
        <v>4500.46355572724</v>
      </c>
      <c r="F200" s="27" t="n">
        <f aca="false">F199/F198*1000000</f>
        <v>5175.22906968239</v>
      </c>
      <c r="G200" s="27" t="n">
        <f aca="false">G199/G198*1000000</f>
        <v>5523.16602399769</v>
      </c>
      <c r="H200" s="27" t="n">
        <f aca="false">H199/H198*1000000</f>
        <v>6050.00981268527</v>
      </c>
      <c r="I200" s="27" t="n">
        <f aca="false">I199/I198*1000000</f>
        <v>6857.76939605237</v>
      </c>
      <c r="J200" s="27" t="n">
        <f aca="false">J199/J198*1000000</f>
        <v>7387.59794217379</v>
      </c>
      <c r="K200" s="27" t="n">
        <f aca="false">K199/K198*1000000</f>
        <v>8043.4358558698</v>
      </c>
      <c r="L200" s="27" t="n">
        <f aca="false">L199/L198*1000000</f>
        <v>8695.75338152003</v>
      </c>
      <c r="M200" s="27" t="n">
        <f aca="false">M199/M198*1000000</f>
        <v>9535.34004591889</v>
      </c>
      <c r="N200" s="27" t="n">
        <f aca="false">N199/N198*1000000</f>
        <v>10327.2907389668</v>
      </c>
      <c r="O200" s="27" t="n">
        <f aca="false">O199/O198*1000000</f>
        <v>10950.2002913649</v>
      </c>
      <c r="P200" s="27" t="n">
        <f aca="false">P199/P198*1000000</f>
        <v>11435.8857603415</v>
      </c>
      <c r="Q200" s="27" t="n">
        <f aca="false">Q199/Q198*1000000</f>
        <v>11755.3576308645</v>
      </c>
      <c r="R200" s="27" t="n">
        <f aca="false">R199/R198*1000000</f>
        <v>11798.6962809555</v>
      </c>
      <c r="S200" s="28" t="s">
        <v>80</v>
      </c>
      <c r="T200" s="13"/>
      <c r="X200" s="15" t="s">
        <v>33</v>
      </c>
      <c r="AA200" s="29" t="str">
        <f aca="false">CONCATENATE(A200," (0 - ",W204, " $ / yr)")</f>
        <v> Consumo por pessoa (0 - 12000 $ / ano)</v>
      </c>
      <c r="AB200" s="57" t="n">
        <f aca="false">B200/$W$204</f>
        <v>0.289086660998492</v>
      </c>
      <c r="AC200" s="57" t="n">
        <f aca="false">C200/$W$204</f>
        <v>0.322226179988228</v>
      </c>
      <c r="AD200" s="57" t="n">
        <f aca="false">D200/$W$204</f>
        <v>0.352592201988173</v>
      </c>
      <c r="AE200" s="57" t="n">
        <f aca="false">E200/$W$204</f>
        <v>0.375038629643936</v>
      </c>
      <c r="AF200" s="57" t="n">
        <f aca="false">F200/$W$204</f>
        <v>0.431269089140199</v>
      </c>
      <c r="AG200" s="57" t="n">
        <f aca="false">G200/$W$204</f>
        <v>0.460263835333141</v>
      </c>
      <c r="AH200" s="57" t="n">
        <f aca="false">H200/$W$204</f>
        <v>0.50416748439044</v>
      </c>
      <c r="AI200" s="57" t="n">
        <f aca="false">I200/$W$204</f>
        <v>0.571480783004364</v>
      </c>
      <c r="AJ200" s="57" t="n">
        <f aca="false">J200/$W$204</f>
        <v>0.615633161847816</v>
      </c>
      <c r="AK200" s="57" t="n">
        <f aca="false">K200/$W$204</f>
        <v>0.670286321322483</v>
      </c>
      <c r="AL200" s="57" t="n">
        <f aca="false">L200/$W$204</f>
        <v>0.724646115126669</v>
      </c>
      <c r="AM200" s="57" t="n">
        <f aca="false">M200/$W$204</f>
        <v>0.794611670493241</v>
      </c>
      <c r="AN200" s="57" t="n">
        <f aca="false">N200/$W$204</f>
        <v>0.860607561580567</v>
      </c>
      <c r="AO200" s="57" t="n">
        <f aca="false">O200/$W$204</f>
        <v>0.912516690947072</v>
      </c>
      <c r="AP200" s="57" t="n">
        <f aca="false">P200/$W$204</f>
        <v>0.952990480028455</v>
      </c>
      <c r="AQ200" s="57" t="n">
        <f aca="false">Q200/$W$204</f>
        <v>0.979613135905374</v>
      </c>
      <c r="AR200" s="57" t="n">
        <f aca="false">R200/$W$204</f>
        <v>0.983224690079626</v>
      </c>
      <c r="AS200" s="29"/>
    </row>
    <row r="201" customFormat="false" ht="11.25" hidden="false" customHeight="false" outlineLevel="0" collapsed="false">
      <c r="A201" s="97"/>
      <c r="T201" s="13"/>
      <c r="V201" s="3" t="s">
        <v>35</v>
      </c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98" t="n">
        <f aca="false">K17</f>
        <v>7232.5735845945</v>
      </c>
      <c r="AL201" s="98" t="n">
        <f aca="false">L17</f>
        <v>7506.63187176733</v>
      </c>
      <c r="AM201" s="98" t="n">
        <f aca="false">M17</f>
        <v>7724.25234837862</v>
      </c>
      <c r="AN201" s="98" t="n">
        <f aca="false">N17</f>
        <v>7890.63772526512</v>
      </c>
      <c r="AO201" s="98" t="n">
        <f aca="false">O17</f>
        <v>8001.11165736649</v>
      </c>
      <c r="AP201" s="98" t="n">
        <f aca="false">P17</f>
        <v>8049.38705043057</v>
      </c>
      <c r="AQ201" s="98" t="n">
        <f aca="false">Q17</f>
        <v>8031.24836645354</v>
      </c>
      <c r="AR201" s="98" t="n">
        <f aca="false">R17</f>
        <v>7948.53614205453</v>
      </c>
      <c r="AS201" s="29"/>
    </row>
    <row r="202" customFormat="false" ht="28.3" hidden="false" customHeight="false" outlineLevel="0" collapsed="false">
      <c r="T202" s="13"/>
      <c r="U202" s="53" t="s">
        <v>37</v>
      </c>
      <c r="V202" s="54" t="s">
        <v>38</v>
      </c>
      <c r="W202" s="54" t="s">
        <v>39</v>
      </c>
      <c r="X202" s="55"/>
      <c r="Y202" s="55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48" t="n">
        <f aca="false">K142</f>
        <v>58.1740236444686</v>
      </c>
      <c r="AL202" s="48" t="n">
        <f aca="false">L142</f>
        <v>63.7093384254639</v>
      </c>
      <c r="AM202" s="48" t="n">
        <f aca="false">M142</f>
        <v>71.5293756219378</v>
      </c>
      <c r="AN202" s="48" t="n">
        <f aca="false">N142</f>
        <v>78.7184167455227</v>
      </c>
      <c r="AO202" s="48" t="n">
        <f aca="false">O142</f>
        <v>84.2240102859638</v>
      </c>
      <c r="AP202" s="48" t="n">
        <f aca="false">P142</f>
        <v>88.1089613946886</v>
      </c>
      <c r="AQ202" s="48" t="n">
        <f aca="false">Q142</f>
        <v>90.0614138659108</v>
      </c>
      <c r="AR202" s="48" t="n">
        <f aca="false">R142</f>
        <v>89.2574064990198</v>
      </c>
      <c r="AS202" s="29"/>
    </row>
    <row r="203" customFormat="false" ht="11.25" hidden="false" customHeight="false" outlineLevel="0" collapsed="false">
      <c r="T203" s="13"/>
      <c r="U203" s="99" t="str">
        <f aca="false">AA199</f>
        <v> Consumo (0 - 150 T$ / ano)</v>
      </c>
      <c r="V203" s="25" t="n">
        <v>150</v>
      </c>
      <c r="W203" s="70" t="n">
        <f aca="false">W205</f>
        <v>150</v>
      </c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47" t="n">
        <f aca="false">AK202/AK201*1000000</f>
        <v>8043.3365750167</v>
      </c>
      <c r="AL203" s="47" t="n">
        <f aca="false">AL202/AL201*1000000</f>
        <v>8487.07376540959</v>
      </c>
      <c r="AM203" s="47" t="n">
        <f aca="false">AM202/AM201*1000000</f>
        <v>9260.36234910844</v>
      </c>
      <c r="AN203" s="47" t="n">
        <f aca="false">AN202/AN201*1000000</f>
        <v>9976.17930087872</v>
      </c>
      <c r="AO203" s="47" t="n">
        <f aca="false">AO202/AO201*1000000</f>
        <v>10526.5385477304</v>
      </c>
      <c r="AP203" s="47" t="n">
        <f aca="false">AP202/AP201*1000000</f>
        <v>10946.0460582493</v>
      </c>
      <c r="AQ203" s="47" t="n">
        <f aca="false">AQ202/AQ201*1000000</f>
        <v>11213.8748245038</v>
      </c>
      <c r="AR203" s="47" t="n">
        <f aca="false">AR202/AR201*1000000</f>
        <v>11229.4144360459</v>
      </c>
      <c r="AS203" s="29"/>
    </row>
    <row r="204" customFormat="false" ht="11.25" hidden="false" customHeight="false" outlineLevel="0" collapsed="false">
      <c r="T204" s="13"/>
      <c r="U204" s="99" t="str">
        <f aca="false">AA200</f>
        <v> Consumo por pessoa (0 - 12000 $ / ano)</v>
      </c>
      <c r="V204" s="25" t="n">
        <v>12000</v>
      </c>
      <c r="W204" s="70" t="n">
        <f aca="false">W206</f>
        <v>12000</v>
      </c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 customFormat="false" ht="11.25" hidden="false" customHeight="false" outlineLevel="0" collapsed="false">
      <c r="T205" s="13"/>
      <c r="U205" s="100" t="str">
        <f aca="false">CONCATENATE("Consumption from Your forecast (0 - ",W205, " T$ / yr)")</f>
        <v> Consumo previsto (0 - 150 T$/ano)</v>
      </c>
      <c r="W205" s="4" t="n">
        <v>150</v>
      </c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57" t="n">
        <f aca="false">AK202/$W$205</f>
        <v>0.387826824296457</v>
      </c>
      <c r="AL205" s="57" t="n">
        <f aca="false">AL202/$W$205</f>
        <v>0.424728922836426</v>
      </c>
      <c r="AM205" s="57" t="n">
        <f aca="false">AM202/$W$205</f>
        <v>0.476862504146252</v>
      </c>
      <c r="AN205" s="57" t="n">
        <f aca="false">AN202/$W$205</f>
        <v>0.524789444970151</v>
      </c>
      <c r="AO205" s="57" t="n">
        <f aca="false">AO202/$W$205</f>
        <v>0.561493401906425</v>
      </c>
      <c r="AP205" s="57" t="n">
        <f aca="false">AP202/$W$205</f>
        <v>0.587393075964591</v>
      </c>
      <c r="AQ205" s="57" t="n">
        <f aca="false">AQ202/$W$205</f>
        <v>0.600409425772738</v>
      </c>
      <c r="AR205" s="57" t="n">
        <f aca="false">AR202/$W$205</f>
        <v>0.595049376660132</v>
      </c>
      <c r="AS205" s="29"/>
    </row>
    <row r="206" customFormat="false" ht="11.25" hidden="false" customHeight="false" outlineLevel="0" collapsed="false">
      <c r="T206" s="13"/>
      <c r="U206" s="37" t="str">
        <f aca="false">CONCATENATE("Consumption per person from Your forecast (0 - ",W206, " $ / yr)")</f>
        <v> Consumo por pessoa de acordo com sua previsão (0 - 12.000 $/ano)</v>
      </c>
      <c r="W206" s="4" t="n">
        <v>12000</v>
      </c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57" t="n">
        <f aca="false">AK203/$W$206</f>
        <v>0.670278047918058</v>
      </c>
      <c r="AL206" s="57" t="n">
        <f aca="false">AL203/$W$206</f>
        <v>0.707256147117465</v>
      </c>
      <c r="AM206" s="57" t="n">
        <f aca="false">AM203/$W$206</f>
        <v>0.771696862425703</v>
      </c>
      <c r="AN206" s="57" t="n">
        <f aca="false">AN203/$W$206</f>
        <v>0.831348275073227</v>
      </c>
      <c r="AO206" s="57" t="n">
        <f aca="false">AO203/$W$206</f>
        <v>0.877211545644203</v>
      </c>
      <c r="AP206" s="57" t="n">
        <f aca="false">AP203/$W$206</f>
        <v>0.91217050485411</v>
      </c>
      <c r="AQ206" s="57" t="n">
        <f aca="false">AQ203/$W$206</f>
        <v>0.934489568708652</v>
      </c>
      <c r="AR206" s="57" t="n">
        <f aca="false">AR203/$W$206</f>
        <v>0.935784536337159</v>
      </c>
      <c r="AS206" s="29"/>
    </row>
    <row r="207" customFormat="false" ht="11.25" hidden="false" customHeight="false" outlineLevel="0" collapsed="false">
      <c r="T207" s="13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S207" s="29"/>
    </row>
    <row r="208" customFormat="false" ht="11.25" hidden="false" customHeight="false" outlineLevel="0" collapsed="false">
      <c r="T208" s="13"/>
    </row>
    <row r="209" customFormat="false" ht="11.25" hidden="false" customHeight="false" outlineLevel="0" collapsed="false">
      <c r="T209" s="13"/>
    </row>
    <row r="210" customFormat="false" ht="11.25" hidden="false" customHeight="false" outlineLevel="0" collapsed="false">
      <c r="T210" s="13"/>
    </row>
    <row r="211" customFormat="false" ht="11.25" hidden="false" customHeight="false" outlineLevel="0" collapsed="false">
      <c r="T211" s="13"/>
    </row>
    <row r="212" customFormat="false" ht="11.25" hidden="false" customHeight="false" outlineLevel="0" collapsed="false">
      <c r="T212" s="13"/>
    </row>
    <row r="213" customFormat="false" ht="11.25" hidden="false" customHeight="false" outlineLevel="0" collapsed="false">
      <c r="T213" s="13"/>
    </row>
    <row r="214" customFormat="false" ht="11.25" hidden="false" customHeight="false" outlineLevel="0" collapsed="false">
      <c r="T214" s="13"/>
    </row>
    <row r="215" s="3" customFormat="true" ht="11.25" hidden="false" customHeight="false" outlineLevel="0" collapsed="false">
      <c r="T215" s="13"/>
    </row>
    <row r="216" s="35" customFormat="true" ht="13.8" hidden="false" customHeight="false" outlineLevel="0" collapsed="false">
      <c r="T216" s="13"/>
      <c r="V216" s="3"/>
      <c r="W216" s="3"/>
      <c r="X216" s="3"/>
      <c r="Y216" s="3"/>
    </row>
    <row r="217" s="35" customFormat="true" ht="13.8" hidden="false" customHeight="false" outlineLevel="0" collapsed="false">
      <c r="T217" s="13"/>
      <c r="V217" s="3"/>
      <c r="W217" s="3"/>
      <c r="X217" s="3"/>
      <c r="Y217" s="3"/>
    </row>
    <row r="218" s="3" customFormat="true" ht="11.25" hidden="false" customHeight="false" outlineLevel="0" collapsed="false">
      <c r="T218" s="13"/>
    </row>
    <row r="219" s="3" customFormat="true" ht="11.25" hidden="false" customHeight="false" outlineLevel="0" collapsed="false">
      <c r="T219" s="13"/>
    </row>
    <row r="220" customFormat="false" ht="11.25" hidden="false" customHeight="false" outlineLevel="0" collapsed="false">
      <c r="T220" s="13"/>
    </row>
    <row r="221" customFormat="false" ht="11.25" hidden="false" customHeight="false" outlineLevel="0" collapsed="false">
      <c r="T221" s="13"/>
    </row>
    <row r="222" customFormat="false" ht="11.25" hidden="false" customHeight="false" outlineLevel="0" collapsed="false">
      <c r="T222" s="13"/>
    </row>
    <row r="223" customFormat="false" ht="11.25" hidden="false" customHeight="false" outlineLevel="0" collapsed="false">
      <c r="T223" s="13"/>
    </row>
    <row r="224" customFormat="false" ht="11.25" hidden="false" customHeight="false" outlineLevel="0" collapsed="false">
      <c r="T224" s="13"/>
    </row>
    <row r="225" customFormat="false" ht="11.25" hidden="false" customHeight="false" outlineLevel="0" collapsed="false">
      <c r="T225" s="13"/>
    </row>
    <row r="226" customFormat="false" ht="11.25" hidden="false" customHeight="false" outlineLevel="0" collapsed="false">
      <c r="T226" s="13"/>
    </row>
    <row r="227" customFormat="false" ht="11.25" hidden="false" customHeight="false" outlineLevel="0" collapsed="false">
      <c r="T227" s="13"/>
    </row>
    <row r="228" customFormat="false" ht="12.65" hidden="false" customHeight="false" outlineLevel="0" collapsed="false">
      <c r="A228" s="61" t="s">
        <v>81</v>
      </c>
      <c r="T228" s="13"/>
    </row>
    <row r="229" customFormat="false" ht="12.65" hidden="false" customHeight="false" outlineLevel="0" collapsed="false">
      <c r="A229" s="23" t="str">
        <f aca="false">CONCATENATE(A228,". Energy Use - ",A5," 1970 to 2050")</f>
        <v> Gráfico 6. Uso de energia - SumWorld de 1970 a 2050</v>
      </c>
      <c r="T229" s="13"/>
    </row>
    <row r="230" customFormat="false" ht="11.25" hidden="false" customHeight="false" outlineLevel="0" collapsed="false">
      <c r="B230" s="101" t="n">
        <v>1970</v>
      </c>
      <c r="C230" s="101" t="n">
        <v>1975</v>
      </c>
      <c r="D230" s="101" t="n">
        <v>1980</v>
      </c>
      <c r="E230" s="101" t="n">
        <v>1985</v>
      </c>
      <c r="F230" s="101" t="n">
        <v>1990</v>
      </c>
      <c r="G230" s="101" t="n">
        <v>1995</v>
      </c>
      <c r="H230" s="101" t="n">
        <v>2000</v>
      </c>
      <c r="I230" s="101" t="n">
        <v>2005</v>
      </c>
      <c r="J230" s="101" t="n">
        <v>2010</v>
      </c>
      <c r="K230" s="101" t="n">
        <v>2015</v>
      </c>
      <c r="L230" s="101" t="n">
        <v>2020</v>
      </c>
      <c r="M230" s="101" t="n">
        <v>2025</v>
      </c>
      <c r="N230" s="101" t="n">
        <v>2030</v>
      </c>
      <c r="O230" s="101" t="n">
        <v>2035</v>
      </c>
      <c r="P230" s="101" t="n">
        <v>2040</v>
      </c>
      <c r="Q230" s="101" t="n">
        <v>2045</v>
      </c>
      <c r="R230" s="101" t="n">
        <v>2050</v>
      </c>
      <c r="S230" s="25" t="s">
        <v>15</v>
      </c>
      <c r="T230" s="13"/>
    </row>
    <row r="231" customFormat="false" ht="11.25" hidden="false" customHeight="false" outlineLevel="0" collapsed="false">
      <c r="A231" s="11" t="str">
        <f aca="false">A134</f>
        <v> PIB SumWorld</v>
      </c>
      <c r="B231" s="160" t="n">
        <f aca="false">B134</f>
        <v>16.6234990193103</v>
      </c>
      <c r="C231" s="160" t="n">
        <f aca="false">C134</f>
        <v>20.2371024599048</v>
      </c>
      <c r="D231" s="160" t="n">
        <f aca="false">D134</f>
        <v>24.4539871145969</v>
      </c>
      <c r="E231" s="160" t="n">
        <f aca="false">E134</f>
        <v>28.027811317816</v>
      </c>
      <c r="F231" s="160" t="n">
        <f aca="false">F134</f>
        <v>36.2286172307455</v>
      </c>
      <c r="G231" s="160" t="n">
        <f aca="false">G134</f>
        <v>41.5060931997364</v>
      </c>
      <c r="H231" s="160" t="n">
        <f aca="false">H134</f>
        <v>48.9240038966411</v>
      </c>
      <c r="I231" s="160" t="n">
        <f aca="false">I134</f>
        <v>59.3516654405472</v>
      </c>
      <c r="J231" s="160" t="n">
        <f aca="false">J134</f>
        <v>66.804166910091</v>
      </c>
      <c r="K231" s="160" t="n">
        <f aca="false">K134</f>
        <v>77.31169502576</v>
      </c>
      <c r="L231" s="160" t="n">
        <f aca="false">L134</f>
        <v>89.2696559309027</v>
      </c>
      <c r="M231" s="160" t="n">
        <f aca="false">M134</f>
        <v>102.8078962373</v>
      </c>
      <c r="N231" s="160" t="n">
        <f aca="false">N134</f>
        <v>115.818697557203</v>
      </c>
      <c r="O231" s="160" t="n">
        <f aca="false">O134</f>
        <v>126.575257031175</v>
      </c>
      <c r="P231" s="160" t="n">
        <f aca="false">P134</f>
        <v>135.137412870323</v>
      </c>
      <c r="Q231" s="160" t="n">
        <f aca="false">Q134</f>
        <v>142.097812187292</v>
      </c>
      <c r="R231" s="160" t="n">
        <f aca="false">R134</f>
        <v>145.371448837128</v>
      </c>
      <c r="S231" s="28" t="s">
        <v>53</v>
      </c>
      <c r="T231" s="13"/>
      <c r="U231" s="103" t="s">
        <v>82</v>
      </c>
    </row>
    <row r="232" customFormat="false" ht="11.25" hidden="false" customHeight="false" outlineLevel="0" collapsed="false">
      <c r="A232" s="11" t="s">
        <v>83</v>
      </c>
      <c r="B232" s="27" t="n">
        <f aca="false"> EUA!B242+ China!B242+ OCDE!B242+ BRISE!B242+ LINHA!B242</f>
        <v>2234.86374542487</v>
      </c>
      <c r="C232" s="27" t="n">
        <f aca="false"> EUA!C242+ China!C242+ OCDE!C242+ BRISE!C242+ LINHA!C242</f>
        <v>2653.25399263207</v>
      </c>
      <c r="D232" s="27" t="n">
        <f aca="false"> EUA!D242+ China!D242+ OCDE!D242+ BRISE!D242+ LINHA!D242</f>
        <v>2908.01985627201</v>
      </c>
      <c r="E232" s="27" t="n">
        <f aca="false"> EUA!E242+ China!E242+ OCDE!E242+ BRISE!E242+ LINHA!E242</f>
        <v>2727.47336060053</v>
      </c>
      <c r="F232" s="27" t="n">
        <f aca="false"> EUA!F242+ China!F242+ OCDE!F242+ BRISE!F242+ LINHA!F242</f>
        <v>3055.48804856343</v>
      </c>
      <c r="G232" s="27" t="n">
        <f aca="false"> EUA!G242+ China!G242+ OCDE!G242+ BRISE!G242+ LINHA!G242</f>
        <v>3168.19975997844</v>
      </c>
      <c r="H232" s="27" t="n">
        <f aca="false"> EUA!H242+ China!H242+ OCDE!H242+ BRISE!H242+ LINHA!H242</f>
        <v>3453.23085209087</v>
      </c>
      <c r="I232" s="27" t="n">
        <f aca="false"> EUA!I242+ China!I242+ OCDE!I242+ BRISE!I242+ LINHA!I242</f>
        <v>3787.35541822844</v>
      </c>
      <c r="J232" s="27" t="n">
        <f aca="false"> EUA!J242+ China!J242+ OCDE!J242+ BRISE!J242+ LINHA!J242</f>
        <v>3911.94554940734</v>
      </c>
      <c r="K232" s="27" t="n">
        <f aca="false"> EUA!K242+ China!K242+ OCDE!K242+ BRISE!K242+ LINHA!K242</f>
        <v>3986.45400329992</v>
      </c>
      <c r="L232" s="27" t="n">
        <f aca="false"> EUA!L242+ China!L242+ OCDE!L242+ BRISE!L242+ LINHA!L242</f>
        <v>3982.56908441228</v>
      </c>
      <c r="M232" s="27" t="n">
        <f aca="false"> EUA!M242+ China!M242+ OCDE!M242+ BRISE!M242+ LINHA!M242</f>
        <v>4058.37413099971</v>
      </c>
      <c r="N232" s="27" t="n">
        <f aca="false"> EUA!N242+ China!N242+ OCDE!N242+ BRISE!N242+ LINHA!N242</f>
        <v>3943.74959402493</v>
      </c>
      <c r="O232" s="27" t="n">
        <f aca="false"> EUA!O242+ China!O242+ OCDE!O242+ BRISE!O242+ LINHA!O242</f>
        <v>3733.93226568398</v>
      </c>
      <c r="P232" s="27" t="n">
        <f aca="false"> EUA!P242+ China!P242+ OCDE!P242+ BRISE!P242+ LINHA!P242</f>
        <v>3424.95288216224</v>
      </c>
      <c r="Q232" s="27" t="n">
        <f aca="false"> EUA!Q242+ China!Q242+ OCDE!Q242+ BRISE!Q242+ LINHA!Q242</f>
        <v>3083.19357899739</v>
      </c>
      <c r="R232" s="27" t="n">
        <f aca="false"> EUA!R242+ China!R242+ OCDE!R242+ BRISE!R242+ LINHA!R242</f>
        <v>2636.01271762887</v>
      </c>
      <c r="S232" s="28" t="s">
        <v>84</v>
      </c>
      <c r="T232" s="13"/>
      <c r="U232" s="103" t="s">
        <v>85</v>
      </c>
    </row>
    <row r="233" customFormat="false" ht="11.25" hidden="false" customHeight="false" outlineLevel="0" collapsed="false">
      <c r="A233" s="11" t="s">
        <v>86</v>
      </c>
      <c r="B233" s="27" t="n">
        <f aca="false"> EUA!B243+ China!B243+ OCDE!B243+ BRISE!B243+ LINHA!B243</f>
        <v>889.441288221606</v>
      </c>
      <c r="C233" s="27" t="n">
        <f aca="false"> EUA!C243+ China!C243+ OCDE!C243+ BRISE!C243+ LINHA!C243</f>
        <v>1060.00757033227</v>
      </c>
      <c r="D233" s="27" t="n">
        <f aca="false"> EUA!D243+ China!D243+ OCDE!D243+ BRISE!D243+ LINHA!D243</f>
        <v>1276.1354042577</v>
      </c>
      <c r="E233" s="27" t="n">
        <f aca="false"> EUA!E243+ China!E243+ OCDE!E243+ BRISE!E243+ LINHA!E243</f>
        <v>1462.42032853786</v>
      </c>
      <c r="F233" s="27" t="n">
        <f aca="false"> EUA!F243+ China!F243+ OCDE!F243+ BRISE!F243+ LINHA!F243</f>
        <v>1741.70273472434</v>
      </c>
      <c r="G233" s="27" t="n">
        <f aca="false"> EUA!G243+ China!G243+ OCDE!G243+ BRISE!G243+ LINHA!G243</f>
        <v>1892.55251833007</v>
      </c>
      <c r="H233" s="27" t="n">
        <f aca="false"> EUA!H243+ China!H243+ OCDE!H243+ BRISE!H243+ LINHA!H243</f>
        <v>2126.19778189488</v>
      </c>
      <c r="I233" s="27" t="n">
        <f aca="false"> EUA!I243+ China!I243+ OCDE!I243+ BRISE!I243+ LINHA!I243</f>
        <v>2438.52637936328</v>
      </c>
      <c r="J233" s="27" t="n">
        <f aca="false"> EUA!J243+ China!J243+ OCDE!J243+ BRISE!J243+ LINHA!J243</f>
        <v>2761.03964697482</v>
      </c>
      <c r="K233" s="27" t="n">
        <f aca="false"> EUA!K243+ China!K243+ OCDE!K243+ BRISE!K243+ LINHA!K243</f>
        <v>3231.62567668226</v>
      </c>
      <c r="L233" s="27" t="n">
        <f aca="false"> EUA!L243+ China!L243+ OCDE!L243+ BRISE!L243+ LINHA!L243</f>
        <v>3852.1193563564</v>
      </c>
      <c r="M233" s="27" t="n">
        <f aca="false"> EUA!M243+ China!M243+ OCDE!M243+ BRISE!M243+ LINHA!M243</f>
        <v>4264.39635412551</v>
      </c>
      <c r="N233" s="27" t="n">
        <f aca="false"> EUA!N243+ China!N243+ OCDE!N243+ BRISE!N243+ LINHA!N243</f>
        <v>4574.67452395341</v>
      </c>
      <c r="O233" s="27" t="n">
        <f aca="false"> EUA!O243+ China!O243+ OCDE!O243+ BRISE!O243+ LINHA!O243</f>
        <v>4685.15103270744</v>
      </c>
      <c r="P233" s="27" t="n">
        <f aca="false"> EUA!P243+ China!P243+ OCDE!P243+ BRISE!P243+ LINHA!P243</f>
        <v>4567.9537057749</v>
      </c>
      <c r="Q233" s="27" t="n">
        <f aca="false"> EUA!Q243+ China!Q243+ OCDE!Q243+ BRISE!Q243+ LINHA!Q243</f>
        <v>4363.50491067387</v>
      </c>
      <c r="R233" s="27" t="n">
        <f aca="false"> EUA!R243+ China!R243+ OCDE!R243+ BRISE!R243+ LINHA!R243</f>
        <v>3834.18848074587</v>
      </c>
      <c r="S233" s="28" t="s">
        <v>84</v>
      </c>
      <c r="T233" s="13"/>
    </row>
    <row r="234" customFormat="false" ht="11.25" hidden="false" customHeight="false" outlineLevel="0" collapsed="false">
      <c r="A234" s="11" t="s">
        <v>87</v>
      </c>
      <c r="B234" s="27" t="n">
        <f aca="false"> EUA!B244+ China!B244+ OCDE!B244+ BRISE!B244+ LINHA!B244</f>
        <v>1494.25872742404</v>
      </c>
      <c r="C234" s="27" t="n">
        <f aca="false"> EUA!C244+ China!C244+ OCDE!C244+ BRISE!C244+ LINHA!C244</f>
        <v>1579.13331388452</v>
      </c>
      <c r="D234" s="27" t="n">
        <f aca="false"> EUA!D244+ China!D244+ OCDE!D244+ BRISE!D244+ LINHA!D244</f>
        <v>1796.59702689787</v>
      </c>
      <c r="E234" s="27" t="n">
        <f aca="false"> EUA!E244+ China!E244+ OCDE!E244+ BRISE!E244+ LINHA!E244</f>
        <v>2042.35341067853</v>
      </c>
      <c r="F234" s="27" t="n">
        <f aca="false"> EUA!F244+ China!F244+ OCDE!F244+ BRISE!F244+ LINHA!F244</f>
        <v>2200.05941216984</v>
      </c>
      <c r="G234" s="27" t="n">
        <f aca="false"> EUA!G244+ China!G244+ OCDE!G244+ BRISE!G244+ LINHA!G244</f>
        <v>2233.71918800129</v>
      </c>
      <c r="H234" s="27" t="n">
        <f aca="false"> EUA!H244+ China!H244+ OCDE!H244+ BRISE!H244+ LINHA!H244</f>
        <v>2368.05409003042</v>
      </c>
      <c r="I234" s="27" t="n">
        <f aca="false"> EUA!I244+ China!I244+ OCDE!I244+ BRISE!I244+ LINHA!I244</f>
        <v>2977.69045690982</v>
      </c>
      <c r="J234" s="27" t="n">
        <f aca="false"> EUA!J244+ China!J244+ OCDE!J244+ BRISE!J244+ LINHA!J244</f>
        <v>3513.04112163238</v>
      </c>
      <c r="K234" s="27" t="n">
        <f aca="false"> EUA!K244+ China!K244+ OCDE!K244+ BRISE!K244+ LINHA!K244</f>
        <v>4003.43891038108</v>
      </c>
      <c r="L234" s="27" t="n">
        <f aca="false"> EUA!L244+ China!L244+ OCDE!L244+ BRISE!L244+ LINHA!L244</f>
        <v>4510.16591403089</v>
      </c>
      <c r="M234" s="27" t="n">
        <f aca="false"> EUA!M244+ China!M244+ OCDE!M244+ BRISE!M244+ LINHA!M244</f>
        <v>4781.08338534849</v>
      </c>
      <c r="N234" s="27" t="n">
        <f aca="false"> EUA!N244+ China!N244+ OCDE!N244+ BRISE!N244+ LINHA!N244</f>
        <v>4993.54519301789</v>
      </c>
      <c r="O234" s="27" t="n">
        <f aca="false"> EUA!O244+ China!O244+ OCDE!O244+ BRISE!O244+ LINHA!O244</f>
        <v>4945.86554285936</v>
      </c>
      <c r="P234" s="27" t="n">
        <f aca="false"> EUA!P244+ China!P244+ OCDE!P244+ BRISE!P244+ LINHA!P244</f>
        <v>4831.23022732268</v>
      </c>
      <c r="Q234" s="27" t="n">
        <f aca="false"> EUA!Q244+ China!Q244+ OCDE!Q244+ BRISE!Q244+ LINHA!Q244</f>
        <v>4426.69586047592</v>
      </c>
      <c r="R234" s="27" t="n">
        <f aca="false"> EUA!R244+ China!R244+ OCDE!R244+ BRISE!R244+ LINHA!R244</f>
        <v>3988.97633246585</v>
      </c>
      <c r="S234" s="28" t="s">
        <v>84</v>
      </c>
      <c r="T234" s="13"/>
    </row>
    <row r="235" customFormat="false" ht="11.25" hidden="false" customHeight="false" outlineLevel="0" collapsed="false">
      <c r="A235" s="11" t="s">
        <v>88</v>
      </c>
      <c r="B235" s="27" t="n">
        <f aca="false"> EUA!B245+ China!B245+ OCDE!B245+ BRISE!B245+ LINHA!B245</f>
        <v>17.4963699025588</v>
      </c>
      <c r="C235" s="27" t="n">
        <f aca="false"> EUA!C245+ China!C245+ OCDE!C245+ BRISE!C245+ LINHA!C245</f>
        <v>82.4409781251566</v>
      </c>
      <c r="D235" s="27" t="n">
        <f aca="false"> EUA!D245+ China!D245+ OCDE!D245+ BRISE!D245+ LINHA!D245</f>
        <v>160.975882060676</v>
      </c>
      <c r="E235" s="27" t="n">
        <f aca="false"> EUA!E245+ China!E245+ OCDE!E245+ BRISE!E245+ LINHA!E245</f>
        <v>335.332162139181</v>
      </c>
      <c r="F235" s="27" t="n">
        <f aca="false"> EUA!F245+ China!F245+ OCDE!F245+ BRISE!F245+ LINHA!F245</f>
        <v>452.416015905947</v>
      </c>
      <c r="G235" s="27" t="n">
        <f aca="false"> EUA!G245+ China!G245+ OCDE!G245+ BRISE!G245+ LINHA!G245</f>
        <v>523.992483742734</v>
      </c>
      <c r="H235" s="27" t="n">
        <f aca="false"> EUA!H245+ China!H245+ OCDE!H245+ BRISE!H245+ LINHA!H245</f>
        <v>582.474512983188</v>
      </c>
      <c r="I235" s="27" t="n">
        <f aca="false"> EUA!I245+ China!I245+ OCDE!I245+ BRISE!I245+ LINHA!I245</f>
        <v>624.350189854303</v>
      </c>
      <c r="J235" s="27" t="n">
        <f aca="false"> EUA!J245+ China!J245+ OCDE!J245+ BRISE!J245+ LINHA!J245</f>
        <v>624.82361917431</v>
      </c>
      <c r="K235" s="27" t="n">
        <f aca="false"> EUA!K245+ China!K245+ OCDE!K245+ BRISE!K245+ LINHA!K245</f>
        <v>671.586773232913</v>
      </c>
      <c r="L235" s="27" t="n">
        <f aca="false"> EUA!L245+ China!L245+ OCDE!L245+ BRISE!L245+ LINHA!L245</f>
        <v>677.7366141557</v>
      </c>
      <c r="M235" s="27" t="n">
        <f aca="false"> EUA!M245+ China!M245+ OCDE!M245+ BRISE!M245+ LINHA!M245</f>
        <v>690.325166463687</v>
      </c>
      <c r="N235" s="27" t="n">
        <f aca="false"> EUA!N245+ China!N245+ OCDE!N245+ BRISE!N245+ LINHA!N245</f>
        <v>627.026322767932</v>
      </c>
      <c r="O235" s="27" t="n">
        <f aca="false"> EUA!O245+ China!O245+ OCDE!O245+ BRISE!O245+ LINHA!O245</f>
        <v>605.455688799585</v>
      </c>
      <c r="P235" s="27" t="n">
        <f aca="false"> EUA!P245+ China!P245+ OCDE!P245+ BRISE!P245+ LINHA!P245</f>
        <v>558.811557935956</v>
      </c>
      <c r="Q235" s="27" t="n">
        <f aca="false"> EUA!Q245+ China!Q245+ OCDE!Q245+ BRISE!Q245+ LINHA!Q245</f>
        <v>488.47424409959</v>
      </c>
      <c r="R235" s="27" t="n">
        <f aca="false"> EUA!R245+ China!R245+ OCDE!R245+ BRISE!R245+ LINHA!R245</f>
        <v>432.636694560627</v>
      </c>
      <c r="S235" s="28" t="s">
        <v>84</v>
      </c>
      <c r="T235" s="13"/>
    </row>
    <row r="236" customFormat="false" ht="11.25" hidden="false" customHeight="false" outlineLevel="0" collapsed="false">
      <c r="A236" s="11" t="s">
        <v>89</v>
      </c>
      <c r="B236" s="27" t="n">
        <f aca="false"> EUA!B246+ China!B246+ OCDE!B246+ BRISE!B246+ LINHA!B246</f>
        <v>262.528101298878</v>
      </c>
      <c r="C236" s="27" t="n">
        <f aca="false"> EUA!C246+ China!C246+ OCDE!C246+ BRISE!C246+ LINHA!C246</f>
        <v>320.767882001407</v>
      </c>
      <c r="D236" s="27" t="n">
        <f aca="false"> EUA!D246+ China!D246+ OCDE!D246+ BRISE!D246+ LINHA!D246</f>
        <v>377.813332900134</v>
      </c>
      <c r="E236" s="27" t="n">
        <f aca="false"> EUA!E246+ China!E246+ OCDE!E246+ BRISE!E246+ LINHA!E246</f>
        <v>439.219089974046</v>
      </c>
      <c r="F236" s="27" t="n">
        <f aca="false"> EUA!F246+ China!F246+ OCDE!F246+ BRISE!F246+ LINHA!F246</f>
        <v>478.451037314287</v>
      </c>
      <c r="G236" s="27" t="n">
        <f aca="false"> EUA!G246+ China!G246+ OCDE!G246+ BRISE!G246+ LINHA!G246</f>
        <v>547.091453899156</v>
      </c>
      <c r="H236" s="27" t="n">
        <f aca="false"> EUA!H246+ China!H246+ OCDE!H246+ BRISE!H246+ LINHA!H246</f>
        <v>584.907748001349</v>
      </c>
      <c r="I236" s="27" t="n">
        <f aca="false"> EUA!I246+ China!I246+ OCDE!I246+ BRISE!I246+ LINHA!I246</f>
        <v>643.391666922764</v>
      </c>
      <c r="J236" s="27" t="n">
        <f aca="false"> EUA!J246+ China!J246+ OCDE!J246+ BRISE!J246+ LINHA!J246</f>
        <v>755.553184907072</v>
      </c>
      <c r="S236" s="28" t="s">
        <v>84</v>
      </c>
      <c r="T236" s="13"/>
    </row>
    <row r="237" customFormat="false" ht="11.25" hidden="false" customHeight="false" outlineLevel="0" collapsed="false">
      <c r="A237" s="11" t="s">
        <v>90</v>
      </c>
      <c r="B237" s="47"/>
      <c r="C237" s="47"/>
      <c r="D237" s="47"/>
      <c r="E237" s="47"/>
      <c r="F237" s="27" t="n">
        <f aca="false"> EUA!F247+ China!F247+ OCDE!F247+ BRISE!F247+ LINHA!F247</f>
        <v>26.9683855460886</v>
      </c>
      <c r="G237" s="27" t="n">
        <f aca="false"> EUA!G247+ China!G247+ OCDE!G247+ BRISE!G247+ LINHA!G247</f>
        <v>34.7648494511296</v>
      </c>
      <c r="H237" s="27" t="n">
        <f aca="false"> EUA!H247+ China!H247+ OCDE!H247+ BRISE!H247+ LINHA!H247</f>
        <v>49.7006053111303</v>
      </c>
      <c r="I237" s="27" t="n">
        <f aca="false"> EUA!I247+ China!I247+ OCDE!I247+ BRISE!I247+ LINHA!I247</f>
        <v>81.1707228701439</v>
      </c>
      <c r="J237" s="27" t="n">
        <f aca="false"> EUA!J247+ China!J247+ OCDE!J247+ BRISE!J247+ LINHA!J247</f>
        <v>155.922069808859</v>
      </c>
      <c r="S237" s="28" t="s">
        <v>84</v>
      </c>
      <c r="T237" s="13"/>
    </row>
    <row r="238" customFormat="false" ht="11.25" hidden="false" customHeight="false" outlineLevel="0" collapsed="false">
      <c r="A238" s="11" t="s">
        <v>91</v>
      </c>
      <c r="B238" s="47"/>
      <c r="C238" s="47"/>
      <c r="D238" s="47"/>
      <c r="E238" s="47"/>
      <c r="F238" s="47"/>
      <c r="G238" s="47"/>
      <c r="H238" s="27" t="n">
        <f aca="false"> EUA!H248+ China!H248+ OCDE!H248+ BRISE!H248+ LINHA!H248</f>
        <v>9.17630723262918</v>
      </c>
      <c r="I238" s="27" t="n">
        <f aca="false"> EUA!I248+ China!I248+ OCDE!I248+ BRISE!I248+ LINHA!I248</f>
        <v>19.9436529889588</v>
      </c>
      <c r="J238" s="27" t="n">
        <f aca="false"> EUA!J248+ China!J248+ OCDE!J248+ BRISE!J248+ LINHA!J248</f>
        <v>59.2611776632032</v>
      </c>
      <c r="S238" s="28" t="s">
        <v>84</v>
      </c>
      <c r="T238" s="13"/>
    </row>
    <row r="239" customFormat="false" ht="11.25" hidden="false" customHeight="false" outlineLevel="0" collapsed="false">
      <c r="A239" s="11" t="s">
        <v>92</v>
      </c>
      <c r="B239" s="27" t="n">
        <f aca="false"> EUA!B249+ China!B249+ OCDE!B249+ BRISE!B249+ LINHA!B249</f>
        <v>262.528101298878</v>
      </c>
      <c r="C239" s="27" t="n">
        <f aca="false"> EUA!C249+ China!C249+ OCDE!C249+ BRISE!C249+ LINHA!C249</f>
        <v>320.767882001407</v>
      </c>
      <c r="D239" s="27" t="n">
        <f aca="false"> EUA!D249+ China!D249+ OCDE!D249+ BRISE!D249+ LINHA!D249</f>
        <v>377.813332900134</v>
      </c>
      <c r="E239" s="27" t="n">
        <f aca="false"> EUA!E249+ China!E249+ OCDE!E249+ BRISE!E249+ LINHA!E249</f>
        <v>439.219089974046</v>
      </c>
      <c r="F239" s="27" t="n">
        <f aca="false"> EUA!F249+ China!F249+ OCDE!F249+ BRISE!F249+ LINHA!F249</f>
        <v>505.419422860376</v>
      </c>
      <c r="G239" s="27" t="n">
        <f aca="false"> EUA!G249+ China!G249+ OCDE!G249+ BRISE!G249+ LINHA!G249</f>
        <v>581.856303350286</v>
      </c>
      <c r="H239" s="27" t="n">
        <f aca="false"> EUA!H249+ China!H249+ OCDE!H249+ BRISE!H249+ LINHA!H249</f>
        <v>643.784660545109</v>
      </c>
      <c r="I239" s="27" t="n">
        <f aca="false"> EUA!I249+ China!I249+ OCDE!I249+ BRISE!I249+ LINHA!I249</f>
        <v>744.506042781867</v>
      </c>
      <c r="J239" s="27" t="n">
        <f aca="false"> EUA!J249+ China!J249+ OCDE!J249+ BRISE!J249+ LINHA!J249</f>
        <v>970.736432379134</v>
      </c>
      <c r="K239" s="27" t="n">
        <f aca="false"> EUA!K249+ China!K249+ OCDE!K249+ BRISE!K249+ LINHA!K249</f>
        <v>1317.70661302462</v>
      </c>
      <c r="L239" s="27" t="n">
        <f aca="false"> EUA!L249+ China!L249+ OCDE!L249+ BRISE!L249+ LINHA!L249</f>
        <v>1771.52843911633</v>
      </c>
      <c r="M239" s="27" t="n">
        <f aca="false"> EUA!M249+ China!M249+ OCDE!M249+ BRISE!M249+ LINHA!M249</f>
        <v>2417.24775062044</v>
      </c>
      <c r="N239" s="27" t="n">
        <f aca="false"> EUA!N249+ China!N249+ OCDE!N249+ BRISE!N249+ LINHA!N249</f>
        <v>3096.87512648198</v>
      </c>
      <c r="O239" s="27" t="n">
        <f aca="false"> EUA!O249+ China!O249+ OCDE!O249+ BRISE!O249+ LINHA!O249</f>
        <v>3900.63346959897</v>
      </c>
      <c r="P239" s="27" t="n">
        <f aca="false"> EUA!P249+ China!P249+ OCDE!P249+ BRISE!P249+ LINHA!P249</f>
        <v>4657.29135872243</v>
      </c>
      <c r="Q239" s="27" t="n">
        <f aca="false"> EUA!Q249+ China!Q249+ OCDE!Q249+ BRISE!Q249+ LINHA!Q249</f>
        <v>5540.66955256339</v>
      </c>
      <c r="R239" s="27" t="n">
        <f aca="false"> EUA!R249+ China!R249+ OCDE!R249+ BRISE!R249+ LINHA!R249</f>
        <v>6411.9031779623</v>
      </c>
      <c r="S239" s="28" t="s">
        <v>84</v>
      </c>
      <c r="T239" s="13"/>
    </row>
    <row r="240" customFormat="false" ht="11.25" hidden="false" customHeight="false" outlineLevel="0" collapsed="false">
      <c r="A240" s="11" t="s">
        <v>93</v>
      </c>
      <c r="B240" s="27" t="n">
        <f aca="false"> EUA!B250+ China!B250+ OCDE!B250+ BRISE!B250+ LINHA!B250</f>
        <v>4898.58823227195</v>
      </c>
      <c r="C240" s="27" t="n">
        <f aca="false"> EUA!C250+ China!C250+ OCDE!C250+ BRISE!C250+ LINHA!C250</f>
        <v>5695.60373697542</v>
      </c>
      <c r="D240" s="27" t="n">
        <f aca="false"> EUA!D250+ China!D250+ OCDE!D250+ BRISE!D250+ LINHA!D250</f>
        <v>6519.54150238839</v>
      </c>
      <c r="E240" s="27" t="n">
        <f aca="false"> EUA!E250+ China!E250+ OCDE!E250+ BRISE!E250+ LINHA!E250</f>
        <v>7006.79835193014</v>
      </c>
      <c r="F240" s="27" t="n">
        <f aca="false"> EUA!F250+ China!F250+ OCDE!F250+ BRISE!F250+ LINHA!F250</f>
        <v>7955.08563422394</v>
      </c>
      <c r="G240" s="27" t="n">
        <f aca="false"> EUA!G250+ China!G250+ OCDE!G250+ BRISE!G250+ LINHA!G250</f>
        <v>8400.32025340282</v>
      </c>
      <c r="H240" s="27" t="n">
        <f aca="false"> EUA!H250+ China!H250+ OCDE!H250+ BRISE!H250+ LINHA!H250</f>
        <v>9173.74189754448</v>
      </c>
      <c r="I240" s="27" t="n">
        <f aca="false"> EUA!I250+ China!I250+ OCDE!I250+ BRISE!I250+ LINHA!I250</f>
        <v>10572.4284871377</v>
      </c>
      <c r="J240" s="27" t="n">
        <f aca="false"> EUA!J250+ China!J250+ OCDE!J250+ BRISE!J250+ LINHA!J250</f>
        <v>11781.586369568</v>
      </c>
      <c r="K240" s="27" t="n">
        <f aca="false"> EUA!K250+ China!K250+ OCDE!K250+ BRISE!K250+ LINHA!K250</f>
        <v>13210.8119766208</v>
      </c>
      <c r="L240" s="27" t="n">
        <f aca="false"> EUA!L250+ China!L250+ OCDE!L250+ BRISE!L250+ LINHA!L250</f>
        <v>14794.1194080716</v>
      </c>
      <c r="M240" s="27" t="n">
        <f aca="false"> EUA!M250+ China!M250+ OCDE!M250+ BRISE!M250+ LINHA!M250</f>
        <v>16211.4267875578</v>
      </c>
      <c r="N240" s="27" t="n">
        <f aca="false"> EUA!N250+ China!N250+ OCDE!N250+ BRISE!N250+ LINHA!N250</f>
        <v>17235.8707602461</v>
      </c>
      <c r="O240" s="27" t="n">
        <f aca="false"> EUA!O250+ China!O250+ OCDE!O250+ BRISE!O250+ LINHA!O250</f>
        <v>17871.0379996493</v>
      </c>
      <c r="P240" s="27" t="n">
        <f aca="false"> EUA!P250+ China!P250+ OCDE!P250+ BRISE!P250+ LINHA!P250</f>
        <v>18040.2397319182</v>
      </c>
      <c r="Q240" s="27" t="n">
        <f aca="false"> EUA!Q250+ China!Q250+ OCDE!Q250+ BRISE!Q250+ LINHA!Q250</f>
        <v>17902.5381468102</v>
      </c>
      <c r="R240" s="27" t="n">
        <f aca="false"> EUA!R250+ China!R250+ OCDE!R250+ BRISE!R250+ LINHA!R250</f>
        <v>17303.7174033635</v>
      </c>
      <c r="S240" s="28" t="s">
        <v>84</v>
      </c>
      <c r="T240" s="13"/>
    </row>
    <row r="241" customFormat="false" ht="11.25" hidden="false" customHeight="false" outlineLevel="0" collapsed="false">
      <c r="A241" s="46" t="s">
        <v>94</v>
      </c>
      <c r="B241" s="27" t="n">
        <f aca="false">B240/B231</f>
        <v>294.678528664851</v>
      </c>
      <c r="C241" s="27" t="n">
        <f aca="false">C240/C231</f>
        <v>281.443637905178</v>
      </c>
      <c r="D241" s="27" t="n">
        <f aca="false">D240/D231</f>
        <v>266.604438443365</v>
      </c>
      <c r="E241" s="27" t="n">
        <f aca="false">E240/E231</f>
        <v>249.994488420016</v>
      </c>
      <c r="F241" s="27" t="n">
        <f aca="false">F240/F231</f>
        <v>219.580161825024</v>
      </c>
      <c r="G241" s="27" t="n">
        <f aca="false">G240/G231</f>
        <v>202.387640122588</v>
      </c>
      <c r="H241" s="27" t="n">
        <f aca="false">H240/H231</f>
        <v>187.510039385274</v>
      </c>
      <c r="I241" s="27" t="n">
        <f aca="false">I240/I231</f>
        <v>178.131959881196</v>
      </c>
      <c r="J241" s="27" t="n">
        <f aca="false">J240/J231</f>
        <v>176.360052291713</v>
      </c>
      <c r="K241" s="27" t="n">
        <f aca="false">K240/K231</f>
        <v>170.877277651447</v>
      </c>
      <c r="L241" s="27" t="n">
        <f aca="false">L240/L231</f>
        <v>165.723943413904</v>
      </c>
      <c r="M241" s="27" t="n">
        <f aca="false">M240/M231</f>
        <v>157.686591992301</v>
      </c>
      <c r="N241" s="27" t="n">
        <f aca="false">N240/N231</f>
        <v>148.817687677185</v>
      </c>
      <c r="O241" s="27" t="n">
        <f aca="false">O240/O231</f>
        <v>141.189031875699</v>
      </c>
      <c r="P241" s="27" t="n">
        <f aca="false">P240/P231</f>
        <v>133.495523917048</v>
      </c>
      <c r="Q241" s="27" t="n">
        <f aca="false">Q240/Q231</f>
        <v>125.987429864252</v>
      </c>
      <c r="R241" s="27" t="n">
        <f aca="false">R240/R231</f>
        <v>119.031058311528</v>
      </c>
      <c r="S241" s="28" t="s">
        <v>95</v>
      </c>
      <c r="T241" s="13"/>
    </row>
    <row r="242" customFormat="false" ht="11.25" hidden="false" customHeight="false" outlineLevel="0" collapsed="false">
      <c r="A242" s="46" t="s">
        <v>96</v>
      </c>
      <c r="B242" s="27"/>
      <c r="C242" s="75" t="n">
        <f aca="false">(C241-B241)/B241*100/5</f>
        <v>-0.898259592895252</v>
      </c>
      <c r="D242" s="75" t="n">
        <f aca="false">(D241-C241)/C241*100/5</f>
        <v>-1.05450594458361</v>
      </c>
      <c r="E242" s="75" t="n">
        <f aca="false">(E241-D241)/D241*100/5</f>
        <v>-1.24603702176383</v>
      </c>
      <c r="F242" s="75" t="n">
        <f aca="false">(F241-E241)/E241*100/5</f>
        <v>-2.43319977069998</v>
      </c>
      <c r="G242" s="75" t="n">
        <f aca="false">(G241-F241)/F241*100/5</f>
        <v>-1.56594489771223</v>
      </c>
      <c r="H242" s="75" t="n">
        <f aca="false">(H241-G241)/G241*100/5</f>
        <v>-1.4702084305447</v>
      </c>
      <c r="I242" s="75" t="n">
        <f aca="false">(I241-H241)/H241*100/5</f>
        <v>-1.00027492232659</v>
      </c>
      <c r="J242" s="75" t="n">
        <f aca="false">(J241-I241)/I241*100/5</f>
        <v>-0.198943254277846</v>
      </c>
      <c r="K242" s="75" t="n">
        <f aca="false">(K241-J241)/J241*100/5</f>
        <v>-0.621770584553583</v>
      </c>
      <c r="L242" s="75" t="n">
        <f aca="false">(L241-K241)/K241*100/5</f>
        <v>-0.603162024626221</v>
      </c>
      <c r="M242" s="75" t="n">
        <f aca="false">(M241-L241)/L241*100/5</f>
        <v>-0.969968642555119</v>
      </c>
      <c r="N242" s="75" t="n">
        <f aca="false">(N241-M241)/M241*100/5</f>
        <v>-1.12487741704116</v>
      </c>
      <c r="O242" s="75" t="n">
        <f aca="false">(O241-N241)/N241*100/5</f>
        <v>-1.02523509410167</v>
      </c>
      <c r="P242" s="75" t="n">
        <f aca="false">(P241-O241)/O241*100/5</f>
        <v>-1.08981666018135</v>
      </c>
      <c r="Q242" s="75" t="n">
        <f aca="false">(Q241-P241)/P241*100/5</f>
        <v>-1.12484581242764</v>
      </c>
      <c r="R242" s="75" t="n">
        <f aca="false">(R241-Q241)/Q241*100/5</f>
        <v>-1.10429612862472</v>
      </c>
      <c r="S242" s="28" t="s">
        <v>25</v>
      </c>
      <c r="T242" s="13"/>
    </row>
    <row r="243" customFormat="false" ht="15" hidden="false" customHeight="false" outlineLevel="0" collapsed="false">
      <c r="A243" s="46" t="s">
        <v>97</v>
      </c>
      <c r="B243" s="65" t="n">
        <f aca="false">B232/B$240*100</f>
        <v>45.6226087896419</v>
      </c>
      <c r="C243" s="65" t="n">
        <f aca="false">C232/C$240*100</f>
        <v>46.584244887111</v>
      </c>
      <c r="D243" s="65" t="n">
        <f aca="false">D232/D$240*100</f>
        <v>44.6046682148841</v>
      </c>
      <c r="E243" s="65" t="n">
        <f aca="false">E232/E$240*100</f>
        <v>38.9261003900476</v>
      </c>
      <c r="F243" s="65" t="n">
        <f aca="false">F232/F$240*100</f>
        <v>38.4092414469843</v>
      </c>
      <c r="G243" s="65" t="n">
        <f aca="false">G232/G$240*100</f>
        <v>37.7152259010013</v>
      </c>
      <c r="H243" s="65" t="n">
        <f aca="false">H232/H$240*100</f>
        <v>37.6425551389798</v>
      </c>
      <c r="I243" s="65" t="n">
        <f aca="false">I232/I$240*100</f>
        <v>35.8229466658118</v>
      </c>
      <c r="J243" s="65" t="n">
        <f aca="false">J232/J$240*100</f>
        <v>33.2038948465544</v>
      </c>
      <c r="K243" s="65" t="n">
        <f aca="false">K232/K$240*100</f>
        <v>30.1756925339241</v>
      </c>
      <c r="L243" s="65" t="n">
        <f aca="false">L232/L$240*100</f>
        <v>26.9199468691554</v>
      </c>
      <c r="M243" s="65" t="n">
        <f aca="false">M232/M$240*100</f>
        <v>25.0340342289581</v>
      </c>
      <c r="N243" s="65" t="n">
        <f aca="false">N232/N$240*100</f>
        <v>22.8810580497101</v>
      </c>
      <c r="O243" s="65" t="n">
        <f aca="false">O232/O$240*100</f>
        <v>20.8937626664845</v>
      </c>
      <c r="P243" s="65" t="n">
        <f aca="false">P232/P$240*100</f>
        <v>18.9850741068731</v>
      </c>
      <c r="Q243" s="65" t="n">
        <f aca="false">Q232/Q$240*100</f>
        <v>17.2221031102606</v>
      </c>
      <c r="R243" s="65" t="n">
        <f aca="false">R232/R$240*100</f>
        <v>15.2337943124087</v>
      </c>
      <c r="S243" s="28" t="s">
        <v>44</v>
      </c>
      <c r="T243" s="13"/>
      <c r="Y243" s="105"/>
      <c r="Z243" s="105"/>
    </row>
    <row r="244" customFormat="false" ht="11.25" hidden="false" customHeight="false" outlineLevel="0" collapsed="false">
      <c r="A244" s="46" t="s">
        <v>98</v>
      </c>
      <c r="B244" s="65" t="n">
        <f aca="false">B233/B$240*100</f>
        <v>18.1570943718428</v>
      </c>
      <c r="C244" s="65" t="n">
        <f aca="false">C233/C$240*100</f>
        <v>18.6109782085221</v>
      </c>
      <c r="D244" s="65" t="n">
        <f aca="false">D233/D$240*100</f>
        <v>19.574005377375</v>
      </c>
      <c r="E244" s="65" t="n">
        <f aca="false">E233/E$240*100</f>
        <v>20.8714487713924</v>
      </c>
      <c r="F244" s="65" t="n">
        <f aca="false">F233/F$240*100</f>
        <v>21.8942047239728</v>
      </c>
      <c r="G244" s="65" t="n">
        <f aca="false">G233/G$240*100</f>
        <v>22.5295281755887</v>
      </c>
      <c r="H244" s="65" t="n">
        <f aca="false">H233/H$240*100</f>
        <v>23.1769958828251</v>
      </c>
      <c r="I244" s="65" t="n">
        <f aca="false">I233/I$240*100</f>
        <v>23.0649597897963</v>
      </c>
      <c r="J244" s="65" t="n">
        <f aca="false">J233/J$240*100</f>
        <v>23.4352111877449</v>
      </c>
      <c r="K244" s="65" t="n">
        <f aca="false">K233/K$240*100</f>
        <v>24.4619761631705</v>
      </c>
      <c r="L244" s="65" t="n">
        <f aca="false">L233/L$240*100</f>
        <v>26.0381794286093</v>
      </c>
      <c r="M244" s="65" t="n">
        <f aca="false">M233/M$240*100</f>
        <v>26.3048799467694</v>
      </c>
      <c r="N244" s="65" t="n">
        <f aca="false">N233/N$240*100</f>
        <v>26.5415921689591</v>
      </c>
      <c r="O244" s="65" t="n">
        <f aca="false">O233/O$240*100</f>
        <v>26.2164460329577</v>
      </c>
      <c r="P244" s="65" t="n">
        <f aca="false">P233/P$240*100</f>
        <v>25.3209146533287</v>
      </c>
      <c r="Q244" s="65" t="n">
        <f aca="false">Q233/Q$240*100</f>
        <v>24.3736663197746</v>
      </c>
      <c r="R244" s="65" t="n">
        <f aca="false">R233/R$240*100</f>
        <v>22.1581778722333</v>
      </c>
      <c r="S244" s="28" t="s">
        <v>44</v>
      </c>
      <c r="T244" s="13"/>
    </row>
    <row r="245" customFormat="false" ht="11.25" hidden="false" customHeight="false" outlineLevel="0" collapsed="false">
      <c r="A245" s="46" t="s">
        <v>99</v>
      </c>
      <c r="B245" s="65" t="n">
        <f aca="false">B239/B$240*100</f>
        <v>5.35926044098461</v>
      </c>
      <c r="C245" s="65" t="n">
        <f aca="false">C239/C$240*100</f>
        <v>5.63185040277656</v>
      </c>
      <c r="D245" s="65" t="n">
        <f aca="false">D239/D$240*100</f>
        <v>5.7950905406726</v>
      </c>
      <c r="E245" s="65" t="n">
        <f aca="false">E239/E$240*100</f>
        <v>6.26847053266568</v>
      </c>
      <c r="F245" s="65" t="n">
        <f aca="false">F239/F$240*100</f>
        <v>6.35341272362911</v>
      </c>
      <c r="G245" s="65" t="n">
        <f aca="false">G239/G$240*100</f>
        <v>6.92659667486589</v>
      </c>
      <c r="H245" s="65" t="n">
        <f aca="false">H239/H$240*100</f>
        <v>7.01768883117836</v>
      </c>
      <c r="I245" s="65" t="n">
        <f aca="false">I239/I$240*100</f>
        <v>7.04195865394241</v>
      </c>
      <c r="J245" s="65" t="n">
        <f aca="false">J239/J$240*100</f>
        <v>8.23943738923445</v>
      </c>
      <c r="K245" s="65" t="n">
        <f aca="false">K239/K$240*100</f>
        <v>9.9744558877726</v>
      </c>
      <c r="L245" s="65" t="n">
        <f aca="false">L239/L$240*100</f>
        <v>11.9745446839491</v>
      </c>
      <c r="M245" s="65" t="n">
        <f aca="false">M239/M$240*100</f>
        <v>14.9107649949458</v>
      </c>
      <c r="N245" s="65" t="n">
        <f aca="false">N239/N$240*100</f>
        <v>17.9676163134433</v>
      </c>
      <c r="O245" s="65" t="n">
        <f aca="false">O239/O$240*100</f>
        <v>21.8265635699253</v>
      </c>
      <c r="P245" s="65" t="n">
        <f aca="false">P239/P$240*100</f>
        <v>25.8161278781811</v>
      </c>
      <c r="Q245" s="65" t="n">
        <f aca="false">Q239/Q$240*100</f>
        <v>30.9490727355362</v>
      </c>
      <c r="R245" s="65" t="n">
        <f aca="false">R239/R$240*100</f>
        <v>37.0550618025925</v>
      </c>
      <c r="S245" s="28" t="s">
        <v>44</v>
      </c>
      <c r="T245" s="13"/>
    </row>
    <row r="246" customFormat="false" ht="11.25" hidden="false" customHeight="false" outlineLevel="0" collapsed="false">
      <c r="A246" s="46" t="s">
        <v>100</v>
      </c>
      <c r="B246" s="65" t="n">
        <f aca="false">B235/B$240*100</f>
        <v>0.357171680348483</v>
      </c>
      <c r="C246" s="65" t="n">
        <f aca="false">C235/C$240*100</f>
        <v>1.4474493299096</v>
      </c>
      <c r="D246" s="65" t="n">
        <f aca="false">D235/D$240*100</f>
        <v>2.46912887971806</v>
      </c>
      <c r="E246" s="65" t="n">
        <f aca="false">E235/E$240*100</f>
        <v>4.7858115118556</v>
      </c>
      <c r="F246" s="65" t="n">
        <f aca="false">F235/F$240*100</f>
        <v>5.68712942522689</v>
      </c>
      <c r="G246" s="65" t="n">
        <f aca="false">G235/G$240*100</f>
        <v>6.2377679414124</v>
      </c>
      <c r="H246" s="65" t="n">
        <f aca="false">H235/H$240*100</f>
        <v>6.34936669778227</v>
      </c>
      <c r="I246" s="65" t="n">
        <f aca="false">I235/I$240*100</f>
        <v>5.90545673223403</v>
      </c>
      <c r="J246" s="65" t="n">
        <f aca="false">J235/J$240*100</f>
        <v>5.30339123760311</v>
      </c>
      <c r="K246" s="65" t="n">
        <f aca="false">K235/K$240*100</f>
        <v>5.08361465155527</v>
      </c>
      <c r="L246" s="65" t="n">
        <f aca="false">L235/L$240*100</f>
        <v>4.58112169748968</v>
      </c>
      <c r="M246" s="65" t="n">
        <f aca="false">M235/M$240*100</f>
        <v>4.25826286304119</v>
      </c>
      <c r="N246" s="65" t="n">
        <f aca="false">N235/N$240*100</f>
        <v>3.63791497099261</v>
      </c>
      <c r="O246" s="65" t="n">
        <f aca="false">O235/O$240*100</f>
        <v>3.38791562533449</v>
      </c>
      <c r="P246" s="65" t="n">
        <f aca="false">P235/P$240*100</f>
        <v>3.0975838804806</v>
      </c>
      <c r="Q246" s="65" t="n">
        <f aca="false">Q235/Q$240*100</f>
        <v>2.72851949870933</v>
      </c>
      <c r="R246" s="65" t="n">
        <f aca="false">R235/R$240*100</f>
        <v>2.50025289061026</v>
      </c>
      <c r="S246" s="28" t="s">
        <v>44</v>
      </c>
      <c r="T246" s="13"/>
    </row>
    <row r="247" customFormat="false" ht="11.25" hidden="false" customHeight="false" outlineLevel="0" collapsed="false">
      <c r="A247" s="46" t="s">
        <v>101</v>
      </c>
      <c r="B247" s="65" t="n">
        <f aca="false">B234/B$240*100</f>
        <v>30.5038647171822</v>
      </c>
      <c r="C247" s="65" t="n">
        <f aca="false">C234/C$240*100</f>
        <v>27.7254771716808</v>
      </c>
      <c r="D247" s="65" t="n">
        <f aca="false">D234/D$240*100</f>
        <v>27.5571069873502</v>
      </c>
      <c r="E247" s="65" t="n">
        <f aca="false">E234/E$240*100</f>
        <v>29.1481687940388</v>
      </c>
      <c r="F247" s="65" t="n">
        <f aca="false">F234/F$240*100</f>
        <v>27.6560116801869</v>
      </c>
      <c r="G247" s="65" t="n">
        <f aca="false">G234/G$240*100</f>
        <v>26.5908813071317</v>
      </c>
      <c r="H247" s="65" t="n">
        <f aca="false">H234/H$240*100</f>
        <v>25.8133934492345</v>
      </c>
      <c r="I247" s="65" t="n">
        <f aca="false">I234/I$240*100</f>
        <v>28.1646781582154</v>
      </c>
      <c r="J247" s="65" t="n">
        <f aca="false">J234/J$240*100</f>
        <v>29.8180653388632</v>
      </c>
      <c r="K247" s="65" t="n">
        <f aca="false">100-SUM(K243:K246)</f>
        <v>30.3042607635774</v>
      </c>
      <c r="L247" s="65" t="n">
        <f aca="false">100-SUM(L243:L246)</f>
        <v>30.4862073207964</v>
      </c>
      <c r="M247" s="65" t="n">
        <f aca="false">100-SUM(M243:M246)</f>
        <v>29.4920579662855</v>
      </c>
      <c r="N247" s="65" t="n">
        <f aca="false">100-SUM(N243:N246)</f>
        <v>28.9718184968949</v>
      </c>
      <c r="O247" s="65" t="n">
        <f aca="false">100-SUM(O243:O246)</f>
        <v>27.675312105298</v>
      </c>
      <c r="P247" s="65" t="n">
        <f aca="false">100-SUM(P243:P246)</f>
        <v>26.7802994811365</v>
      </c>
      <c r="Q247" s="65" t="n">
        <f aca="false">100-SUM(Q243:Q246)</f>
        <v>24.7266383357192</v>
      </c>
      <c r="R247" s="65" t="n">
        <f aca="false">100-SUM(R243:R246)</f>
        <v>23.0527131221553</v>
      </c>
      <c r="S247" s="28" t="s">
        <v>44</v>
      </c>
      <c r="T247" s="13"/>
    </row>
    <row r="248" customFormat="false" ht="12.65" hidden="false" customHeight="false" outlineLevel="0" collapsed="false">
      <c r="A248" s="108" t="s">
        <v>7</v>
      </c>
      <c r="B248" s="95"/>
      <c r="S248" s="41"/>
      <c r="T248" s="13"/>
      <c r="U248" s="41"/>
      <c r="V248" s="41"/>
    </row>
    <row r="249" customFormat="false" ht="11.25" hidden="false" customHeight="false" outlineLevel="0" collapsed="false">
      <c r="A249" s="63"/>
      <c r="B249" s="101" t="n">
        <v>1970</v>
      </c>
      <c r="C249" s="101" t="n">
        <v>1975</v>
      </c>
      <c r="D249" s="101" t="n">
        <v>1980</v>
      </c>
      <c r="E249" s="101" t="n">
        <v>1985</v>
      </c>
      <c r="F249" s="101" t="n">
        <v>1990</v>
      </c>
      <c r="G249" s="101" t="n">
        <v>1995</v>
      </c>
      <c r="H249" s="101" t="n">
        <v>2000</v>
      </c>
      <c r="I249" s="101" t="n">
        <v>2005</v>
      </c>
      <c r="J249" s="101" t="n">
        <v>2010</v>
      </c>
      <c r="K249" s="101" t="n">
        <v>2015</v>
      </c>
      <c r="L249" s="101" t="n">
        <v>2020</v>
      </c>
      <c r="M249" s="101" t="n">
        <v>2025</v>
      </c>
      <c r="N249" s="101" t="n">
        <v>2030</v>
      </c>
      <c r="O249" s="101" t="n">
        <v>2035</v>
      </c>
      <c r="P249" s="101" t="n">
        <v>2040</v>
      </c>
      <c r="Q249" s="101" t="n">
        <v>2045</v>
      </c>
      <c r="R249" s="101" t="n">
        <v>2050</v>
      </c>
      <c r="S249" s="25" t="s">
        <v>15</v>
      </c>
      <c r="T249" s="13"/>
      <c r="U249" s="41"/>
      <c r="V249" s="41"/>
    </row>
    <row r="250" s="3" customFormat="true" ht="11.25" hidden="false" customHeight="false" outlineLevel="0" collapsed="false">
      <c r="B250" s="47"/>
      <c r="C250" s="47"/>
      <c r="D250" s="47"/>
      <c r="E250" s="47"/>
      <c r="F250" s="47"/>
      <c r="G250" s="47"/>
      <c r="H250" s="47"/>
      <c r="I250" s="47"/>
      <c r="K250" s="84" t="n">
        <f aca="false"> EUA!K261+ China!K261+ OCDE!K261+ BRISE!K261+ LINHA!K261</f>
        <v>3986.40398689839</v>
      </c>
      <c r="L250" s="84" t="n">
        <f aca="false"> EUA!L261+ China!L261+ OCDE!L261+ BRISE!L261+ LINHA!L261</f>
        <v>3808.60801695255</v>
      </c>
      <c r="M250" s="84" t="n">
        <f aca="false"> EUA!M261+ China!M261+ OCDE!M261+ BRISE!M261+ LINHA!M261</f>
        <v>3864.48819024838</v>
      </c>
      <c r="N250" s="84" t="n">
        <f aca="false"> EUA!N261+ China!N261+ OCDE!N261+ BRISE!N261+ LINHA!N261</f>
        <v>3740.3553302807</v>
      </c>
      <c r="O250" s="84" t="n">
        <f aca="false"> EUA!O261+ China!O261+ OCDE!O261+ BRISE!O261+ LINHA!O261</f>
        <v>3527.48071042074</v>
      </c>
      <c r="P250" s="84" t="n">
        <f aca="false"> EUA!P261+ China!P261+ OCDE!P261+ BRISE!P261+ LINHA!P261</f>
        <v>3224.84694563631</v>
      </c>
      <c r="Q250" s="84" t="n">
        <f aca="false"> EUA!Q261+ China!Q261+ OCDE!Q261+ BRISE!Q261+ LINHA!Q261</f>
        <v>2895.93787338521</v>
      </c>
      <c r="R250" s="84" t="n">
        <f aca="false"> EUA!R261+ China!R261+ OCDE!R261+ BRISE!R261+ LINHA!R261</f>
        <v>2472.25222662407</v>
      </c>
      <c r="S250" s="28" t="s">
        <v>84</v>
      </c>
      <c r="T250" s="13"/>
      <c r="U250" s="111" t="str">
        <f aca="false">CONCATENATE(A232," Your forecast")</f>
        <v> Uso de petróleo: sua previsão</v>
      </c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</row>
    <row r="251" s="3" customFormat="true" ht="11.25" hidden="false" customHeight="false" outlineLevel="0" collapsed="false">
      <c r="B251" s="47"/>
      <c r="C251" s="47"/>
      <c r="D251" s="47"/>
      <c r="E251" s="47"/>
      <c r="F251" s="47"/>
      <c r="G251" s="47"/>
      <c r="H251" s="47"/>
      <c r="I251" s="47"/>
      <c r="K251" s="84" t="n">
        <f aca="false"> EUA!K262+ China!K262+ OCDE!K262+ BRISE!K262+ LINHA!K262</f>
        <v>3231.58330167541</v>
      </c>
      <c r="L251" s="84" t="n">
        <f aca="false"> EUA!L262+ China!L262+ OCDE!L262+ BRISE!L262+ LINHA!L262</f>
        <v>3685.64607389226</v>
      </c>
      <c r="M251" s="84" t="n">
        <f aca="false"> EUA!M262+ China!M262+ OCDE!M262+ BRISE!M262+ LINHA!M262</f>
        <v>4063.10808892413</v>
      </c>
      <c r="N251" s="84" t="n">
        <f aca="false"> EUA!N262+ China!N262+ OCDE!N262+ BRISE!N262+ LINHA!N262</f>
        <v>4340.14718884288</v>
      </c>
      <c r="O251" s="84" t="n">
        <f aca="false"> EUA!O262+ China!O262+ OCDE!O262+ BRISE!O262+ LINHA!O262</f>
        <v>4427.2886450576</v>
      </c>
      <c r="P251" s="84" t="n">
        <f aca="false"> EUA!P262+ China!P262+ OCDE!P262+ BRISE!P262+ LINHA!P262</f>
        <v>4301.7124473083</v>
      </c>
      <c r="Q251" s="84" t="n">
        <f aca="false"> EUA!Q262+ China!Q262+ OCDE!Q262+ BRISE!Q262+ LINHA!Q262</f>
        <v>4097.64698665116</v>
      </c>
      <c r="R251" s="84" t="n">
        <f aca="false"> EUA!R262+ China!R262+ OCDE!R262+ BRISE!R262+ LINHA!R262</f>
        <v>3594.91707519245</v>
      </c>
      <c r="S251" s="28" t="s">
        <v>84</v>
      </c>
      <c r="T251" s="13"/>
      <c r="U251" s="111" t="str">
        <f aca="false">CONCATENATE(A233," Your forecast")</f>
        <v> Consumo de gás: Sua previsão</v>
      </c>
      <c r="Z251" s="113"/>
      <c r="AA251" s="114" t="s">
        <v>36</v>
      </c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6"/>
      <c r="AS251" s="11"/>
    </row>
    <row r="252" s="3" customFormat="true" ht="11.25" hidden="false" customHeight="false" outlineLevel="0" collapsed="false">
      <c r="B252" s="47"/>
      <c r="C252" s="47"/>
      <c r="D252" s="47"/>
      <c r="E252" s="47"/>
      <c r="F252" s="47"/>
      <c r="G252" s="47"/>
      <c r="H252" s="47"/>
      <c r="I252" s="47"/>
      <c r="K252" s="84" t="n">
        <f aca="false"> EUA!K263+ China!K263+ OCDE!K263+ BRISE!K263+ LINHA!K263</f>
        <v>4003.41320750808</v>
      </c>
      <c r="L252" s="84" t="n">
        <f aca="false"> EUA!L263+ China!L263+ OCDE!L263+ BRISE!L263+ LINHA!L263</f>
        <v>4581.68650871597</v>
      </c>
      <c r="M252" s="84" t="n">
        <f aca="false"> EUA!M263+ China!M263+ OCDE!M263+ BRISE!M263+ LINHA!M263</f>
        <v>4829.9033793983</v>
      </c>
      <c r="N252" s="84" t="n">
        <f aca="false"> EUA!N263+ China!N263+ OCDE!N263+ BRISE!N263+ LINHA!N263</f>
        <v>5014.6769805556</v>
      </c>
      <c r="O252" s="84" t="n">
        <f aca="false"> EUA!O263+ China!O263+ OCDE!O263+ BRISE!O263+ LINHA!O263</f>
        <v>4953.6409565879</v>
      </c>
      <c r="P252" s="84" t="n">
        <f aca="false"> EUA!P263+ China!P263+ OCDE!P263+ BRISE!P263+ LINHA!P263</f>
        <v>4829.06636895547</v>
      </c>
      <c r="Q252" s="84" t="n">
        <f aca="false"> EUA!Q263+ China!Q263+ OCDE!Q263+ BRISE!Q263+ LINHA!Q263</f>
        <v>4436.74047648275</v>
      </c>
      <c r="R252" s="84" t="n">
        <f aca="false"> EUA!R263+ China!R263+ OCDE!R263+ BRISE!R263+ LINHA!R263</f>
        <v>4012.51077703615</v>
      </c>
      <c r="S252" s="28" t="s">
        <v>84</v>
      </c>
      <c r="T252" s="13"/>
      <c r="U252" s="111" t="str">
        <f aca="false">CONCATENATE(A234," Your forecast")</f>
        <v> Uso de carvão: Sua previsão</v>
      </c>
      <c r="Z252" s="113"/>
      <c r="AA252" s="117"/>
      <c r="AB252" s="118" t="n">
        <v>1970</v>
      </c>
      <c r="AC252" s="118" t="n">
        <v>1975</v>
      </c>
      <c r="AD252" s="118" t="n">
        <v>1980</v>
      </c>
      <c r="AE252" s="118" t="n">
        <v>1985</v>
      </c>
      <c r="AF252" s="118" t="n">
        <v>1990</v>
      </c>
      <c r="AG252" s="118" t="n">
        <v>1995</v>
      </c>
      <c r="AH252" s="118" t="n">
        <v>2000</v>
      </c>
      <c r="AI252" s="118" t="n">
        <v>2005</v>
      </c>
      <c r="AJ252" s="118" t="n">
        <v>2010</v>
      </c>
      <c r="AK252" s="118" t="n">
        <v>2015</v>
      </c>
      <c r="AL252" s="118" t="n">
        <v>2020</v>
      </c>
      <c r="AM252" s="118" t="n">
        <v>2025</v>
      </c>
      <c r="AN252" s="118" t="n">
        <v>2030</v>
      </c>
      <c r="AO252" s="118" t="n">
        <v>2035</v>
      </c>
      <c r="AP252" s="118" t="n">
        <v>2040</v>
      </c>
      <c r="AQ252" s="118" t="n">
        <v>2045</v>
      </c>
      <c r="AR252" s="119" t="n">
        <v>2050</v>
      </c>
      <c r="AS252" s="11"/>
    </row>
    <row r="253" s="3" customFormat="true" ht="11.25" hidden="false" customHeight="false" outlineLevel="0" collapsed="false">
      <c r="B253" s="47"/>
      <c r="C253" s="47"/>
      <c r="D253" s="47"/>
      <c r="E253" s="47"/>
      <c r="F253" s="47"/>
      <c r="G253" s="47"/>
      <c r="H253" s="47"/>
      <c r="I253" s="47"/>
      <c r="K253" s="84" t="n">
        <f aca="false"> EUA!K264+ China!K264+ OCDE!K264+ BRISE!K264+ LINHA!K264</f>
        <v>671.575658477019</v>
      </c>
      <c r="L253" s="84" t="n">
        <f aca="false"> EUA!L264+ China!L264+ OCDE!L264+ BRISE!L264+ LINHA!L264</f>
        <v>648.662587339361</v>
      </c>
      <c r="M253" s="84" t="n">
        <f aca="false"> EUA!M264+ China!M264+ OCDE!M264+ BRISE!M264+ LINHA!M264</f>
        <v>657.565875304104</v>
      </c>
      <c r="N253" s="84" t="n">
        <f aca="false"> EUA!N264+ China!N264+ OCDE!N264+ BRISE!N264+ LINHA!N264</f>
        <v>594.603442623953</v>
      </c>
      <c r="O253" s="84" t="n">
        <f aca="false"> EUA!O264+ China!O264+ OCDE!O264+ BRISE!O264+ LINHA!O264</f>
        <v>570.780846586728</v>
      </c>
      <c r="P253" s="84" t="n">
        <f aca="false"> EUA!P264+ China!P264+ OCDE!P264+ BRISE!P264+ LINHA!P264</f>
        <v>524.96524604041</v>
      </c>
      <c r="Q253" s="84" t="n">
        <f aca="false"> EUA!Q264+ China!Q264+ OCDE!Q264+ BRISE!Q264+ LINHA!Q264</f>
        <v>457.27328174607</v>
      </c>
      <c r="R253" s="84" t="n">
        <f aca="false"> EUA!R264+ China!R264+ OCDE!R264+ BRISE!R264+ LINHA!R264</f>
        <v>403.76292524406</v>
      </c>
      <c r="S253" s="28" t="s">
        <v>84</v>
      </c>
      <c r="T253" s="13"/>
      <c r="U253" s="111" t="str">
        <f aca="false">CONCATENATE(A235," Your forecast")</f>
        <v> Uso de energia nuclear: Sua previsão</v>
      </c>
      <c r="Z253" s="113"/>
      <c r="AA253" s="117" t="str">
        <f aca="false">CONCATENATE(A240," (0 - ",W266," Mtoe / yr)")</f>
        <v> Consumo de energia (0 - 20000 Mtoe / ano)</v>
      </c>
      <c r="AB253" s="120" t="n">
        <f aca="false">B240/$W266</f>
        <v>0.244929411613598</v>
      </c>
      <c r="AC253" s="120" t="n">
        <f aca="false">C240/$W266</f>
        <v>0.284780186848771</v>
      </c>
      <c r="AD253" s="120" t="n">
        <f aca="false">D240/$W266</f>
        <v>0.325977075119419</v>
      </c>
      <c r="AE253" s="120" t="n">
        <f aca="false">E240/$W266</f>
        <v>0.350339917596507</v>
      </c>
      <c r="AF253" s="120" t="n">
        <f aca="false">F240/$W266</f>
        <v>0.397754281711197</v>
      </c>
      <c r="AG253" s="120" t="n">
        <f aca="false">G240/$W266</f>
        <v>0.420016012670141</v>
      </c>
      <c r="AH253" s="120" t="n">
        <f aca="false">H240/$W266</f>
        <v>0.458687094877224</v>
      </c>
      <c r="AI253" s="120" t="n">
        <f aca="false">I240/$W266</f>
        <v>0.528621424356886</v>
      </c>
      <c r="AJ253" s="120" t="n">
        <f aca="false">J240/$W266</f>
        <v>0.589079318478399</v>
      </c>
      <c r="AK253" s="120" t="n">
        <f aca="false">K240/$W266</f>
        <v>0.66054059883104</v>
      </c>
      <c r="AL253" s="120" t="n">
        <f aca="false">L240/$W266</f>
        <v>0.73970597040358</v>
      </c>
      <c r="AM253" s="120" t="n">
        <f aca="false">M240/$W266</f>
        <v>0.810571339377892</v>
      </c>
      <c r="AN253" s="120" t="n">
        <f aca="false">N240/$W266</f>
        <v>0.861793538012307</v>
      </c>
      <c r="AO253" s="120" t="n">
        <f aca="false">O240/$W266</f>
        <v>0.893551899982467</v>
      </c>
      <c r="AP253" s="120" t="n">
        <f aca="false">P240/$W266</f>
        <v>0.90201198659591</v>
      </c>
      <c r="AQ253" s="120" t="n">
        <f aca="false">Q240/$W266</f>
        <v>0.895126907340508</v>
      </c>
      <c r="AR253" s="120" t="n">
        <f aca="false">R240/$W266</f>
        <v>0.865185870168176</v>
      </c>
      <c r="AS253" s="11"/>
    </row>
    <row r="254" s="3" customFormat="true" ht="11.25" hidden="false" customHeight="false" outlineLevel="0" collapsed="false">
      <c r="B254" s="47"/>
      <c r="C254" s="47"/>
      <c r="D254" s="47"/>
      <c r="E254" s="47"/>
      <c r="F254" s="47"/>
      <c r="G254" s="47"/>
      <c r="H254" s="47"/>
      <c r="I254" s="47"/>
      <c r="K254" s="84" t="n">
        <f aca="false"> EUA!K265+ China!K265+ OCDE!K265+ BRISE!K265+ LINHA!K265</f>
        <v>1317.69688761321</v>
      </c>
      <c r="L254" s="84" t="n">
        <f aca="false"> EUA!L265+ China!L265+ OCDE!L265+ BRISE!L265+ LINHA!L265</f>
        <v>1691.67928340459</v>
      </c>
      <c r="M254" s="84" t="n">
        <f aca="false"> EUA!M265+ China!M265+ OCDE!M265+ BRISE!M265+ LINHA!M265</f>
        <v>2295.48145229953</v>
      </c>
      <c r="N254" s="84" t="n">
        <f aca="false"> EUA!N265+ China!N265+ OCDE!N265+ BRISE!N265+ LINHA!N265</f>
        <v>2925.40151437056</v>
      </c>
      <c r="O254" s="84" t="n">
        <f aca="false"> EUA!O265+ China!O265+ OCDE!O265+ BRISE!O265+ LINHA!O265</f>
        <v>3666.92421215838</v>
      </c>
      <c r="P254" s="84" t="n">
        <f aca="false"> EUA!P265+ China!P265+ OCDE!P265+ BRISE!P265+ LINHA!P265</f>
        <v>4361.53556433652</v>
      </c>
      <c r="Q254" s="84" t="n">
        <f aca="false"> EUA!Q265+ China!Q265+ OCDE!Q265+ BRISE!Q265+ LINHA!Q265</f>
        <v>5175.12101832228</v>
      </c>
      <c r="R254" s="84" t="n">
        <f aca="false"> EUA!R265+ China!R265+ OCDE!R265+ BRISE!R265+ LINHA!R265</f>
        <v>5979.25899277848</v>
      </c>
      <c r="S254" s="28" t="s">
        <v>84</v>
      </c>
      <c r="T254" s="13"/>
      <c r="U254" s="111" t="str">
        <f aca="false">CONCATENATE(A239," Your forecast")</f>
        <v> Uso de energias renováveis: Sua previsão</v>
      </c>
      <c r="Z254" s="113"/>
      <c r="AA254" s="117" t="str">
        <f aca="false">CONCATENATE(A231," (0 - ",W267," T$ / yr)")</f>
        <v> PIB SumWorld (0 - 150 T$ / ano)</v>
      </c>
      <c r="AB254" s="120" t="n">
        <f aca="false">B231/$W267</f>
        <v>0.110823326795402</v>
      </c>
      <c r="AC254" s="120" t="n">
        <f aca="false">C231/$W267</f>
        <v>0.134914016399365</v>
      </c>
      <c r="AD254" s="120" t="n">
        <f aca="false">D231/$W267</f>
        <v>0.163026580763979</v>
      </c>
      <c r="AE254" s="120" t="n">
        <f aca="false">E231/$W267</f>
        <v>0.186852075452107</v>
      </c>
      <c r="AF254" s="120" t="n">
        <f aca="false">F231/$W267</f>
        <v>0.241524114871637</v>
      </c>
      <c r="AG254" s="120" t="n">
        <f aca="false">G231/$W267</f>
        <v>0.276707287998242</v>
      </c>
      <c r="AH254" s="120" t="n">
        <f aca="false">H231/$W267</f>
        <v>0.326160025977608</v>
      </c>
      <c r="AI254" s="120" t="n">
        <f aca="false">I231/$W267</f>
        <v>0.395677769603648</v>
      </c>
      <c r="AJ254" s="120" t="n">
        <f aca="false">J231/$W267</f>
        <v>0.44536111273394</v>
      </c>
      <c r="AK254" s="120" t="n">
        <f aca="false">K231/$W267</f>
        <v>0.515411300171733</v>
      </c>
      <c r="AL254" s="120" t="n">
        <f aca="false">L231/$W267</f>
        <v>0.595131039539352</v>
      </c>
      <c r="AM254" s="120" t="n">
        <f aca="false">M231/$W267</f>
        <v>0.68538597491533</v>
      </c>
      <c r="AN254" s="120" t="n">
        <f aca="false">N231/$W267</f>
        <v>0.772124650381354</v>
      </c>
      <c r="AO254" s="120" t="n">
        <f aca="false">O231/$W267</f>
        <v>0.843835046874499</v>
      </c>
      <c r="AP254" s="120" t="n">
        <f aca="false">P231/$W267</f>
        <v>0.900916085802151</v>
      </c>
      <c r="AQ254" s="120" t="n">
        <f aca="false">Q231/$W267</f>
        <v>0.947318747915282</v>
      </c>
      <c r="AR254" s="120" t="n">
        <f aca="false">R231/$W267</f>
        <v>0.969142992247518</v>
      </c>
      <c r="AS254" s="11"/>
    </row>
    <row r="255" s="3" customFormat="true" ht="11.25" hidden="false" customHeight="false" outlineLevel="0" collapsed="false">
      <c r="B255" s="47"/>
      <c r="C255" s="47"/>
      <c r="D255" s="47"/>
      <c r="E255" s="47"/>
      <c r="F255" s="47"/>
      <c r="G255" s="47"/>
      <c r="H255" s="47"/>
      <c r="I255" s="47"/>
      <c r="K255" s="84" t="n">
        <f aca="false"> EUA!K266+ China!K266+ OCDE!K266+ BRISE!K266+ LINHA!K266</f>
        <v>13210.6730421721</v>
      </c>
      <c r="L255" s="84" t="n">
        <f aca="false"> EUA!L266+ China!L266+ OCDE!L266+ BRISE!L266+ LINHA!L266</f>
        <v>14416.2824703047</v>
      </c>
      <c r="M255" s="84" t="n">
        <f aca="false"> EUA!M266+ China!M266+ OCDE!M266+ BRISE!M266+ LINHA!M266</f>
        <v>15710.5469861744</v>
      </c>
      <c r="N255" s="84" t="n">
        <f aca="false"> EUA!N266+ China!N266+ OCDE!N266+ BRISE!N266+ LINHA!N266</f>
        <v>16615.1844566737</v>
      </c>
      <c r="O255" s="84" t="n">
        <f aca="false"> EUA!O266+ China!O266+ OCDE!O266+ BRISE!O266+ LINHA!O266</f>
        <v>17146.1153708114</v>
      </c>
      <c r="P255" s="84" t="n">
        <f aca="false"> EUA!P266+ China!P266+ OCDE!P266+ BRISE!P266+ LINHA!P266</f>
        <v>17242.126572277</v>
      </c>
      <c r="Q255" s="84" t="n">
        <f aca="false"> EUA!Q266+ China!Q266+ OCDE!Q266+ BRISE!Q266+ LINHA!Q266</f>
        <v>17062.7196365875</v>
      </c>
      <c r="R255" s="84" t="n">
        <f aca="false"> EUA!R266+ China!R266+ OCDE!R266+ BRISE!R266+ LINHA!R266</f>
        <v>16462.7019968752</v>
      </c>
      <c r="S255" s="28" t="s">
        <v>84</v>
      </c>
      <c r="T255" s="13"/>
      <c r="U255" s="111" t="str">
        <f aca="false">CONCATENATE(A240," Your forecast")</f>
        <v> Consumo de energia: Sua previsão</v>
      </c>
      <c r="Z255" s="113"/>
      <c r="AA255" s="117" t="str">
        <f aca="false">CONCATENATE(A241," (0 - ",W268," toe / M$)")</f>
        <v> Intensidade energética (0 - 300 toe / M$)</v>
      </c>
      <c r="AB255" s="120" t="n">
        <f aca="false">B241/$W268</f>
        <v>0.982261762216169</v>
      </c>
      <c r="AC255" s="120" t="n">
        <f aca="false">C241/$W268</f>
        <v>0.938145459683925</v>
      </c>
      <c r="AD255" s="120" t="n">
        <f aca="false">D241/$W268</f>
        <v>0.888681461477884</v>
      </c>
      <c r="AE255" s="120" t="n">
        <f aca="false">E241/$W268</f>
        <v>0.833314961400052</v>
      </c>
      <c r="AF255" s="120" t="n">
        <f aca="false">F241/$W268</f>
        <v>0.731933872750079</v>
      </c>
      <c r="AG255" s="120" t="n">
        <f aca="false">G241/$W268</f>
        <v>0.674625467075292</v>
      </c>
      <c r="AH255" s="120" t="n">
        <f aca="false">H241/$W268</f>
        <v>0.62503346461758</v>
      </c>
      <c r="AI255" s="120" t="n">
        <f aca="false">I241/$W268</f>
        <v>0.593773199603986</v>
      </c>
      <c r="AJ255" s="120" t="n">
        <f aca="false">J241/$W268</f>
        <v>0.587866840972377</v>
      </c>
      <c r="AK255" s="120" t="n">
        <f aca="false">K241/$W268</f>
        <v>0.569590925504824</v>
      </c>
      <c r="AL255" s="120" t="n">
        <f aca="false">L241/$W268</f>
        <v>0.552413144713013</v>
      </c>
      <c r="AM255" s="120" t="n">
        <f aca="false">M241/$W268</f>
        <v>0.525621973307669</v>
      </c>
      <c r="AN255" s="120" t="n">
        <f aca="false">N241/$W268</f>
        <v>0.496058958923949</v>
      </c>
      <c r="AO255" s="120" t="n">
        <f aca="false">O241/$W268</f>
        <v>0.47063010625233</v>
      </c>
      <c r="AP255" s="120" t="n">
        <f aca="false">P241/$W268</f>
        <v>0.444985079723495</v>
      </c>
      <c r="AQ255" s="120" t="n">
        <f aca="false">Q241/$W268</f>
        <v>0.419958099547507</v>
      </c>
      <c r="AR255" s="120" t="n">
        <f aca="false">R241/$W268</f>
        <v>0.396770194371762</v>
      </c>
      <c r="AS255" s="11"/>
    </row>
    <row r="256" s="3" customFormat="true" ht="11.25" hidden="false" customHeight="false" outlineLevel="0" collapsed="false">
      <c r="B256" s="47"/>
      <c r="C256" s="47"/>
      <c r="D256" s="47"/>
      <c r="E256" s="47"/>
      <c r="F256" s="47"/>
      <c r="G256" s="47"/>
      <c r="H256" s="47"/>
      <c r="I256" s="47"/>
      <c r="K256" s="84" t="n">
        <f aca="false">K255/K140</f>
        <v>170.877214941755</v>
      </c>
      <c r="L256" s="84" t="n">
        <f aca="false">L255/L140</f>
        <v>165.734324439277</v>
      </c>
      <c r="M256" s="84" t="n">
        <f aca="false">M255/M140</f>
        <v>157.797745341522</v>
      </c>
      <c r="N256" s="84" t="n">
        <f aca="false">N255/N140</f>
        <v>149.067203543137</v>
      </c>
      <c r="O256" s="84" t="n">
        <f aca="false">O255/O140</f>
        <v>141.546373261747</v>
      </c>
      <c r="P256" s="84" t="n">
        <f aca="false">P255/P140</f>
        <v>133.969168495472</v>
      </c>
      <c r="Q256" s="84" t="n">
        <f aca="false">Q255/Q140</f>
        <v>126.580816464753</v>
      </c>
      <c r="R256" s="84" t="n">
        <f aca="false">R255/R140</f>
        <v>119.717589890352</v>
      </c>
      <c r="S256" s="28" t="s">
        <v>95</v>
      </c>
      <c r="T256" s="13"/>
      <c r="U256" s="111" t="str">
        <f aca="false">CONCATENATE(A241," Your forecast")</f>
        <v> Intensidade energética Sua previsão</v>
      </c>
      <c r="Z256" s="113"/>
      <c r="AA256" s="117" t="str">
        <f aca="false">CONCATENATE(A242," (0 - ",W281*(-1),"*(-1) % / yr)")</f>
        <v> Crescimento da intensidade energética (0 - 0*(-1) % / ano)</v>
      </c>
      <c r="AB256" s="120"/>
      <c r="AC256" s="120" t="n">
        <f aca="false">C242/1</f>
        <v>-0.898259592895252</v>
      </c>
      <c r="AD256" s="120" t="n">
        <f aca="false">D242/1</f>
        <v>-1.05450594458361</v>
      </c>
      <c r="AE256" s="120" t="n">
        <f aca="false">E242/1</f>
        <v>-1.24603702176383</v>
      </c>
      <c r="AF256" s="120" t="n">
        <f aca="false">F242/1</f>
        <v>-2.43319977069998</v>
      </c>
      <c r="AG256" s="120" t="n">
        <f aca="false">G242/1</f>
        <v>-1.56594489771223</v>
      </c>
      <c r="AH256" s="120" t="n">
        <f aca="false">H242/1</f>
        <v>-1.4702084305447</v>
      </c>
      <c r="AI256" s="120" t="n">
        <f aca="false">I242/1</f>
        <v>-1.00027492232659</v>
      </c>
      <c r="AJ256" s="120" t="n">
        <f aca="false">J242/1</f>
        <v>-0.198943254277846</v>
      </c>
      <c r="AK256" s="120" t="n">
        <f aca="false">K242/1</f>
        <v>-0.621770584553583</v>
      </c>
      <c r="AL256" s="120" t="n">
        <f aca="false">L242/1</f>
        <v>-0.603162024626221</v>
      </c>
      <c r="AM256" s="120" t="n">
        <f aca="false">M242/1</f>
        <v>-0.969968642555119</v>
      </c>
      <c r="AN256" s="120" t="n">
        <f aca="false">N242/1</f>
        <v>-1.12487741704116</v>
      </c>
      <c r="AO256" s="120" t="n">
        <f aca="false">O242/1</f>
        <v>-1.02523509410167</v>
      </c>
      <c r="AP256" s="120" t="n">
        <f aca="false">P242/1</f>
        <v>-1.08981666018135</v>
      </c>
      <c r="AQ256" s="120" t="n">
        <f aca="false">Q242/1</f>
        <v>-1.12484581242764</v>
      </c>
      <c r="AR256" s="120" t="n">
        <f aca="false">R242/1</f>
        <v>-1.10429612862472</v>
      </c>
      <c r="AS256" s="11"/>
    </row>
    <row r="257" s="3" customFormat="true" ht="11.25" hidden="false" customHeight="false" outlineLevel="0" collapsed="false">
      <c r="B257" s="47"/>
      <c r="C257" s="47"/>
      <c r="D257" s="47"/>
      <c r="E257" s="47"/>
      <c r="F257" s="47"/>
      <c r="G257" s="47"/>
      <c r="H257" s="47"/>
      <c r="I257" s="47"/>
      <c r="K257" s="137" t="n">
        <f aca="false">(K256-J241)/J241*100/5</f>
        <v>-0.621777696106476</v>
      </c>
      <c r="L257" s="137" t="n">
        <f aca="false">(L256-K256)/K256*100/5</f>
        <v>-0.601939878787339</v>
      </c>
      <c r="M257" s="137" t="n">
        <f aca="false">(M256-L256)/L256*100/5</f>
        <v>-0.957747180568237</v>
      </c>
      <c r="N257" s="137" t="n">
        <f aca="false">(N256-M256)/M256*100/5</f>
        <v>-1.10654835777145</v>
      </c>
      <c r="O257" s="137" t="n">
        <f aca="false">(O256-N256)/N256*100/5</f>
        <v>-1.00905230696356</v>
      </c>
      <c r="P257" s="137" t="n">
        <f aca="false">(P256-O256)/O256*100/5</f>
        <v>-1.07063213160014</v>
      </c>
      <c r="Q257" s="137" t="n">
        <f aca="false">(Q256-P256)/P256*100/5</f>
        <v>-1.1029928921249</v>
      </c>
      <c r="R257" s="137" t="n">
        <f aca="false">(R256-Q256)/Q256*100/5</f>
        <v>-1.08440232352463</v>
      </c>
      <c r="S257" s="28" t="s">
        <v>25</v>
      </c>
      <c r="T257" s="13"/>
      <c r="U257" s="111" t="str">
        <f aca="false">CONCATENATE(A242," Your forecast")</f>
        <v> Crescimento da intensidade energética: sua previsão</v>
      </c>
      <c r="Z257" s="113"/>
      <c r="AA257" s="117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121"/>
      <c r="AS257" s="11"/>
    </row>
    <row r="258" s="3" customFormat="true" ht="11.25" hidden="false" customHeight="false" outlineLevel="0" collapsed="false">
      <c r="B258" s="47"/>
      <c r="C258" s="47"/>
      <c r="D258" s="47"/>
      <c r="E258" s="47"/>
      <c r="F258" s="47"/>
      <c r="G258" s="47"/>
      <c r="H258" s="47"/>
      <c r="I258" s="47"/>
      <c r="K258" s="137" t="n">
        <f aca="false">K250/K$255*100</f>
        <v>30.1756312806523</v>
      </c>
      <c r="L258" s="137" t="n">
        <f aca="false">L250/L$255*100</f>
        <v>26.4187943375671</v>
      </c>
      <c r="M258" s="137" t="n">
        <f aca="false">M250/M$255*100</f>
        <v>24.5980499192625</v>
      </c>
      <c r="N258" s="137" t="n">
        <f aca="false">N250/N$255*100</f>
        <v>22.51166900996</v>
      </c>
      <c r="O258" s="137" t="n">
        <f aca="false">O250/O$255*100</f>
        <v>20.5730606270487</v>
      </c>
      <c r="P258" s="137" t="n">
        <f aca="false">P250/P$255*100</f>
        <v>18.703301661301</v>
      </c>
      <c r="Q258" s="137" t="n">
        <f aca="false">Q250/Q$255*100</f>
        <v>16.9723111852314</v>
      </c>
      <c r="R258" s="137" t="n">
        <f aca="false">R250/R$255*100</f>
        <v>15.0172931946003</v>
      </c>
      <c r="S258" s="28" t="s">
        <v>44</v>
      </c>
      <c r="T258" s="13"/>
      <c r="U258" s="111" t="str">
        <f aca="false">CONCATENATE(A243," Your forecast")</f>
        <v> % de petróleo Sua previsão</v>
      </c>
      <c r="Z258" s="113"/>
      <c r="AA258" s="122" t="s">
        <v>7</v>
      </c>
      <c r="AB258" s="118" t="n">
        <v>1970</v>
      </c>
      <c r="AC258" s="118" t="n">
        <v>1975</v>
      </c>
      <c r="AD258" s="118" t="n">
        <v>1980</v>
      </c>
      <c r="AE258" s="118" t="n">
        <v>1985</v>
      </c>
      <c r="AF258" s="118" t="n">
        <v>1990</v>
      </c>
      <c r="AG258" s="118" t="n">
        <v>1995</v>
      </c>
      <c r="AH258" s="118" t="n">
        <v>2000</v>
      </c>
      <c r="AI258" s="118" t="n">
        <v>2005</v>
      </c>
      <c r="AJ258" s="118" t="n">
        <v>2010</v>
      </c>
      <c r="AK258" s="118" t="n">
        <v>2015</v>
      </c>
      <c r="AL258" s="118" t="n">
        <v>2020</v>
      </c>
      <c r="AM258" s="118" t="n">
        <v>2025</v>
      </c>
      <c r="AN258" s="118" t="n">
        <v>2030</v>
      </c>
      <c r="AO258" s="118" t="n">
        <v>2035</v>
      </c>
      <c r="AP258" s="118" t="n">
        <v>2040</v>
      </c>
      <c r="AQ258" s="118" t="n">
        <v>2045</v>
      </c>
      <c r="AR258" s="119" t="n">
        <v>2050</v>
      </c>
      <c r="AS258" s="11"/>
    </row>
    <row r="259" s="3" customFormat="true" ht="11.25" hidden="false" customHeight="false" outlineLevel="0" collapsed="false">
      <c r="B259" s="47"/>
      <c r="C259" s="47"/>
      <c r="D259" s="47"/>
      <c r="E259" s="47"/>
      <c r="F259" s="47"/>
      <c r="G259" s="47"/>
      <c r="H259" s="47"/>
      <c r="I259" s="47"/>
      <c r="K259" s="137" t="n">
        <f aca="false">K251/K$255*100</f>
        <v>24.4619126622792</v>
      </c>
      <c r="L259" s="137" t="n">
        <f aca="false">L251/L$255*100</f>
        <v>25.5658563952538</v>
      </c>
      <c r="M259" s="137" t="n">
        <f aca="false">M251/M$255*100</f>
        <v>25.8622955171436</v>
      </c>
      <c r="N259" s="137" t="n">
        <f aca="false">N251/N$255*100</f>
        <v>26.1215709049778</v>
      </c>
      <c r="O259" s="137" t="n">
        <f aca="false">O251/O$255*100</f>
        <v>25.8209428159709</v>
      </c>
      <c r="P259" s="137" t="n">
        <f aca="false">P251/P$255*100</f>
        <v>24.9488508814502</v>
      </c>
      <c r="Q259" s="137" t="n">
        <f aca="false">Q251/Q$255*100</f>
        <v>24.0152043397854</v>
      </c>
      <c r="R259" s="137" t="n">
        <f aca="false">R251/R$255*100</f>
        <v>21.8367378324336</v>
      </c>
      <c r="S259" s="28" t="s">
        <v>44</v>
      </c>
      <c r="T259" s="13"/>
      <c r="U259" s="111" t="str">
        <f aca="false">CONCATENATE(A244," Your forecast")</f>
        <v> % de gás Sua previsão</v>
      </c>
      <c r="Z259" s="113"/>
      <c r="AA259" s="122" t="str">
        <f aca="false">CONCATENATE(J140," (0 - ",W270," T$ / yr)")</f>
        <v>PIB SumWorld calculado a partir da sua previsão (0 - 150 T$/ano)</v>
      </c>
      <c r="AB259" s="98"/>
      <c r="AC259" s="98"/>
      <c r="AD259" s="98"/>
      <c r="AE259" s="98"/>
      <c r="AF259" s="98"/>
      <c r="AG259" s="98"/>
      <c r="AH259" s="98"/>
      <c r="AI259" s="98"/>
      <c r="AJ259" s="120"/>
      <c r="AK259" s="120" t="n">
        <f aca="false">K140/$W270</f>
        <v>0.515406068881099</v>
      </c>
      <c r="AL259" s="120" t="n">
        <f aca="false">L140/$W270</f>
        <v>0.579895263863971</v>
      </c>
      <c r="AM259" s="120" t="n">
        <f aca="false">M140/$W270</f>
        <v>0.663741929145736</v>
      </c>
      <c r="AN259" s="120" t="n">
        <f aca="false">N140/$W270</f>
        <v>0.743073551693551</v>
      </c>
      <c r="AO259" s="120" t="n">
        <f aca="false">O140/$W270</f>
        <v>0.80756174228521</v>
      </c>
      <c r="AP259" s="120" t="n">
        <f aca="false">P140/$W270</f>
        <v>0.85801465943809</v>
      </c>
      <c r="AQ259" s="120" t="n">
        <f aca="false">Q140/$W270</f>
        <v>0.89864694683488</v>
      </c>
      <c r="AR259" s="120" t="n">
        <f aca="false">R140/$W270</f>
        <v>0.916752055786915</v>
      </c>
      <c r="AS259" s="11"/>
    </row>
    <row r="260" s="3" customFormat="true" ht="11.25" hidden="false" customHeight="true" outlineLevel="0" collapsed="false">
      <c r="B260" s="47"/>
      <c r="C260" s="47"/>
      <c r="D260" s="47"/>
      <c r="E260" s="47"/>
      <c r="F260" s="47"/>
      <c r="G260" s="47"/>
      <c r="H260" s="47"/>
      <c r="I260" s="47"/>
      <c r="K260" s="137" t="n">
        <f aca="false">K254/K$255*100</f>
        <v>9.9744871696299</v>
      </c>
      <c r="L260" s="137" t="n">
        <f aca="false">L254/L$255*100</f>
        <v>11.7345042793743</v>
      </c>
      <c r="M260" s="137" t="n">
        <f aca="false">M254/M$255*100</f>
        <v>14.611085497657</v>
      </c>
      <c r="N260" s="137" t="n">
        <f aca="false">N254/N$255*100</f>
        <v>17.6067952901693</v>
      </c>
      <c r="O260" s="137" t="n">
        <f aca="false">O254/O$255*100</f>
        <v>21.3863264818617</v>
      </c>
      <c r="P260" s="137" t="n">
        <f aca="false">P254/P$255*100</f>
        <v>25.2958099225955</v>
      </c>
      <c r="Q260" s="137" t="n">
        <f aca="false">Q254/Q$255*100</f>
        <v>30.329989172566</v>
      </c>
      <c r="R260" s="137" t="n">
        <f aca="false">R254/R$255*100</f>
        <v>36.3200341834129</v>
      </c>
      <c r="S260" s="28" t="s">
        <v>44</v>
      </c>
      <c r="T260" s="13"/>
      <c r="U260" s="111" t="str">
        <f aca="false">CONCATENATE(A245," Your forecast")</f>
        <v> % de energias renováveis Sua previsão</v>
      </c>
      <c r="V260" s="123" t="s">
        <v>102</v>
      </c>
      <c r="W260" s="123"/>
      <c r="X260" s="123"/>
      <c r="Y260" s="123"/>
      <c r="Z260" s="113"/>
      <c r="AA260" s="122" t="str">
        <f aca="false">CONCATENATE(A240," (0 - ",W269," Mtoe / yr), Your forecast")</f>
        <v> Consumo de energia (0 - 20000 Mtoe/ano), sua previsão</v>
      </c>
      <c r="AB260" s="98"/>
      <c r="AC260" s="98"/>
      <c r="AD260" s="98"/>
      <c r="AE260" s="98"/>
      <c r="AF260" s="98"/>
      <c r="AG260" s="98"/>
      <c r="AH260" s="98"/>
      <c r="AI260" s="98"/>
      <c r="AJ260" s="120"/>
      <c r="AK260" s="120" t="n">
        <f aca="false">K255/$W269</f>
        <v>0.660533652108605</v>
      </c>
      <c r="AL260" s="120" t="n">
        <f aca="false">L255/$W269</f>
        <v>0.720814123515237</v>
      </c>
      <c r="AM260" s="120" t="n">
        <f aca="false">M255/$W269</f>
        <v>0.785527349308722</v>
      </c>
      <c r="AN260" s="120" t="n">
        <f aca="false">N255/$W269</f>
        <v>0.830759222833685</v>
      </c>
      <c r="AO260" s="120" t="n">
        <f aca="false">O255/$W269</f>
        <v>0.857305768540567</v>
      </c>
      <c r="AP260" s="120" t="n">
        <f aca="false">P255/$W269</f>
        <v>0.86210632861385</v>
      </c>
      <c r="AQ260" s="120" t="n">
        <f aca="false">Q255/$W269</f>
        <v>0.853135981829373</v>
      </c>
      <c r="AR260" s="120" t="n">
        <f aca="false">R255/$W269</f>
        <v>0.82313509984376</v>
      </c>
      <c r="AS260" s="11"/>
    </row>
    <row r="261" s="3" customFormat="true" ht="11.25" hidden="false" customHeight="true" outlineLevel="0" collapsed="false">
      <c r="B261" s="47"/>
      <c r="C261" s="47"/>
      <c r="D261" s="47"/>
      <c r="E261" s="47"/>
      <c r="F261" s="47"/>
      <c r="G261" s="47"/>
      <c r="H261" s="47"/>
      <c r="I261" s="47"/>
      <c r="K261" s="137" t="n">
        <f aca="false">K253/K$255*100</f>
        <v>5.08358398041617</v>
      </c>
      <c r="L261" s="137" t="n">
        <f aca="false">L253/L$255*100</f>
        <v>4.49951357900696</v>
      </c>
      <c r="M261" s="137" t="n">
        <f aca="false">M253/M$255*100</f>
        <v>4.18550592721421</v>
      </c>
      <c r="N261" s="137" t="n">
        <f aca="false">N253/N$255*100</f>
        <v>3.57867494143361</v>
      </c>
      <c r="O261" s="137" t="n">
        <f aca="false">O253/O$255*100</f>
        <v>3.32892223248652</v>
      </c>
      <c r="P261" s="137" t="n">
        <f aca="false">P253/P$255*100</f>
        <v>3.04466646756023</v>
      </c>
      <c r="Q261" s="137" t="n">
        <f aca="false">Q253/Q$255*100</f>
        <v>2.6799554319907</v>
      </c>
      <c r="R261" s="137" t="n">
        <f aca="false">R253/R$255*100</f>
        <v>2.45259207948184</v>
      </c>
      <c r="S261" s="28" t="s">
        <v>44</v>
      </c>
      <c r="T261" s="13"/>
      <c r="U261" s="111" t="str">
        <f aca="false">CONCATENATE(A246," Your forecast")</f>
        <v> % nuclear Sua previsão</v>
      </c>
      <c r="V261" s="123"/>
      <c r="W261" s="123"/>
      <c r="X261" s="123"/>
      <c r="Y261" s="123"/>
      <c r="Z261" s="113"/>
      <c r="AA261" s="122" t="str">
        <f aca="false">CONCATENATE(A241," (0 - ",W271," toe / M$), Your forecast")</f>
        <v> Intensidade energética (0 - 300 toe / M$), Sua previsão</v>
      </c>
      <c r="AB261" s="98"/>
      <c r="AC261" s="98"/>
      <c r="AD261" s="98"/>
      <c r="AE261" s="98"/>
      <c r="AF261" s="98"/>
      <c r="AG261" s="98"/>
      <c r="AH261" s="98"/>
      <c r="AI261" s="98"/>
      <c r="AJ261" s="98"/>
      <c r="AK261" s="120" t="n">
        <f aca="false">K256/$W271</f>
        <v>0.569590716472517</v>
      </c>
      <c r="AL261" s="120" t="n">
        <f aca="false">L256/$W271</f>
        <v>0.552447748130924</v>
      </c>
      <c r="AM261" s="120" t="n">
        <f aca="false">M256/$W271</f>
        <v>0.525992484471741</v>
      </c>
      <c r="AN261" s="120" t="n">
        <f aca="false">N256/$W271</f>
        <v>0.496890678477125</v>
      </c>
      <c r="AO261" s="120" t="n">
        <f aca="false">O256/$W271</f>
        <v>0.471821244205823</v>
      </c>
      <c r="AP261" s="120" t="n">
        <f aca="false">P256/$W271</f>
        <v>0.446563894984907</v>
      </c>
      <c r="AQ261" s="120" t="n">
        <f aca="false">Q256/$W271</f>
        <v>0.421936054882509</v>
      </c>
      <c r="AR261" s="120" t="n">
        <f aca="false">R256/$W271</f>
        <v>0.399058632967839</v>
      </c>
      <c r="AS261" s="11"/>
    </row>
    <row r="262" s="3" customFormat="true" ht="11.25" hidden="false" customHeight="false" outlineLevel="0" collapsed="false">
      <c r="B262" s="47"/>
      <c r="C262" s="47"/>
      <c r="D262" s="47"/>
      <c r="E262" s="47"/>
      <c r="F262" s="47"/>
      <c r="G262" s="47"/>
      <c r="H262" s="47"/>
      <c r="I262" s="47"/>
      <c r="K262" s="137" t="n">
        <f aca="false">100-SUM(K258:K261)</f>
        <v>30.3043849070224</v>
      </c>
      <c r="L262" s="137" t="n">
        <f aca="false">100-SUM(L258:L261)</f>
        <v>31.7813314087978</v>
      </c>
      <c r="M262" s="137" t="n">
        <f aca="false">100-SUM(M258:M261)</f>
        <v>30.7430631387226</v>
      </c>
      <c r="N262" s="137" t="n">
        <f aca="false">100-SUM(N258:N261)</f>
        <v>30.1812898534593</v>
      </c>
      <c r="O262" s="137" t="n">
        <f aca="false">100-SUM(O258:O261)</f>
        <v>28.8907478426322</v>
      </c>
      <c r="P262" s="137" t="n">
        <f aca="false">100-SUM(P258:P261)</f>
        <v>28.007371067093</v>
      </c>
      <c r="Q262" s="137" t="n">
        <f aca="false">100-SUM(Q258:Q261)</f>
        <v>26.0025398704265</v>
      </c>
      <c r="R262" s="137" t="n">
        <f aca="false">100-SUM(R258:R261)</f>
        <v>24.3733427100714</v>
      </c>
      <c r="S262" s="28" t="s">
        <v>44</v>
      </c>
      <c r="T262" s="13"/>
      <c r="U262" s="111" t="str">
        <f aca="false">CONCATENATE(A247," Your forecast")</f>
        <v> % carvão Sua previsão</v>
      </c>
      <c r="Z262" s="113"/>
      <c r="AA262" s="122"/>
      <c r="AB262" s="98"/>
      <c r="AC262" s="98"/>
      <c r="AD262" s="98"/>
      <c r="AE262" s="98"/>
      <c r="AF262" s="98"/>
      <c r="AG262" s="98"/>
      <c r="AH262" s="98"/>
      <c r="AI262" s="98"/>
      <c r="AS262" s="11"/>
    </row>
    <row r="263" s="3" customFormat="true" ht="11.25" hidden="false" customHeight="false" outlineLevel="0" collapsed="false">
      <c r="B263" s="47"/>
      <c r="C263" s="47"/>
      <c r="D263" s="47"/>
      <c r="E263" s="47"/>
      <c r="F263" s="47"/>
      <c r="G263" s="107"/>
      <c r="H263" s="107"/>
      <c r="I263" s="107"/>
      <c r="J263" s="107"/>
      <c r="K263" s="125" t="s">
        <v>103</v>
      </c>
      <c r="L263" s="107"/>
      <c r="M263" s="107"/>
      <c r="N263" s="107"/>
      <c r="O263" s="107"/>
      <c r="P263" s="107"/>
      <c r="Q263" s="107"/>
      <c r="R263" s="107"/>
      <c r="T263" s="13"/>
      <c r="V263" s="3" t="s">
        <v>35</v>
      </c>
      <c r="Z263" s="113"/>
      <c r="AA263" s="122"/>
      <c r="AB263" s="98"/>
      <c r="AC263" s="98"/>
      <c r="AD263" s="98"/>
      <c r="AE263" s="98"/>
      <c r="AF263" s="98"/>
      <c r="AG263" s="98"/>
      <c r="AH263" s="98"/>
      <c r="AI263" s="98"/>
      <c r="AS263" s="11"/>
    </row>
    <row r="264" s="3" customFormat="true" ht="28.3" hidden="false" customHeight="false" outlineLevel="0" collapsed="false">
      <c r="B264" s="47"/>
      <c r="C264" s="47"/>
      <c r="D264" s="47"/>
      <c r="E264" s="47"/>
      <c r="F264" s="47"/>
      <c r="T264" s="13"/>
      <c r="U264" s="53" t="s">
        <v>37</v>
      </c>
      <c r="V264" s="54" t="s">
        <v>38</v>
      </c>
      <c r="W264" s="54" t="s">
        <v>39</v>
      </c>
      <c r="X264" s="55"/>
      <c r="Y264" s="55"/>
      <c r="Z264" s="113"/>
      <c r="AA264" s="122"/>
      <c r="AB264" s="98"/>
      <c r="AC264" s="98"/>
      <c r="AD264" s="98"/>
      <c r="AE264" s="98"/>
      <c r="AF264" s="98"/>
      <c r="AG264" s="98"/>
      <c r="AH264" s="98"/>
      <c r="AI264" s="98"/>
      <c r="AS264" s="11"/>
    </row>
    <row r="265" s="3" customFormat="true" ht="11.25" hidden="false" customHeight="false" outlineLevel="0" collapsed="false">
      <c r="B265" s="47"/>
      <c r="C265" s="47"/>
      <c r="D265" s="47"/>
      <c r="E265" s="47"/>
      <c r="F265" s="47"/>
      <c r="T265" s="13"/>
      <c r="V265" s="96" t="s">
        <v>104</v>
      </c>
      <c r="W265" s="96" t="s">
        <v>105</v>
      </c>
      <c r="Z265" s="113"/>
      <c r="AA265" s="126"/>
      <c r="AB265" s="127"/>
      <c r="AC265" s="127"/>
      <c r="AD265" s="127"/>
      <c r="AE265" s="127"/>
      <c r="AF265" s="127"/>
      <c r="AG265" s="127"/>
      <c r="AH265" s="127"/>
      <c r="AI265" s="127"/>
      <c r="AS265" s="11"/>
    </row>
    <row r="266" customFormat="false" ht="11.25" hidden="false" customHeight="false" outlineLevel="0" collapsed="false">
      <c r="B266" s="107"/>
      <c r="C266" s="107"/>
      <c r="D266" s="107"/>
      <c r="E266" s="107"/>
      <c r="F266" s="107"/>
      <c r="T266" s="13"/>
      <c r="U266" s="128" t="str">
        <f aca="false">AA253</f>
        <v> Consumo de energia (0 - 20000 Mtoe / ano)</v>
      </c>
      <c r="V266" s="129" t="n">
        <v>20000</v>
      </c>
      <c r="W266" s="70" t="n">
        <f aca="false">W269</f>
        <v>20000</v>
      </c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customFormat="false" ht="11.25" hidden="false" customHeight="false" outlineLevel="0" collapsed="false"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T267" s="13"/>
      <c r="U267" s="128" t="str">
        <f aca="false">AA254</f>
        <v> PIB SumWorld (0 - 150 T$ / ano)</v>
      </c>
      <c r="V267" s="129" t="n">
        <v>150</v>
      </c>
      <c r="W267" s="70" t="n">
        <f aca="false">W270</f>
        <v>150</v>
      </c>
    </row>
    <row r="268" customFormat="false" ht="11.25" hidden="false" customHeight="false" outlineLevel="0" collapsed="false"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T268" s="13"/>
      <c r="U268" s="128" t="str">
        <f aca="false">AA255</f>
        <v> Intensidade energética (0 - 300 toe / M$)</v>
      </c>
      <c r="V268" s="129" t="n">
        <v>300</v>
      </c>
      <c r="W268" s="70" t="n">
        <f aca="false">W271</f>
        <v>300</v>
      </c>
    </row>
    <row r="269" customFormat="false" ht="11.25" hidden="false" customHeight="false" outlineLevel="0" collapsed="false"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T269" s="13"/>
      <c r="U269" s="130" t="str">
        <f aca="false">AA260</f>
        <v> Consumo de energia (0 - 20000 Mtoe/ano), sua previsão</v>
      </c>
      <c r="W269" s="4" t="n">
        <v>20000</v>
      </c>
    </row>
    <row r="270" customFormat="false" ht="11.25" hidden="false" customHeight="false" outlineLevel="0" collapsed="false"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T270" s="13"/>
      <c r="U270" s="130" t="str">
        <f aca="false">AA259</f>
        <v> PIB SumWorld calculado a partir da sua previsão (0 - 150 T$/ano)</v>
      </c>
      <c r="W270" s="4" t="n">
        <v>150</v>
      </c>
    </row>
    <row r="271" customFormat="false" ht="11.25" hidden="false" customHeight="false" outlineLevel="0" collapsed="false"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T271" s="13"/>
      <c r="U271" s="130" t="str">
        <f aca="false">AA261</f>
        <v> Intensidade energética (0 - 300 toe / M$), Sua previsão</v>
      </c>
      <c r="W271" s="4" t="n">
        <v>300</v>
      </c>
    </row>
    <row r="272" customFormat="false" ht="11.25" hidden="false" customHeight="false" outlineLevel="0" collapsed="false"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T272" s="13"/>
    </row>
    <row r="273" customFormat="false" ht="11.25" hidden="false" customHeight="false" outlineLevel="0" collapsed="false"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T273" s="13"/>
    </row>
    <row r="274" s="3" customFormat="true" ht="11.25" hidden="false" customHeight="false" outlineLevel="0" collapsed="false"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T274" s="13"/>
    </row>
    <row r="275" s="3" customFormat="true" ht="11.25" hidden="false" customHeight="false" outlineLevel="0" collapsed="false"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T275" s="13"/>
    </row>
    <row r="276" s="3" customFormat="true" ht="11.25" hidden="false" customHeight="false" outlineLevel="0" collapsed="false"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T276" s="13"/>
    </row>
    <row r="277" s="3" customFormat="true" ht="11.25" hidden="false" customHeight="false" outlineLevel="0" collapsed="false">
      <c r="T277" s="13"/>
    </row>
    <row r="278" s="3" customFormat="true" ht="11.25" hidden="false" customHeight="false" outlineLevel="0" collapsed="false">
      <c r="T278" s="13"/>
    </row>
    <row r="279" s="3" customFormat="true" ht="11.25" hidden="false" customHeight="false" outlineLevel="0" collapsed="false">
      <c r="T279" s="13"/>
    </row>
    <row r="280" s="3" customFormat="true" ht="11.25" hidden="false" customHeight="false" outlineLevel="0" collapsed="false">
      <c r="T280" s="13"/>
    </row>
    <row r="281" customFormat="false" ht="11.25" hidden="false" customHeight="false" outlineLevel="0" collapsed="false">
      <c r="T281" s="13"/>
    </row>
    <row r="282" customFormat="false" ht="11.25" hidden="false" customHeight="false" outlineLevel="0" collapsed="false">
      <c r="T282" s="13"/>
    </row>
    <row r="283" s="3" customFormat="true" ht="11.25" hidden="false" customHeight="false" outlineLevel="0" collapsed="false">
      <c r="T283" s="13"/>
    </row>
    <row r="284" s="3" customFormat="true" ht="11.25" hidden="false" customHeight="false" outlineLevel="0" collapsed="false">
      <c r="S284" s="50"/>
      <c r="T284" s="13"/>
      <c r="U284" s="50"/>
    </row>
    <row r="285" s="3" customFormat="true" ht="11.25" hidden="false" customHeight="false" outlineLevel="0" collapsed="false">
      <c r="T285" s="13"/>
    </row>
    <row r="286" s="3" customFormat="true" ht="11.25" hidden="false" customHeight="false" outlineLevel="0" collapsed="false">
      <c r="T286" s="13"/>
    </row>
    <row r="287" customFormat="false" ht="11.25" hidden="false" customHeight="false" outlineLevel="0" collapsed="false">
      <c r="T287" s="13"/>
    </row>
    <row r="288" customFormat="false" ht="11.25" hidden="false" customHeight="false" outlineLevel="0" collapsed="false">
      <c r="T288" s="13"/>
    </row>
    <row r="289" customFormat="false" ht="12.65" hidden="false" customHeight="false" outlineLevel="0" collapsed="false">
      <c r="A289" s="61" t="s">
        <v>106</v>
      </c>
      <c r="T289" s="13"/>
    </row>
    <row r="290" customFormat="false" ht="12.65" hidden="false" customHeight="false" outlineLevel="0" collapsed="false">
      <c r="A290" s="23" t="str">
        <f aca="false">CONCATENATE(A289,". Shares of total energy use - ",A5," 1970 to 2050")</f>
        <v> Gráfico 7. Participação no consumo total de energia - SumWorld de 1970 a 2050</v>
      </c>
      <c r="T290" s="13"/>
      <c r="V290" s="95"/>
    </row>
    <row r="291" customFormat="false" ht="12.65" hidden="false" customHeight="false" outlineLevel="0" collapsed="false">
      <c r="T291" s="13"/>
      <c r="V291" s="95"/>
      <c r="AA291" s="52"/>
    </row>
    <row r="292" customFormat="false" ht="12.65" hidden="false" customHeight="false" outlineLevel="0" collapsed="false">
      <c r="T292" s="13"/>
      <c r="V292" s="95"/>
      <c r="AB292" s="131"/>
      <c r="AC292" s="131"/>
      <c r="AD292" s="131"/>
      <c r="AE292" s="131"/>
      <c r="AF292" s="131"/>
      <c r="AG292" s="131"/>
      <c r="AH292" s="131"/>
      <c r="AI292" s="131"/>
      <c r="AJ292" s="131"/>
    </row>
    <row r="293" customFormat="false" ht="12.65" hidden="false" customHeight="false" outlineLevel="0" collapsed="false">
      <c r="T293" s="13"/>
      <c r="V293" s="95"/>
      <c r="AB293" s="131"/>
      <c r="AC293" s="131"/>
      <c r="AD293" s="131"/>
      <c r="AE293" s="131"/>
      <c r="AF293" s="131"/>
      <c r="AG293" s="131"/>
      <c r="AH293" s="131"/>
      <c r="AI293" s="131"/>
      <c r="AJ293" s="131"/>
    </row>
    <row r="294" customFormat="false" ht="12.65" hidden="false" customHeight="false" outlineLevel="0" collapsed="false">
      <c r="T294" s="13"/>
      <c r="V294" s="95"/>
      <c r="AB294" s="131"/>
      <c r="AC294" s="131"/>
      <c r="AD294" s="131"/>
      <c r="AE294" s="131"/>
      <c r="AF294" s="131"/>
      <c r="AG294" s="131"/>
      <c r="AH294" s="131"/>
      <c r="AI294" s="131"/>
      <c r="AJ294" s="131"/>
    </row>
    <row r="295" customFormat="false" ht="12.65" hidden="false" customHeight="false" outlineLevel="0" collapsed="false">
      <c r="T295" s="13"/>
      <c r="V295" s="95"/>
      <c r="AB295" s="131"/>
      <c r="AC295" s="131"/>
      <c r="AD295" s="131"/>
      <c r="AE295" s="131"/>
      <c r="AF295" s="131"/>
      <c r="AG295" s="131"/>
      <c r="AH295" s="131"/>
      <c r="AI295" s="131"/>
      <c r="AJ295" s="131"/>
    </row>
    <row r="296" customFormat="false" ht="12.65" hidden="false" customHeight="false" outlineLevel="0" collapsed="false">
      <c r="T296" s="13"/>
      <c r="V296" s="95"/>
      <c r="AB296" s="131"/>
      <c r="AC296" s="131"/>
      <c r="AD296" s="131"/>
      <c r="AE296" s="131"/>
      <c r="AF296" s="131"/>
      <c r="AG296" s="131"/>
      <c r="AH296" s="131"/>
      <c r="AI296" s="131"/>
      <c r="AJ296" s="131"/>
    </row>
    <row r="297" customFormat="false" ht="12.65" hidden="false" customHeight="false" outlineLevel="0" collapsed="false">
      <c r="T297" s="13"/>
      <c r="V297" s="95"/>
      <c r="AB297" s="131"/>
      <c r="AC297" s="131"/>
      <c r="AD297" s="131"/>
      <c r="AE297" s="131"/>
      <c r="AF297" s="131"/>
      <c r="AG297" s="131"/>
      <c r="AH297" s="131"/>
      <c r="AI297" s="131"/>
      <c r="AJ297" s="131"/>
    </row>
    <row r="298" customFormat="false" ht="12.65" hidden="false" customHeight="false" outlineLevel="0" collapsed="false">
      <c r="T298" s="13"/>
      <c r="V298" s="95"/>
      <c r="AB298" s="131"/>
      <c r="AC298" s="131"/>
      <c r="AD298" s="131"/>
      <c r="AE298" s="131"/>
      <c r="AF298" s="131"/>
      <c r="AG298" s="131"/>
      <c r="AH298" s="131"/>
      <c r="AI298" s="131"/>
      <c r="AJ298" s="131"/>
    </row>
    <row r="299" customFormat="false" ht="12.65" hidden="false" customHeight="false" outlineLevel="0" collapsed="false">
      <c r="T299" s="13"/>
      <c r="V299" s="95"/>
      <c r="AB299" s="131"/>
      <c r="AC299" s="131"/>
      <c r="AD299" s="131"/>
      <c r="AE299" s="131"/>
      <c r="AF299" s="131"/>
      <c r="AG299" s="131"/>
      <c r="AH299" s="131"/>
      <c r="AI299" s="131"/>
      <c r="AJ299" s="131"/>
    </row>
    <row r="300" customFormat="false" ht="12.65" hidden="false" customHeight="false" outlineLevel="0" collapsed="false">
      <c r="T300" s="13"/>
      <c r="V300" s="95"/>
      <c r="AB300" s="131"/>
      <c r="AC300" s="131"/>
      <c r="AD300" s="131"/>
      <c r="AE300" s="131"/>
      <c r="AF300" s="131"/>
      <c r="AG300" s="131"/>
      <c r="AH300" s="131"/>
      <c r="AI300" s="131"/>
      <c r="AJ300" s="131"/>
    </row>
    <row r="301" customFormat="false" ht="12.65" hidden="false" customHeight="false" outlineLevel="0" collapsed="false">
      <c r="T301" s="13"/>
      <c r="V301" s="95"/>
    </row>
    <row r="302" customFormat="false" ht="12.65" hidden="false" customHeight="false" outlineLevel="0" collapsed="false">
      <c r="T302" s="13"/>
      <c r="V302" s="95"/>
    </row>
    <row r="303" customFormat="false" ht="12.65" hidden="false" customHeight="false" outlineLevel="0" collapsed="false">
      <c r="T303" s="13"/>
      <c r="V303" s="95"/>
    </row>
    <row r="304" customFormat="false" ht="12.65" hidden="false" customHeight="false" outlineLevel="0" collapsed="false">
      <c r="T304" s="13"/>
      <c r="V304" s="95"/>
    </row>
    <row r="305" customFormat="false" ht="12.65" hidden="false" customHeight="false" outlineLevel="0" collapsed="false">
      <c r="T305" s="13"/>
      <c r="V305" s="95"/>
    </row>
    <row r="306" customFormat="false" ht="12.65" hidden="false" customHeight="false" outlineLevel="0" collapsed="false">
      <c r="T306" s="13"/>
      <c r="V306" s="95"/>
    </row>
    <row r="307" customFormat="false" ht="12.65" hidden="false" customHeight="false" outlineLevel="0" collapsed="false">
      <c r="T307" s="13"/>
      <c r="V307" s="95"/>
    </row>
    <row r="308" customFormat="false" ht="12.65" hidden="false" customHeight="false" outlineLevel="0" collapsed="false">
      <c r="T308" s="13"/>
      <c r="V308" s="95"/>
    </row>
    <row r="309" customFormat="false" ht="12.65" hidden="false" customHeight="false" outlineLevel="0" collapsed="false">
      <c r="T309" s="13"/>
      <c r="V309" s="95"/>
    </row>
    <row r="310" customFormat="false" ht="12.65" hidden="false" customHeight="false" outlineLevel="0" collapsed="false">
      <c r="T310" s="13"/>
      <c r="V310" s="95"/>
    </row>
    <row r="311" customFormat="false" ht="12.65" hidden="false" customHeight="false" outlineLevel="0" collapsed="false">
      <c r="T311" s="13"/>
      <c r="V311" s="95"/>
    </row>
    <row r="312" customFormat="false" ht="12.65" hidden="false" customHeight="false" outlineLevel="0" collapsed="false">
      <c r="T312" s="13"/>
      <c r="V312" s="95"/>
    </row>
    <row r="313" customFormat="false" ht="12.65" hidden="false" customHeight="false" outlineLevel="0" collapsed="false">
      <c r="T313" s="13"/>
      <c r="V313" s="95"/>
    </row>
    <row r="314" customFormat="false" ht="12.65" hidden="false" customHeight="false" outlineLevel="0" collapsed="false">
      <c r="A314" s="61" t="s">
        <v>107</v>
      </c>
      <c r="T314" s="13"/>
      <c r="V314" s="95"/>
    </row>
    <row r="315" customFormat="false" ht="12.65" hidden="false" customHeight="false" outlineLevel="0" collapsed="false">
      <c r="A315" s="23" t="str">
        <f aca="false">CONCATENATE(A314,". Energy usages (Mtoe/yr) - ",A5," 1970 to 2050")</f>
        <v> Gráfico 8. Consumo de energia (Mtoe/ano) - SumWorld 1970 a 2050</v>
      </c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T315" s="13"/>
    </row>
    <row r="316" customFormat="false" ht="11.25" hidden="false" customHeight="false" outlineLevel="0" collapsed="false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T316" s="13"/>
    </row>
    <row r="317" customFormat="false" ht="11.25" hidden="false" customHeight="false" outlineLevel="0" collapsed="false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T317" s="13"/>
    </row>
    <row r="318" customFormat="false" ht="11.25" hidden="false" customHeight="false" outlineLevel="0" collapsed="false">
      <c r="A318" s="132"/>
      <c r="B318" s="131"/>
      <c r="C318" s="131"/>
      <c r="D318" s="131"/>
      <c r="E318" s="131"/>
      <c r="F318" s="131"/>
      <c r="G318" s="131"/>
      <c r="H318" s="131"/>
      <c r="I318" s="131"/>
      <c r="T318" s="13"/>
    </row>
    <row r="319" customFormat="false" ht="11.25" hidden="false" customHeight="false" outlineLevel="0" collapsed="false">
      <c r="A319" s="132"/>
      <c r="B319" s="131"/>
      <c r="C319" s="131"/>
      <c r="D319" s="131"/>
      <c r="E319" s="131"/>
      <c r="F319" s="131"/>
      <c r="G319" s="131"/>
      <c r="H319" s="131"/>
      <c r="I319" s="131"/>
      <c r="T319" s="13"/>
    </row>
    <row r="320" customFormat="false" ht="11.25" hidden="false" customHeight="false" outlineLevel="0" collapsed="false">
      <c r="A320" s="132"/>
      <c r="B320" s="131"/>
      <c r="C320" s="131"/>
      <c r="D320" s="131"/>
      <c r="E320" s="131"/>
      <c r="F320" s="131"/>
      <c r="G320" s="131"/>
      <c r="H320" s="131"/>
      <c r="I320" s="131"/>
      <c r="T320" s="13"/>
    </row>
    <row r="321" customFormat="false" ht="11.25" hidden="false" customHeight="false" outlineLevel="0" collapsed="false">
      <c r="A321" s="132"/>
      <c r="B321" s="131"/>
      <c r="C321" s="131"/>
      <c r="D321" s="131"/>
      <c r="E321" s="131"/>
      <c r="F321" s="131"/>
      <c r="G321" s="131"/>
      <c r="H321" s="131"/>
      <c r="I321" s="131"/>
      <c r="T321" s="13"/>
    </row>
    <row r="322" customFormat="false" ht="11.25" hidden="false" customHeight="false" outlineLevel="0" collapsed="false">
      <c r="A322" s="132"/>
      <c r="B322" s="131"/>
      <c r="C322" s="131"/>
      <c r="D322" s="131"/>
      <c r="E322" s="131"/>
      <c r="F322" s="131"/>
      <c r="G322" s="131"/>
      <c r="H322" s="131"/>
      <c r="I322" s="131"/>
      <c r="T322" s="13"/>
    </row>
    <row r="323" customFormat="false" ht="11.25" hidden="false" customHeight="false" outlineLevel="0" collapsed="false">
      <c r="A323" s="132"/>
      <c r="B323" s="131"/>
      <c r="C323" s="131"/>
      <c r="D323" s="131"/>
      <c r="E323" s="131"/>
      <c r="F323" s="131"/>
      <c r="G323" s="131"/>
      <c r="H323" s="131"/>
      <c r="I323" s="131"/>
      <c r="T323" s="13"/>
    </row>
    <row r="324" customFormat="false" ht="11.25" hidden="false" customHeight="false" outlineLevel="0" collapsed="false">
      <c r="A324" s="132"/>
      <c r="B324" s="131"/>
      <c r="C324" s="131"/>
      <c r="D324" s="131"/>
      <c r="E324" s="131"/>
      <c r="F324" s="131"/>
      <c r="G324" s="131"/>
      <c r="H324" s="131"/>
      <c r="I324" s="131"/>
      <c r="T324" s="13"/>
    </row>
    <row r="325" customFormat="false" ht="11.25" hidden="false" customHeight="false" outlineLevel="0" collapsed="false">
      <c r="A325" s="132"/>
      <c r="B325" s="131"/>
      <c r="C325" s="131"/>
      <c r="D325" s="131"/>
      <c r="E325" s="131"/>
      <c r="F325" s="131"/>
      <c r="G325" s="131"/>
      <c r="H325" s="131"/>
      <c r="I325" s="131"/>
      <c r="T325" s="13"/>
    </row>
    <row r="326" customFormat="false" ht="11.25" hidden="false" customHeight="false" outlineLevel="0" collapsed="false">
      <c r="A326" s="132"/>
      <c r="B326" s="131"/>
      <c r="C326" s="131"/>
      <c r="D326" s="131"/>
      <c r="E326" s="131"/>
      <c r="F326" s="131"/>
      <c r="G326" s="131"/>
      <c r="H326" s="131"/>
      <c r="I326" s="131"/>
      <c r="T326" s="13"/>
    </row>
    <row r="327" customFormat="false" ht="11.25" hidden="false" customHeight="false" outlineLevel="0" collapsed="false">
      <c r="A327" s="132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T327" s="13"/>
    </row>
    <row r="328" customFormat="false" ht="11.25" hidden="false" customHeight="false" outlineLevel="0" collapsed="false">
      <c r="A328" s="132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T328" s="13"/>
    </row>
    <row r="329" customFormat="false" ht="11.25" hidden="false" customHeight="false" outlineLevel="0" collapsed="false">
      <c r="A329" s="132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T329" s="13"/>
    </row>
    <row r="330" customFormat="false" ht="11.25" hidden="false" customHeight="false" outlineLevel="0" collapsed="false">
      <c r="A330" s="132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T330" s="13"/>
    </row>
    <row r="331" customFormat="false" ht="11.25" hidden="false" customHeight="false" outlineLevel="0" collapsed="false">
      <c r="A331" s="132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T331" s="13"/>
    </row>
    <row r="332" customFormat="false" ht="11.25" hidden="false" customHeight="false" outlineLevel="0" collapsed="false">
      <c r="A332" s="132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T332" s="13"/>
    </row>
    <row r="333" customFormat="false" ht="11.25" hidden="false" customHeight="false" outlineLevel="0" collapsed="false">
      <c r="A333" s="132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T333" s="13"/>
    </row>
    <row r="334" customFormat="false" ht="11.25" hidden="false" customHeight="false" outlineLevel="0" collapsed="false">
      <c r="A334" s="132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T334" s="13"/>
    </row>
    <row r="335" customFormat="false" ht="11.25" hidden="false" customHeight="false" outlineLevel="0" collapsed="false">
      <c r="T335" s="13"/>
    </row>
    <row r="336" customFormat="false" ht="12.65" hidden="false" customHeight="false" outlineLevel="0" collapsed="false">
      <c r="T336" s="13"/>
      <c r="V336" s="95"/>
      <c r="AC336" s="95"/>
    </row>
    <row r="337" customFormat="false" ht="12.65" hidden="false" customHeight="false" outlineLevel="0" collapsed="false">
      <c r="B337" s="95"/>
      <c r="T337" s="13"/>
    </row>
    <row r="338" customFormat="false" ht="12.65" hidden="false" customHeight="false" outlineLevel="0" collapsed="false">
      <c r="B338" s="95"/>
      <c r="T338" s="13"/>
    </row>
    <row r="339" customFormat="false" ht="12.65" hidden="false" customHeight="false" outlineLevel="0" collapsed="false">
      <c r="B339" s="95"/>
      <c r="T339" s="13"/>
    </row>
    <row r="340" customFormat="false" ht="12.65" hidden="false" customHeight="false" outlineLevel="0" collapsed="false">
      <c r="B340" s="95"/>
      <c r="T340" s="13"/>
    </row>
    <row r="341" customFormat="false" ht="12.65" hidden="false" customHeight="false" outlineLevel="0" collapsed="false">
      <c r="B341" s="95"/>
      <c r="T341" s="13"/>
    </row>
    <row r="342" customFormat="false" ht="11.25" hidden="false" customHeight="false" outlineLevel="0" collapsed="false">
      <c r="T342" s="13"/>
    </row>
    <row r="343" customFormat="false" ht="12.65" hidden="false" customHeight="false" outlineLevel="0" collapsed="false">
      <c r="A343" s="61" t="s">
        <v>108</v>
      </c>
      <c r="T343" s="13"/>
    </row>
    <row r="344" customFormat="false" ht="12.65" hidden="false" customHeight="false" outlineLevel="0" collapsed="false">
      <c r="A344" s="23" t="str">
        <f aca="false">CONCATENATE(A343,". CO2 Emissions from Energy Use - ",A5," 1970 to 2050")</f>
        <v> Gráfico 9. Emissões de CO2 provenientes do uso de energia - SumWorld 1970 a 2050</v>
      </c>
      <c r="T344" s="13"/>
    </row>
    <row r="345" customFormat="false" ht="11.25" hidden="false" customHeight="false" outlineLevel="0" collapsed="false">
      <c r="B345" s="24" t="n">
        <v>1970</v>
      </c>
      <c r="C345" s="24" t="n">
        <v>1975</v>
      </c>
      <c r="D345" s="24" t="n">
        <v>1980</v>
      </c>
      <c r="E345" s="24" t="n">
        <v>1985</v>
      </c>
      <c r="F345" s="24" t="n">
        <v>1990</v>
      </c>
      <c r="G345" s="24" t="n">
        <v>1995</v>
      </c>
      <c r="H345" s="24" t="n">
        <v>2000</v>
      </c>
      <c r="I345" s="24" t="n">
        <v>2005</v>
      </c>
      <c r="J345" s="24" t="n">
        <v>2010</v>
      </c>
      <c r="K345" s="24" t="n">
        <v>2015</v>
      </c>
      <c r="L345" s="24" t="n">
        <v>2020</v>
      </c>
      <c r="M345" s="24" t="n">
        <v>2025</v>
      </c>
      <c r="N345" s="24" t="n">
        <v>2030</v>
      </c>
      <c r="O345" s="24" t="n">
        <v>2035</v>
      </c>
      <c r="P345" s="24" t="n">
        <v>2040</v>
      </c>
      <c r="Q345" s="24" t="n">
        <v>2045</v>
      </c>
      <c r="R345" s="24" t="n">
        <v>2050</v>
      </c>
      <c r="S345" s="25" t="s">
        <v>15</v>
      </c>
      <c r="T345" s="13"/>
      <c r="V345" s="103" t="s">
        <v>109</v>
      </c>
    </row>
    <row r="346" customFormat="false" ht="11.25" hidden="false" customHeight="false" outlineLevel="0" collapsed="false">
      <c r="A346" s="63" t="s">
        <v>110</v>
      </c>
      <c r="B346" s="27" t="n">
        <f aca="false"> EUA!B357+ China!B357+ OCDE!B357+ BRISE!B357+ LINHA!B357</f>
        <v>14656.4542666667</v>
      </c>
      <c r="C346" s="27" t="n">
        <f aca="false"> EUA!C357+ China!C357+ OCDE!C357+ BRISE!C357+ LINHA!C357</f>
        <v>16387.1693333333</v>
      </c>
      <c r="D346" s="27" t="n">
        <f aca="false"> EUA!D357+ China!D357+ OCDE!D357+ BRISE!D357+ LINHA!D357</f>
        <v>19013.434</v>
      </c>
      <c r="E346" s="27" t="n">
        <f aca="false"> EUA!E357+ China!E357+ OCDE!E357+ BRISE!E357+ LINHA!E357</f>
        <v>19639.9074666667</v>
      </c>
      <c r="F346" s="27" t="n">
        <f aca="false"> EUA!F357+ China!F357+ OCDE!F357+ BRISE!F357+ LINHA!F357</f>
        <v>21427.9406</v>
      </c>
      <c r="G346" s="27" t="n">
        <f aca="false"> EUA!G357+ China!G357+ OCDE!G357+ BRISE!G357+ LINHA!G357</f>
        <v>22287.0061333333</v>
      </c>
      <c r="H346" s="27" t="n">
        <f aca="false"> EUA!H357+ China!H357+ OCDE!H357+ BRISE!H357+ LINHA!H357</f>
        <v>23336.68447</v>
      </c>
      <c r="I346" s="27" t="n">
        <f aca="false"> EUA!I357+ China!I357+ OCDE!I357+ BRISE!I357+ LINHA!I357</f>
        <v>27319.4181333333</v>
      </c>
      <c r="J346" s="27" t="n">
        <f aca="false"> EUA!J357+ China!J357+ OCDE!J357+ BRISE!J357+ LINHA!J357</f>
        <v>29440.9346</v>
      </c>
      <c r="K346" s="27" t="n">
        <f aca="false"> EUA!K357+ China!K357+ OCDE!K357+ BRISE!K357+ LINHA!K357</f>
        <v>33988.9291849793</v>
      </c>
      <c r="L346" s="27" t="n">
        <f aca="false"> EUA!L357+ China!L357+ OCDE!L357+ BRISE!L357+ LINHA!L357</f>
        <v>37253.9321518667</v>
      </c>
      <c r="M346" s="27" t="n">
        <f aca="false"> EUA!M357+ China!M357+ OCDE!M357+ BRISE!M357+ LINHA!M357</f>
        <v>39396.2255792115</v>
      </c>
      <c r="N346" s="27" t="n">
        <f aca="false"> EUA!N357+ China!N357+ OCDE!N357+ BRISE!N357+ LINHA!N357</f>
        <v>40541.2940113648</v>
      </c>
      <c r="O346" s="27" t="n">
        <f aca="false"> EUA!O357+ China!O357+ OCDE!O357+ BRISE!O357+ LINHA!O357</f>
        <v>39976.9304608965</v>
      </c>
      <c r="P346" s="27" t="n">
        <f aca="false"> EUA!P357+ China!P357+ OCDE!P357+ BRISE!P357+ LINHA!P357</f>
        <v>38383.7083232828</v>
      </c>
      <c r="Q346" s="27" t="n">
        <f aca="false"> EUA!Q357+ China!Q357+ OCDE!Q357+ BRISE!Q357+ LINHA!Q357</f>
        <v>35384.4100469848</v>
      </c>
      <c r="R346" s="27" t="n">
        <f aca="false"> EUA!R357+ China!R357+ OCDE!R357+ BRISE!R357+ LINHA!R357</f>
        <v>31264.5537366541</v>
      </c>
      <c r="S346" s="28" t="str">
        <f aca="false"> EUA!S357</f>
        <v> MtCO2 / ano</v>
      </c>
      <c r="T346" s="13"/>
      <c r="V346" s="103" t="s">
        <v>85</v>
      </c>
    </row>
    <row r="347" customFormat="false" ht="11.25" hidden="false" customHeight="false" outlineLevel="0" collapsed="false">
      <c r="A347" s="63" t="str">
        <f aca="false">A240</f>
        <v> Consumo de energia</v>
      </c>
      <c r="B347" s="27" t="n">
        <f aca="false">B240</f>
        <v>4898.58823227195</v>
      </c>
      <c r="C347" s="27" t="n">
        <f aca="false">C240</f>
        <v>5695.60373697542</v>
      </c>
      <c r="D347" s="27" t="n">
        <f aca="false">D240</f>
        <v>6519.54150238839</v>
      </c>
      <c r="E347" s="27" t="n">
        <f aca="false">E240</f>
        <v>7006.79835193014</v>
      </c>
      <c r="F347" s="27" t="n">
        <f aca="false">F240</f>
        <v>7955.08563422394</v>
      </c>
      <c r="G347" s="27" t="n">
        <f aca="false">G240</f>
        <v>8400.32025340282</v>
      </c>
      <c r="H347" s="27" t="n">
        <f aca="false">H240</f>
        <v>9173.74189754448</v>
      </c>
      <c r="I347" s="27" t="n">
        <f aca="false">I240</f>
        <v>10572.4284871377</v>
      </c>
      <c r="J347" s="27" t="n">
        <f aca="false">J240</f>
        <v>11781.586369568</v>
      </c>
      <c r="K347" s="27" t="n">
        <f aca="false">K240</f>
        <v>13210.8119766208</v>
      </c>
      <c r="L347" s="27" t="n">
        <f aca="false">L240</f>
        <v>14794.1194080716</v>
      </c>
      <c r="M347" s="27" t="n">
        <f aca="false">M240</f>
        <v>16211.4267875578</v>
      </c>
      <c r="N347" s="27" t="n">
        <f aca="false">N240</f>
        <v>17235.8707602461</v>
      </c>
      <c r="O347" s="27" t="n">
        <f aca="false">O240</f>
        <v>17871.0379996493</v>
      </c>
      <c r="P347" s="27" t="n">
        <f aca="false">P240</f>
        <v>18040.2397319182</v>
      </c>
      <c r="Q347" s="27" t="n">
        <f aca="false">Q240</f>
        <v>17902.5381468102</v>
      </c>
      <c r="R347" s="27" t="n">
        <f aca="false">R240</f>
        <v>17303.7174033635</v>
      </c>
      <c r="S347" s="28" t="str">
        <f aca="false"> EUA!S358</f>
        <v> Mtoe / ano</v>
      </c>
      <c r="T347" s="13"/>
    </row>
    <row r="348" customFormat="false" ht="11.25" hidden="false" customHeight="false" outlineLevel="0" collapsed="false">
      <c r="A348" s="63" t="str">
        <f aca="false">A134</f>
        <v> PIB SumWorld</v>
      </c>
      <c r="B348" s="134" t="n">
        <f aca="false">B134</f>
        <v>16.6234990193103</v>
      </c>
      <c r="C348" s="134" t="n">
        <f aca="false">C134</f>
        <v>20.2371024599048</v>
      </c>
      <c r="D348" s="134" t="n">
        <f aca="false">D134</f>
        <v>24.4539871145969</v>
      </c>
      <c r="E348" s="134" t="n">
        <f aca="false">E134</f>
        <v>28.027811317816</v>
      </c>
      <c r="F348" s="134" t="n">
        <f aca="false">F134</f>
        <v>36.2286172307455</v>
      </c>
      <c r="G348" s="134" t="n">
        <f aca="false">G134</f>
        <v>41.5060931997364</v>
      </c>
      <c r="H348" s="134" t="n">
        <f aca="false">H134</f>
        <v>48.9240038966411</v>
      </c>
      <c r="I348" s="134" t="n">
        <f aca="false">I134</f>
        <v>59.3516654405472</v>
      </c>
      <c r="J348" s="134" t="n">
        <f aca="false">J134</f>
        <v>66.804166910091</v>
      </c>
      <c r="K348" s="134" t="n">
        <f aca="false">K134</f>
        <v>77.31169502576</v>
      </c>
      <c r="L348" s="134" t="n">
        <f aca="false">L134</f>
        <v>89.2696559309027</v>
      </c>
      <c r="M348" s="134" t="n">
        <f aca="false">M134</f>
        <v>102.8078962373</v>
      </c>
      <c r="N348" s="134" t="n">
        <f aca="false">N134</f>
        <v>115.818697557203</v>
      </c>
      <c r="O348" s="134" t="n">
        <f aca="false">O134</f>
        <v>126.575257031175</v>
      </c>
      <c r="P348" s="134" t="n">
        <f aca="false">P134</f>
        <v>135.137412870323</v>
      </c>
      <c r="Q348" s="134" t="n">
        <f aca="false">Q134</f>
        <v>142.097812187292</v>
      </c>
      <c r="R348" s="134" t="n">
        <f aca="false">R134</f>
        <v>145.371448837128</v>
      </c>
      <c r="S348" s="28" t="str">
        <f aca="false"> EUA!S359</f>
        <v> T$ / ano</v>
      </c>
      <c r="T348" s="13"/>
    </row>
    <row r="349" customFormat="false" ht="11.25" hidden="false" customHeight="false" outlineLevel="0" collapsed="false">
      <c r="A349" s="63" t="s">
        <v>112</v>
      </c>
      <c r="B349" s="136" t="n">
        <f aca="false">B245</f>
        <v>5.35926044098461</v>
      </c>
      <c r="C349" s="136" t="n">
        <f aca="false">C245</f>
        <v>5.63185040277656</v>
      </c>
      <c r="D349" s="136" t="n">
        <f aca="false">D245</f>
        <v>5.7950905406726</v>
      </c>
      <c r="E349" s="136" t="n">
        <f aca="false">E245</f>
        <v>6.26847053266568</v>
      </c>
      <c r="F349" s="136" t="n">
        <f aca="false">F245</f>
        <v>6.35341272362911</v>
      </c>
      <c r="G349" s="136" t="n">
        <f aca="false">G245</f>
        <v>6.92659667486589</v>
      </c>
      <c r="H349" s="136" t="n">
        <f aca="false">H245</f>
        <v>7.01768883117836</v>
      </c>
      <c r="I349" s="136" t="n">
        <f aca="false">I245</f>
        <v>7.04195865394241</v>
      </c>
      <c r="J349" s="136" t="n">
        <f aca="false">J245</f>
        <v>8.23943738923445</v>
      </c>
      <c r="K349" s="136" t="n">
        <f aca="false">K245</f>
        <v>9.9744558877726</v>
      </c>
      <c r="L349" s="136" t="n">
        <f aca="false">L245</f>
        <v>11.9745446839491</v>
      </c>
      <c r="M349" s="136" t="n">
        <f aca="false">M245</f>
        <v>14.9107649949458</v>
      </c>
      <c r="N349" s="136" t="n">
        <f aca="false">N245</f>
        <v>17.9676163134433</v>
      </c>
      <c r="O349" s="136" t="n">
        <f aca="false">O245</f>
        <v>21.8265635699253</v>
      </c>
      <c r="P349" s="136" t="n">
        <f aca="false">P245</f>
        <v>25.8161278781811</v>
      </c>
      <c r="Q349" s="136" t="n">
        <f aca="false">Q245</f>
        <v>30.9490727355362</v>
      </c>
      <c r="R349" s="136" t="n">
        <f aca="false">R245</f>
        <v>37.0550618025925</v>
      </c>
      <c r="S349" s="28" t="str">
        <f aca="false"> EUA!S360</f>
        <v> %</v>
      </c>
      <c r="T349" s="13"/>
    </row>
    <row r="350" customFormat="false" ht="11.25" hidden="false" customHeight="false" outlineLevel="0" collapsed="false">
      <c r="A350" s="63" t="s">
        <v>113</v>
      </c>
      <c r="B350" s="75" t="n">
        <f aca="false">B346/B347</f>
        <v>2.99197515114861</v>
      </c>
      <c r="C350" s="75" t="n">
        <f aca="false">C346/C347</f>
        <v>2.87716106844812</v>
      </c>
      <c r="D350" s="75" t="n">
        <f aca="false">D346/D347</f>
        <v>2.91637594346697</v>
      </c>
      <c r="E350" s="75" t="n">
        <f aca="false">E346/E347</f>
        <v>2.80297883287258</v>
      </c>
      <c r="F350" s="75" t="n">
        <f aca="false">F346/F347</f>
        <v>2.6936153280128</v>
      </c>
      <c r="G350" s="75" t="n">
        <f aca="false">G346/G347</f>
        <v>2.65311386483215</v>
      </c>
      <c r="H350" s="75" t="n">
        <f aca="false">H346/H347</f>
        <v>2.54385666510266</v>
      </c>
      <c r="I350" s="75" t="n">
        <f aca="false">I346/I347</f>
        <v>2.58402486870162</v>
      </c>
      <c r="J350" s="75" t="n">
        <f aca="false">J346/J347</f>
        <v>2.49889392450972</v>
      </c>
      <c r="K350" s="75" t="n">
        <f aca="false">K346/K347</f>
        <v>2.57281151568348</v>
      </c>
      <c r="L350" s="75" t="n">
        <f aca="false">L346/L347</f>
        <v>2.51815813596456</v>
      </c>
      <c r="M350" s="75" t="n">
        <f aca="false">M346/M347</f>
        <v>2.43015165139245</v>
      </c>
      <c r="N350" s="75" t="n">
        <f aca="false">N346/N347</f>
        <v>2.35214655385278</v>
      </c>
      <c r="O350" s="75" t="n">
        <f aca="false">O346/O347</f>
        <v>2.23696745883932</v>
      </c>
      <c r="P350" s="75" t="n">
        <f aca="false">P346/P347</f>
        <v>2.12767174348417</v>
      </c>
      <c r="Q350" s="75" t="n">
        <f aca="false">Q346/Q347</f>
        <v>1.9765024242269</v>
      </c>
      <c r="R350" s="75" t="n">
        <f aca="false">R346/R347</f>
        <v>1.80681139248014</v>
      </c>
      <c r="S350" s="28" t="str">
        <f aca="false"> EUA!S361</f>
        <v> tCO2 / dedo do pé</v>
      </c>
      <c r="T350" s="13"/>
    </row>
    <row r="351" customFormat="false" ht="11.25" hidden="false" customHeight="false" outlineLevel="0" collapsed="false">
      <c r="A351" s="63" t="s">
        <v>115</v>
      </c>
      <c r="K351" s="27" t="n">
        <f aca="false">K232*$D$364</f>
        <v>3169.80530442904</v>
      </c>
      <c r="L351" s="27" t="n">
        <f aca="false">L232*$D$364</f>
        <v>3166.71623417084</v>
      </c>
      <c r="M351" s="27" t="n">
        <f aca="false">M232*$D$364</f>
        <v>3226.99216826576</v>
      </c>
      <c r="N351" s="27" t="n">
        <f aca="false">N232*$D$364</f>
        <v>3135.84914616651</v>
      </c>
      <c r="O351" s="27" t="n">
        <f aca="false">O232*$D$364</f>
        <v>2969.0141394699</v>
      </c>
      <c r="P351" s="27" t="n">
        <f aca="false">P232*$D$364</f>
        <v>2723.33101154827</v>
      </c>
      <c r="Q351" s="27" t="n">
        <f aca="false">Q232*$D$364</f>
        <v>2451.58312455066</v>
      </c>
      <c r="R351" s="27" t="n">
        <f aca="false">R232*$D$364</f>
        <v>2096.00990955013</v>
      </c>
      <c r="S351" s="28" t="str">
        <f aca="false"> EUA!S362</f>
        <v> MtC / ano</v>
      </c>
      <c r="T351" s="13"/>
      <c r="U351" s="41"/>
      <c r="V351" s="41"/>
      <c r="W351" s="41"/>
      <c r="X351" s="41"/>
      <c r="Y351" s="41"/>
    </row>
    <row r="352" customFormat="false" ht="11.25" hidden="false" customHeight="false" outlineLevel="0" collapsed="false">
      <c r="A352" s="63" t="s">
        <v>117</v>
      </c>
      <c r="K352" s="27" t="n">
        <f aca="false">K233*$C$364</f>
        <v>1856.25741010681</v>
      </c>
      <c r="L352" s="27" t="n">
        <f aca="false">L233*$C$364</f>
        <v>2212.67121110187</v>
      </c>
      <c r="M352" s="27" t="n">
        <f aca="false">M233*$C$364</f>
        <v>2449.48460123163</v>
      </c>
      <c r="N352" s="27" t="n">
        <f aca="false">N233*$C$364</f>
        <v>2627.70949778856</v>
      </c>
      <c r="O352" s="27" t="n">
        <f aca="false">O233*$C$364</f>
        <v>2691.16760170731</v>
      </c>
      <c r="P352" s="27" t="n">
        <f aca="false">P233*$C$364</f>
        <v>2623.84903565773</v>
      </c>
      <c r="Q352" s="27" t="n">
        <f aca="false">Q233*$C$364</f>
        <v>2506.41291252254</v>
      </c>
      <c r="R352" s="27" t="n">
        <f aca="false">R233*$C$364</f>
        <v>2202.37165166901</v>
      </c>
      <c r="S352" s="28" t="str">
        <f aca="false"> EUA!S363</f>
        <v> MtC / ano</v>
      </c>
      <c r="T352" s="13"/>
      <c r="U352" s="41"/>
      <c r="V352" s="41"/>
      <c r="W352" s="41"/>
      <c r="X352" s="41"/>
      <c r="Y352" s="41"/>
    </row>
    <row r="353" customFormat="false" ht="11.25" hidden="false" customHeight="false" outlineLevel="0" collapsed="false">
      <c r="A353" s="63" t="s">
        <v>118</v>
      </c>
      <c r="K353" s="27" t="n">
        <f aca="false">K234*$E$364</f>
        <v>4243.64524500395</v>
      </c>
      <c r="L353" s="27" t="n">
        <f aca="false">L234*$E$364</f>
        <v>4780.77586887274</v>
      </c>
      <c r="M353" s="27" t="n">
        <f aca="false">M234*$E$364</f>
        <v>5067.9483884694</v>
      </c>
      <c r="N353" s="27" t="n">
        <f aca="false">N234*$E$364</f>
        <v>5293.15790459896</v>
      </c>
      <c r="O353" s="27" t="n">
        <f aca="false">O234*$E$364</f>
        <v>5242.61747543092</v>
      </c>
      <c r="P353" s="27" t="n">
        <f aca="false">P234*$E$364</f>
        <v>5121.10404096204</v>
      </c>
      <c r="Q353" s="27" t="n">
        <f aca="false">Q234*$E$364</f>
        <v>4692.29761210448</v>
      </c>
      <c r="R353" s="27" t="n">
        <f aca="false">R234*$E$364</f>
        <v>4228.3149124138</v>
      </c>
      <c r="S353" s="28" t="str">
        <f aca="false"> EUA!S364</f>
        <v> MtC / ano</v>
      </c>
      <c r="T353" s="13"/>
      <c r="U353" s="41"/>
      <c r="V353" s="41"/>
      <c r="W353" s="41"/>
      <c r="X353" s="41"/>
      <c r="Y353" s="41"/>
    </row>
    <row r="354" customFormat="false" ht="11.25" hidden="false" customHeight="false" outlineLevel="0" collapsed="false">
      <c r="A354" s="63" t="s">
        <v>119</v>
      </c>
      <c r="K354" s="27" t="n">
        <f aca="false">SUM(K351:K353)</f>
        <v>9269.7079595398</v>
      </c>
      <c r="L354" s="27" t="n">
        <f aca="false">SUM(L351:L353)</f>
        <v>10160.1633141455</v>
      </c>
      <c r="M354" s="27" t="n">
        <f aca="false">SUM(M351:M353)</f>
        <v>10744.4251579668</v>
      </c>
      <c r="N354" s="27" t="n">
        <f aca="false">SUM(N351:N353)</f>
        <v>11056.716548554</v>
      </c>
      <c r="O354" s="27" t="n">
        <f aca="false">SUM(O351:O353)</f>
        <v>10902.7992166081</v>
      </c>
      <c r="P354" s="27" t="n">
        <f aca="false">SUM(P351:P353)</f>
        <v>10468.284088168</v>
      </c>
      <c r="Q354" s="27" t="n">
        <f aca="false">SUM(Q351:Q353)</f>
        <v>9650.29364917768</v>
      </c>
      <c r="R354" s="27" t="n">
        <f aca="false">SUM(R351:R353)</f>
        <v>8526.69647363294</v>
      </c>
      <c r="S354" s="28" t="str">
        <f aca="false"> EUA!S365</f>
        <v> MtC / ano</v>
      </c>
      <c r="T354" s="13"/>
      <c r="U354" s="41"/>
      <c r="V354" s="41"/>
      <c r="W354" s="41"/>
      <c r="X354" s="41"/>
      <c r="Y354" s="41"/>
    </row>
    <row r="355" customFormat="false" ht="12.65" hidden="false" customHeight="false" outlineLevel="0" collapsed="false">
      <c r="A355" s="108" t="s">
        <v>7</v>
      </c>
      <c r="S355" s="41"/>
      <c r="T355" s="13"/>
      <c r="U355" s="41"/>
      <c r="V355" s="41"/>
      <c r="W355" s="41"/>
      <c r="X355" s="41"/>
      <c r="Y355" s="41"/>
    </row>
    <row r="356" s="3" customFormat="true" ht="11.25" hidden="false" customHeight="false" outlineLevel="0" collapsed="false">
      <c r="B356" s="24" t="n">
        <v>1970</v>
      </c>
      <c r="C356" s="24" t="n">
        <v>1975</v>
      </c>
      <c r="D356" s="24" t="n">
        <v>1980</v>
      </c>
      <c r="E356" s="24" t="n">
        <v>1985</v>
      </c>
      <c r="F356" s="24" t="n">
        <v>1990</v>
      </c>
      <c r="G356" s="24" t="n">
        <v>1995</v>
      </c>
      <c r="H356" s="24" t="n">
        <v>2000</v>
      </c>
      <c r="I356" s="24" t="n">
        <v>2005</v>
      </c>
      <c r="J356" s="24" t="n">
        <v>2010</v>
      </c>
      <c r="K356" s="24" t="n">
        <v>2015</v>
      </c>
      <c r="L356" s="24" t="n">
        <v>2020</v>
      </c>
      <c r="M356" s="24" t="n">
        <v>2025</v>
      </c>
      <c r="N356" s="24" t="n">
        <v>2030</v>
      </c>
      <c r="O356" s="24" t="n">
        <v>2035</v>
      </c>
      <c r="P356" s="24" t="n">
        <v>2040</v>
      </c>
      <c r="Q356" s="24" t="n">
        <v>2045</v>
      </c>
      <c r="R356" s="24" t="n">
        <v>2050</v>
      </c>
      <c r="S356" s="25" t="s">
        <v>15</v>
      </c>
      <c r="T356" s="13"/>
      <c r="U356" s="41"/>
      <c r="V356" s="41"/>
      <c r="W356" s="41"/>
      <c r="X356" s="41"/>
      <c r="Y356" s="41"/>
    </row>
    <row r="357" s="3" customFormat="true" ht="11.25" hidden="false" customHeight="false" outlineLevel="0" collapsed="false">
      <c r="G357" s="8"/>
      <c r="H357" s="8"/>
      <c r="I357" s="8"/>
      <c r="J357" s="37" t="str">
        <f aca="false">CONCATENATE(A346," Your forecast")</f>
        <v> Emissões de CO2: Sua previsão</v>
      </c>
      <c r="K357" s="84" t="n">
        <f aca="false">K362/12*44</f>
        <v>33988.5942142724</v>
      </c>
      <c r="L357" s="84" t="n">
        <f aca="false">L362/12*44</f>
        <v>36674.1033241237</v>
      </c>
      <c r="M357" s="84" t="n">
        <f aca="false">M362/12*44</f>
        <v>38596.75009707</v>
      </c>
      <c r="N357" s="84" t="n">
        <f aca="false">N362/12*44</f>
        <v>39536.4755637827</v>
      </c>
      <c r="O357" s="84" t="n">
        <f aca="false">O362/12*44</f>
        <v>38862.1395808266</v>
      </c>
      <c r="P357" s="84" t="n">
        <f aca="false">P362/12*44</f>
        <v>37231.1405070495</v>
      </c>
      <c r="Q357" s="84" t="n">
        <f aca="false">Q362/12*44</f>
        <v>34317.565071503</v>
      </c>
      <c r="R357" s="84" t="n">
        <f aca="false">R362/12*44</f>
        <v>30374.6352945432</v>
      </c>
      <c r="S357" s="28" t="str">
        <f aca="false"> EUA!S368</f>
        <v> MtCO2 / ano</v>
      </c>
      <c r="T357" s="13"/>
      <c r="U357" s="41"/>
      <c r="V357" s="41"/>
      <c r="W357" s="41"/>
      <c r="X357" s="41"/>
      <c r="Y357" s="41"/>
    </row>
    <row r="358" s="3" customFormat="true" ht="11.25" hidden="false" customHeight="false" outlineLevel="0" collapsed="false">
      <c r="G358" s="8"/>
      <c r="H358" s="8"/>
      <c r="I358" s="8"/>
      <c r="J358" s="37" t="str">
        <f aca="false">CONCATENATE(A350," Your forecast")</f>
        <v> Intensidade climática Sua previsão</v>
      </c>
      <c r="K358" s="137" t="n">
        <f aca="false">K357/K255</f>
        <v>2.57281321744709</v>
      </c>
      <c r="L358" s="137" t="n">
        <f aca="false">L357/L255</f>
        <v>2.54393623319095</v>
      </c>
      <c r="M358" s="137" t="n">
        <f aca="false">M357/M255</f>
        <v>2.45674132995088</v>
      </c>
      <c r="N358" s="137" t="n">
        <f aca="false">N357/N255</f>
        <v>2.37953876870156</v>
      </c>
      <c r="O358" s="137" t="n">
        <f aca="false">O357/O255</f>
        <v>2.26652735855163</v>
      </c>
      <c r="P358" s="137" t="n">
        <f aca="false">P357/P255</f>
        <v>2.15931256222838</v>
      </c>
      <c r="Q358" s="137" t="n">
        <f aca="false">Q357/Q255</f>
        <v>2.0112599751048</v>
      </c>
      <c r="R358" s="137" t="n">
        <f aca="false">R357/R255</f>
        <v>1.84505771290209</v>
      </c>
      <c r="S358" s="28" t="str">
        <f aca="false"> EUA!S369</f>
        <v>tCO2 / dedo do pé</v>
      </c>
      <c r="T358" s="13"/>
      <c r="U358" s="41"/>
      <c r="V358" s="41"/>
      <c r="W358" s="41"/>
      <c r="X358" s="41"/>
      <c r="Y358" s="41"/>
    </row>
    <row r="359" s="3" customFormat="true" ht="11.25" hidden="false" customHeight="false" outlineLevel="0" collapsed="false">
      <c r="G359" s="8"/>
      <c r="H359" s="8"/>
      <c r="I359" s="8"/>
      <c r="J359" s="37" t="str">
        <f aca="false">CONCATENATE(A351," Your forecast")</f>
        <v> Emissões de CO2 provenientes do petróleo: Sua previsão</v>
      </c>
      <c r="K359" s="84" t="n">
        <f aca="false">K250*$D$364</f>
        <v>3169.76553418342</v>
      </c>
      <c r="L359" s="84" t="n">
        <f aca="false">L250*$D$364</f>
        <v>3028.39212107646</v>
      </c>
      <c r="M359" s="84" t="n">
        <f aca="false">M250*$D$364</f>
        <v>3072.82491011125</v>
      </c>
      <c r="N359" s="84" t="n">
        <f aca="false">N250*$D$364</f>
        <v>2974.1214012651</v>
      </c>
      <c r="O359" s="84" t="n">
        <f aca="false">O250*$D$364</f>
        <v>2804.85540731362</v>
      </c>
      <c r="P359" s="84" t="n">
        <f aca="false">P250*$D$364</f>
        <v>2564.21796057049</v>
      </c>
      <c r="Q359" s="84" t="n">
        <f aca="false">Q250*$D$364</f>
        <v>2302.6878586219</v>
      </c>
      <c r="R359" s="84" t="n">
        <f aca="false">R250*$D$364</f>
        <v>1965.79672444546</v>
      </c>
      <c r="S359" s="28" t="str">
        <f aca="false"> EUA!S370</f>
        <v> MtC / ano</v>
      </c>
      <c r="T359" s="13"/>
      <c r="U359" s="41"/>
      <c r="V359" s="41"/>
      <c r="W359" s="41"/>
      <c r="X359" s="41"/>
      <c r="Y359" s="41"/>
    </row>
    <row r="360" s="3" customFormat="true" ht="11.25" hidden="false" customHeight="false" outlineLevel="0" collapsed="false">
      <c r="G360" s="8"/>
      <c r="H360" s="8"/>
      <c r="I360" s="8"/>
      <c r="J360" s="37" t="str">
        <f aca="false">CONCATENATE(A352," Your forecast")</f>
        <v> Emissões de CO2 provenientes do gás: Sua previsão</v>
      </c>
      <c r="K360" s="84" t="n">
        <f aca="false">K251*$C$364</f>
        <v>1856.23306975049</v>
      </c>
      <c r="L360" s="84" t="n">
        <f aca="false">L251*$C$364</f>
        <v>2117.04835899107</v>
      </c>
      <c r="M360" s="84" t="n">
        <f aca="false">M251*$C$364</f>
        <v>2333.86389783655</v>
      </c>
      <c r="N360" s="84" t="n">
        <f aca="false">N251*$C$364</f>
        <v>2492.99615310488</v>
      </c>
      <c r="O360" s="84" t="n">
        <f aca="false">O251*$C$364</f>
        <v>2543.05051892863</v>
      </c>
      <c r="P360" s="84" t="n">
        <f aca="false">P251*$C$364</f>
        <v>2470.9190993502</v>
      </c>
      <c r="Q360" s="84" t="n">
        <f aca="false">Q251*$C$364</f>
        <v>2353.70316489812</v>
      </c>
      <c r="R360" s="84" t="n">
        <f aca="false">R251*$C$364</f>
        <v>2064.93329586253</v>
      </c>
      <c r="S360" s="28" t="str">
        <f aca="false"> EUA!S371</f>
        <v> MtC / ano</v>
      </c>
      <c r="T360" s="13"/>
      <c r="V360" s="41"/>
      <c r="W360" s="41"/>
      <c r="X360" s="41"/>
      <c r="Y360" s="41"/>
    </row>
    <row r="361" s="3" customFormat="true" ht="11.25" hidden="false" customHeight="false" outlineLevel="0" collapsed="false">
      <c r="G361" s="8"/>
      <c r="H361" s="8"/>
      <c r="I361" s="8"/>
      <c r="J361" s="37" t="str">
        <f aca="false">CONCATENATE(A353," Your forecast")</f>
        <v> Emissões de CO2 provenientes do carvão: Sua previsão</v>
      </c>
      <c r="K361" s="84" t="n">
        <f aca="false">K252*$E$364</f>
        <v>4243.61799995856</v>
      </c>
      <c r="L361" s="84" t="n">
        <f aca="false">L252*$E$364</f>
        <v>4856.58769923893</v>
      </c>
      <c r="M361" s="84" t="n">
        <f aca="false">M252*$E$364</f>
        <v>5119.69758216219</v>
      </c>
      <c r="N361" s="84" t="n">
        <f aca="false">N252*$E$364</f>
        <v>5315.55759938894</v>
      </c>
      <c r="O361" s="84" t="n">
        <f aca="false">O252*$E$364</f>
        <v>5250.85941398318</v>
      </c>
      <c r="P361" s="84" t="n">
        <f aca="false">P252*$E$364</f>
        <v>5118.8103510928</v>
      </c>
      <c r="Q361" s="84" t="n">
        <f aca="false">Q252*$E$364</f>
        <v>4702.94490507171</v>
      </c>
      <c r="R361" s="84" t="n">
        <f aca="false">R252*$E$364</f>
        <v>4253.26142365832</v>
      </c>
      <c r="S361" s="28" t="str">
        <f aca="false"> EUA!S372</f>
        <v> MtC / ano</v>
      </c>
      <c r="T361" s="13"/>
      <c r="V361" s="41"/>
      <c r="W361" s="41"/>
      <c r="X361" s="41"/>
      <c r="Y361" s="41"/>
    </row>
    <row r="362" s="3" customFormat="true" ht="11.25" hidden="false" customHeight="false" outlineLevel="0" collapsed="false">
      <c r="F362" s="8"/>
      <c r="G362" s="8"/>
      <c r="H362" s="8"/>
      <c r="I362" s="8"/>
      <c r="J362" s="37" t="str">
        <f aca="false">CONCATENATE(A354," Your forecast")</f>
        <v> Emissões de CO2 provenientes de carvão, petróleo e gás: sua previsão</v>
      </c>
      <c r="K362" s="84" t="n">
        <f aca="false">SUM(K359:K361)</f>
        <v>9269.61660389247</v>
      </c>
      <c r="L362" s="84" t="n">
        <f aca="false">SUM(L359:L361)</f>
        <v>10002.0281793065</v>
      </c>
      <c r="M362" s="84" t="n">
        <f aca="false">SUM(M359:M361)</f>
        <v>10526.38639011</v>
      </c>
      <c r="N362" s="84" t="n">
        <f aca="false">SUM(N359:N361)</f>
        <v>10782.6751537589</v>
      </c>
      <c r="O362" s="84" t="n">
        <f aca="false">SUM(O359:O361)</f>
        <v>10598.7653402254</v>
      </c>
      <c r="P362" s="84" t="n">
        <f aca="false">SUM(P359:P361)</f>
        <v>10153.9474110135</v>
      </c>
      <c r="Q362" s="84" t="n">
        <f aca="false">SUM(Q359:Q361)</f>
        <v>9359.33592859173</v>
      </c>
      <c r="R362" s="84" t="n">
        <f aca="false">SUM(R359:R361)</f>
        <v>8283.99144396632</v>
      </c>
      <c r="S362" s="28" t="str">
        <f aca="false"> EUA!S373</f>
        <v> MtC / ano</v>
      </c>
      <c r="T362" s="13"/>
      <c r="X362" s="15" t="s">
        <v>33</v>
      </c>
    </row>
    <row r="363" customFormat="false" ht="11.25" hidden="false" customHeight="false" outlineLevel="0" collapsed="false">
      <c r="C363" s="15" t="s">
        <v>120</v>
      </c>
      <c r="D363" s="15" t="s">
        <v>121</v>
      </c>
      <c r="E363" s="15" t="s">
        <v>122</v>
      </c>
      <c r="S363" s="41"/>
      <c r="T363" s="13"/>
      <c r="V363" s="3" t="s">
        <v>35</v>
      </c>
    </row>
    <row r="364" customFormat="false" ht="28.3" hidden="false" customHeight="false" outlineLevel="0" collapsed="false">
      <c r="B364" s="15" t="s">
        <v>123</v>
      </c>
      <c r="C364" s="32" t="n">
        <v>0.574403596153046</v>
      </c>
      <c r="D364" s="32" t="n">
        <v>0.795144080881188</v>
      </c>
      <c r="E364" s="32" t="n">
        <v>1.06</v>
      </c>
      <c r="F364" s="3" t="s">
        <v>124</v>
      </c>
      <c r="H364" s="153" t="str">
        <f aca="false"> EUA!H375</f>
        <v> Unidades: tC / dedo do pé</v>
      </c>
      <c r="S364" s="41"/>
      <c r="T364" s="13"/>
      <c r="U364" s="53" t="s">
        <v>37</v>
      </c>
      <c r="V364" s="54" t="s">
        <v>38</v>
      </c>
      <c r="W364" s="54" t="s">
        <v>39</v>
      </c>
      <c r="X364" s="55"/>
      <c r="Y364" s="55"/>
    </row>
    <row r="365" s="3" customFormat="true" ht="11.25" hidden="false" customHeight="false" outlineLevel="0" collapsed="false">
      <c r="T365" s="13"/>
      <c r="U365" s="15" t="str">
        <f aca="false">AA370</f>
        <v> Emissões de CO2 (0 - 42 MtCO2 / ano)</v>
      </c>
      <c r="V365" s="25" t="n">
        <v>42000</v>
      </c>
      <c r="W365" s="70" t="n">
        <f aca="false">W369</f>
        <v>42000</v>
      </c>
    </row>
    <row r="366" s="3" customFormat="true" ht="11.25" hidden="false" customHeight="false" outlineLevel="0" collapsed="false">
      <c r="T366" s="13"/>
      <c r="U366" s="15" t="str">
        <f aca="false">AA371</f>
        <v> Consumo de energia (0 - 20 Mtoe / ano)</v>
      </c>
      <c r="V366" s="25" t="n">
        <v>20000</v>
      </c>
      <c r="W366" s="70" t="n">
        <f aca="false">W370</f>
        <v>20000</v>
      </c>
    </row>
    <row r="367" s="3" customFormat="true" ht="11.25" hidden="false" customHeight="false" outlineLevel="0" collapsed="false">
      <c r="T367" s="13"/>
      <c r="U367" s="15" t="str">
        <f aca="false">AA372</f>
        <v> Intensidade climática (0 - 4 tCO2 / toe)</v>
      </c>
      <c r="V367" s="25" t="n">
        <v>4</v>
      </c>
      <c r="W367" s="70" t="n">
        <f aca="false">W371</f>
        <v>4</v>
      </c>
    </row>
    <row r="368" s="3" customFormat="true" ht="11.25" hidden="false" customHeight="false" outlineLevel="0" collapsed="false">
      <c r="T368" s="13"/>
      <c r="U368" s="15" t="str">
        <f aca="false">AA373</f>
        <v> Fração renovável (0 - 40%)</v>
      </c>
      <c r="V368" s="25" t="n">
        <v>40</v>
      </c>
      <c r="W368" s="70" t="n">
        <f aca="false">W372</f>
        <v>40</v>
      </c>
      <c r="AA368" s="52" t="s">
        <v>36</v>
      </c>
    </row>
    <row r="369" s="3" customFormat="true" ht="15" hidden="false" customHeight="false" outlineLevel="0" collapsed="false">
      <c r="T369" s="13"/>
      <c r="U369" s="37" t="str">
        <f aca="false">AA375</f>
        <v> Emissões de CO2 (0 - 42 MtCO2/ano), sua previsão</v>
      </c>
      <c r="W369" s="4" t="n">
        <v>42000</v>
      </c>
      <c r="AA369" s="16"/>
      <c r="AB369" s="24" t="n">
        <v>1970</v>
      </c>
      <c r="AC369" s="24" t="n">
        <v>1975</v>
      </c>
      <c r="AD369" s="24" t="n">
        <v>1980</v>
      </c>
      <c r="AE369" s="24" t="n">
        <v>1985</v>
      </c>
      <c r="AF369" s="24" t="n">
        <v>1990</v>
      </c>
      <c r="AG369" s="24" t="n">
        <v>1995</v>
      </c>
      <c r="AH369" s="24" t="n">
        <v>2000</v>
      </c>
      <c r="AI369" s="24" t="n">
        <v>2005</v>
      </c>
      <c r="AJ369" s="24" t="n">
        <v>2010</v>
      </c>
      <c r="AK369" s="24" t="n">
        <v>2015</v>
      </c>
      <c r="AL369" s="24" t="n">
        <v>2020</v>
      </c>
      <c r="AM369" s="24" t="n">
        <v>2025</v>
      </c>
      <c r="AN369" s="24" t="n">
        <v>2030</v>
      </c>
      <c r="AO369" s="24" t="n">
        <v>2035</v>
      </c>
      <c r="AP369" s="24" t="n">
        <v>2040</v>
      </c>
      <c r="AQ369" s="24" t="n">
        <v>2045</v>
      </c>
      <c r="AR369" s="24" t="n">
        <v>2050</v>
      </c>
    </row>
    <row r="370" s="3" customFormat="true" ht="11.25" hidden="false" customHeight="false" outlineLevel="0" collapsed="false">
      <c r="T370" s="13"/>
      <c r="U370" s="37" t="str">
        <f aca="false">AA376</f>
        <v> Consumo de energia (0 - 20 Mtoe/ano), sua previsão</v>
      </c>
      <c r="W370" s="4" t="n">
        <v>20000</v>
      </c>
      <c r="AA370" s="29" t="str">
        <f aca="false">CONCATENATE(A346," (0 - ",W365/1000," MtCO2 / yr)")</f>
        <v> Emissões de CO2 (0 - 42 MtCO2 / ano)</v>
      </c>
      <c r="AB370" s="57" t="n">
        <f aca="false">B346/$W365</f>
        <v>0.348963196825397</v>
      </c>
      <c r="AC370" s="57" t="n">
        <f aca="false">C346/$W365</f>
        <v>0.390170698412698</v>
      </c>
      <c r="AD370" s="57" t="n">
        <f aca="false">D346/$W365</f>
        <v>0.45270080952381</v>
      </c>
      <c r="AE370" s="57" t="n">
        <f aca="false">E346/$W365</f>
        <v>0.467616844444444</v>
      </c>
      <c r="AF370" s="57" t="n">
        <f aca="false">F346/$W365</f>
        <v>0.510189061904762</v>
      </c>
      <c r="AG370" s="57" t="n">
        <f aca="false">G346/$W365</f>
        <v>0.530643003174603</v>
      </c>
      <c r="AH370" s="57" t="n">
        <f aca="false">H346/$W365</f>
        <v>0.55563534452381</v>
      </c>
      <c r="AI370" s="57" t="n">
        <f aca="false">I346/$W365</f>
        <v>0.650462336507937</v>
      </c>
      <c r="AJ370" s="57" t="n">
        <f aca="false">J346/$W365</f>
        <v>0.700974633333333</v>
      </c>
      <c r="AK370" s="57" t="n">
        <f aca="false">K346/$W365</f>
        <v>0.809260218689982</v>
      </c>
      <c r="AL370" s="57" t="n">
        <f aca="false">L346/$W365</f>
        <v>0.886998384568254</v>
      </c>
      <c r="AM370" s="57" t="n">
        <f aca="false">M346/$W365</f>
        <v>0.938005370933608</v>
      </c>
      <c r="AN370" s="57" t="n">
        <f aca="false">N346/$W365</f>
        <v>0.965268905032495</v>
      </c>
      <c r="AO370" s="57" t="n">
        <f aca="false">O346/$W365</f>
        <v>0.951831677640393</v>
      </c>
      <c r="AP370" s="57" t="n">
        <f aca="false">P346/$W365</f>
        <v>0.913897817221019</v>
      </c>
      <c r="AQ370" s="57" t="n">
        <f aca="false">Q346/$W365</f>
        <v>0.842485953499638</v>
      </c>
      <c r="AR370" s="57" t="n">
        <f aca="false">R346/$W365</f>
        <v>0.744394136587003</v>
      </c>
    </row>
    <row r="371" s="3" customFormat="true" ht="11.25" hidden="false" customHeight="false" outlineLevel="0" collapsed="false">
      <c r="T371" s="13"/>
      <c r="U371" s="37" t="str">
        <f aca="false">AA377</f>
        <v> Intensidade climática (0 - 4 tCO2/tep), Sua previsão</v>
      </c>
      <c r="W371" s="4" t="n">
        <v>4</v>
      </c>
      <c r="AA371" s="29" t="str">
        <f aca="false">CONCATENATE(A347," (0 - ",W366/1000," Mtoe / yr)")</f>
        <v> Consumo de energia (0 - 20 Mtoe / ano)</v>
      </c>
      <c r="AB371" s="57" t="n">
        <f aca="false">B347/$W366</f>
        <v>0.244929411613598</v>
      </c>
      <c r="AC371" s="57" t="n">
        <f aca="false">C347/$W366</f>
        <v>0.284780186848771</v>
      </c>
      <c r="AD371" s="57" t="n">
        <f aca="false">D347/$W366</f>
        <v>0.325977075119419</v>
      </c>
      <c r="AE371" s="57" t="n">
        <f aca="false">E347/$W366</f>
        <v>0.350339917596507</v>
      </c>
      <c r="AF371" s="57" t="n">
        <f aca="false">F347/$W366</f>
        <v>0.397754281711197</v>
      </c>
      <c r="AG371" s="57" t="n">
        <f aca="false">G347/$W366</f>
        <v>0.420016012670141</v>
      </c>
      <c r="AH371" s="57" t="n">
        <f aca="false">H347/$W366</f>
        <v>0.458687094877224</v>
      </c>
      <c r="AI371" s="57" t="n">
        <f aca="false">I347/$W366</f>
        <v>0.528621424356886</v>
      </c>
      <c r="AJ371" s="57" t="n">
        <f aca="false">J347/$W366</f>
        <v>0.589079318478399</v>
      </c>
      <c r="AK371" s="57" t="n">
        <f aca="false">K347/$W366</f>
        <v>0.66054059883104</v>
      </c>
      <c r="AL371" s="57" t="n">
        <f aca="false">L347/$W366</f>
        <v>0.73970597040358</v>
      </c>
      <c r="AM371" s="57" t="n">
        <f aca="false">M347/$W366</f>
        <v>0.810571339377892</v>
      </c>
      <c r="AN371" s="57" t="n">
        <f aca="false">N347/$W366</f>
        <v>0.861793538012307</v>
      </c>
      <c r="AO371" s="57" t="n">
        <f aca="false">O347/$W366</f>
        <v>0.893551899982467</v>
      </c>
      <c r="AP371" s="57" t="n">
        <f aca="false">P347/$W366</f>
        <v>0.90201198659591</v>
      </c>
      <c r="AQ371" s="57" t="n">
        <f aca="false">Q347/$W366</f>
        <v>0.895126907340508</v>
      </c>
      <c r="AR371" s="57" t="n">
        <f aca="false">R347/$W366</f>
        <v>0.865185870168176</v>
      </c>
    </row>
    <row r="372" s="3" customFormat="true" ht="11.25" hidden="false" customHeight="false" outlineLevel="0" collapsed="false">
      <c r="T372" s="13"/>
      <c r="U372" s="37" t="str">
        <f aca="false">AA378</f>
        <v> Fração renovável (0 - 40%), Sua previsão</v>
      </c>
      <c r="W372" s="4" t="n">
        <v>40</v>
      </c>
      <c r="AA372" s="29" t="str">
        <f aca="false">CONCATENATE(A350," (0 - ",W367," tCO2 / toe)")</f>
        <v> Intensidade climática (0 - 4 tCO2 / toe)</v>
      </c>
      <c r="AB372" s="57" t="n">
        <f aca="false">B350/$W367</f>
        <v>0.747993787787152</v>
      </c>
      <c r="AC372" s="57" t="n">
        <f aca="false">C350/$W367</f>
        <v>0.719290267112031</v>
      </c>
      <c r="AD372" s="57" t="n">
        <f aca="false">D350/$W367</f>
        <v>0.729093985866743</v>
      </c>
      <c r="AE372" s="57" t="n">
        <f aca="false">E350/$W367</f>
        <v>0.700744708218145</v>
      </c>
      <c r="AF372" s="57" t="n">
        <f aca="false">F350/$W367</f>
        <v>0.673403832003199</v>
      </c>
      <c r="AG372" s="57" t="n">
        <f aca="false">G350/$W367</f>
        <v>0.663278466208037</v>
      </c>
      <c r="AH372" s="57" t="n">
        <f aca="false">H350/$W367</f>
        <v>0.635964166275664</v>
      </c>
      <c r="AI372" s="57" t="n">
        <f aca="false">I350/$W367</f>
        <v>0.646006217175406</v>
      </c>
      <c r="AJ372" s="57" t="n">
        <f aca="false">J350/$W367</f>
        <v>0.624723481127431</v>
      </c>
      <c r="AK372" s="57" t="n">
        <f aca="false">K350/$W367</f>
        <v>0.643202878920871</v>
      </c>
      <c r="AL372" s="57" t="n">
        <f aca="false">L350/$W367</f>
        <v>0.629539533991139</v>
      </c>
      <c r="AM372" s="57" t="n">
        <f aca="false">M350/$W367</f>
        <v>0.607537912848113</v>
      </c>
      <c r="AN372" s="57" t="n">
        <f aca="false">N350/$W367</f>
        <v>0.588036638463194</v>
      </c>
      <c r="AO372" s="57" t="n">
        <f aca="false">O350/$W367</f>
        <v>0.55924186470983</v>
      </c>
      <c r="AP372" s="57" t="n">
        <f aca="false">P350/$W367</f>
        <v>0.531917935871043</v>
      </c>
      <c r="AQ372" s="57" t="n">
        <f aca="false">Q350/$W367</f>
        <v>0.494125606056725</v>
      </c>
      <c r="AR372" s="57" t="n">
        <f aca="false">R350/$W367</f>
        <v>0.451702848120036</v>
      </c>
    </row>
    <row r="373" s="3" customFormat="true" ht="11.25" hidden="false" customHeight="false" outlineLevel="0" collapsed="false">
      <c r="T373" s="13"/>
      <c r="AA373" s="29" t="str">
        <f aca="false">CONCATENATE(A349," (0 - ",W368," %)")</f>
        <v> Fração renovável (0 - 40%)</v>
      </c>
      <c r="AB373" s="57" t="n">
        <f aca="false">B349/$W368</f>
        <v>0.133981511024615</v>
      </c>
      <c r="AC373" s="57" t="n">
        <f aca="false">C349/$W368</f>
        <v>0.140796260069414</v>
      </c>
      <c r="AD373" s="57" t="n">
        <f aca="false">D349/$W368</f>
        <v>0.144877263516815</v>
      </c>
      <c r="AE373" s="57" t="n">
        <f aca="false">E349/$W368</f>
        <v>0.156711763316642</v>
      </c>
      <c r="AF373" s="57" t="n">
        <f aca="false">F349/$W368</f>
        <v>0.158835318090728</v>
      </c>
      <c r="AG373" s="57" t="n">
        <f aca="false">G349/$W368</f>
        <v>0.173164916871647</v>
      </c>
      <c r="AH373" s="57" t="n">
        <f aca="false">H349/$W368</f>
        <v>0.175442220779459</v>
      </c>
      <c r="AI373" s="57" t="n">
        <f aca="false">I349/$W368</f>
        <v>0.17604896634856</v>
      </c>
      <c r="AJ373" s="57" t="n">
        <f aca="false">J349/$W368</f>
        <v>0.205985934730861</v>
      </c>
      <c r="AK373" s="57" t="n">
        <f aca="false">K349/$W368</f>
        <v>0.249361397194315</v>
      </c>
      <c r="AL373" s="57" t="n">
        <f aca="false">L349/$W368</f>
        <v>0.299363617098729</v>
      </c>
      <c r="AM373" s="57" t="n">
        <f aca="false">M349/$W368</f>
        <v>0.372769124873645</v>
      </c>
      <c r="AN373" s="57" t="n">
        <f aca="false">N349/$W368</f>
        <v>0.449190407836081</v>
      </c>
      <c r="AO373" s="57" t="n">
        <f aca="false">O349/$W368</f>
        <v>0.545664089248133</v>
      </c>
      <c r="AP373" s="57" t="n">
        <f aca="false">P349/$W368</f>
        <v>0.645403196954527</v>
      </c>
      <c r="AQ373" s="57" t="n">
        <f aca="false">Q349/$W368</f>
        <v>0.773726818388405</v>
      </c>
      <c r="AR373" s="57" t="n">
        <f aca="false">R349/$W368</f>
        <v>0.926376545064812</v>
      </c>
    </row>
    <row r="374" s="3" customFormat="true" ht="11.25" hidden="false" customHeight="false" outlineLevel="0" collapsed="false">
      <c r="T374" s="13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</row>
    <row r="375" s="3" customFormat="true" ht="11.25" hidden="false" customHeight="false" outlineLevel="0" collapsed="false">
      <c r="T375" s="13"/>
      <c r="AA375" s="29" t="str">
        <f aca="false">CONCATENATE(A346," (0 - ",W369/1000," MtCO2 / yr), Your forecast")</f>
        <v> Emissões de CO2 (0 - 42 MtCO2/ano), sua previsão</v>
      </c>
      <c r="AB375" s="29"/>
      <c r="AC375" s="29"/>
      <c r="AD375" s="29"/>
      <c r="AE375" s="29"/>
      <c r="AF375" s="29"/>
      <c r="AG375" s="29"/>
      <c r="AH375" s="29"/>
      <c r="AI375" s="29"/>
      <c r="AJ375" s="29"/>
      <c r="AK375" s="57" t="n">
        <f aca="false">K357/$W369</f>
        <v>0.809252243196962</v>
      </c>
      <c r="AL375" s="57" t="n">
        <f aca="false">L357/$W369</f>
        <v>0.873192936288659</v>
      </c>
      <c r="AM375" s="57" t="n">
        <f aca="false">M357/$W369</f>
        <v>0.918970240406428</v>
      </c>
      <c r="AN375" s="57" t="n">
        <f aca="false">N357/$W369</f>
        <v>0.94134465628054</v>
      </c>
      <c r="AO375" s="57" t="n">
        <f aca="false">O357/$W369</f>
        <v>0.925289037638728</v>
      </c>
      <c r="AP375" s="57" t="n">
        <f aca="false">P357/$W369</f>
        <v>0.88645572635832</v>
      </c>
      <c r="AQ375" s="57" t="n">
        <f aca="false">Q357/$W369</f>
        <v>0.817084882654834</v>
      </c>
      <c r="AR375" s="57" t="n">
        <f aca="false">R357/$W369</f>
        <v>0.723205602251028</v>
      </c>
    </row>
    <row r="376" s="3" customFormat="true" ht="11.25" hidden="false" customHeight="false" outlineLevel="0" collapsed="false">
      <c r="T376" s="13"/>
      <c r="AA376" s="29" t="str">
        <f aca="false">CONCATENATE(A347," (0 - ",W370/1000," Mtoe / yr), Your forecast")</f>
        <v> Consumo de energia (0 - 20 Mtoe/ano), sua previsão</v>
      </c>
      <c r="AB376" s="29"/>
      <c r="AC376" s="29"/>
      <c r="AD376" s="29"/>
      <c r="AE376" s="29"/>
      <c r="AF376" s="29"/>
      <c r="AG376" s="29"/>
      <c r="AH376" s="29"/>
      <c r="AI376" s="29"/>
      <c r="AJ376" s="29"/>
      <c r="AK376" s="57" t="n">
        <f aca="false">K255/$W370</f>
        <v>0.660533652108605</v>
      </c>
      <c r="AL376" s="57" t="n">
        <f aca="false">L255/$W370</f>
        <v>0.720814123515237</v>
      </c>
      <c r="AM376" s="57" t="n">
        <f aca="false">M255/$W370</f>
        <v>0.785527349308722</v>
      </c>
      <c r="AN376" s="57" t="n">
        <f aca="false">N255/$W370</f>
        <v>0.830759222833685</v>
      </c>
      <c r="AO376" s="57" t="n">
        <f aca="false">O255/$W370</f>
        <v>0.857305768540567</v>
      </c>
      <c r="AP376" s="57" t="n">
        <f aca="false">P255/$W370</f>
        <v>0.86210632861385</v>
      </c>
      <c r="AQ376" s="57" t="n">
        <f aca="false">Q255/$W370</f>
        <v>0.853135981829373</v>
      </c>
      <c r="AR376" s="57" t="n">
        <f aca="false">R255/$W370</f>
        <v>0.82313509984376</v>
      </c>
    </row>
    <row r="377" s="3" customFormat="true" ht="11.25" hidden="false" customHeight="false" outlineLevel="0" collapsed="false">
      <c r="S377" s="41"/>
      <c r="T377" s="13"/>
      <c r="U377" s="41"/>
      <c r="AA377" s="29" t="str">
        <f aca="false">CONCATENATE(A350," (0 - ",W371," tCO2 / toe), Your forecast")</f>
        <v> Intensidade climática (0 - 4 tCO2/tep), Sua previsão</v>
      </c>
      <c r="AB377" s="29"/>
      <c r="AC377" s="29"/>
      <c r="AD377" s="29"/>
      <c r="AE377" s="29"/>
      <c r="AF377" s="29"/>
      <c r="AG377" s="29"/>
      <c r="AH377" s="29"/>
      <c r="AI377" s="29"/>
      <c r="AJ377" s="29"/>
      <c r="AK377" s="57" t="n">
        <f aca="false">K358/$W371</f>
        <v>0.643203304361773</v>
      </c>
      <c r="AL377" s="57" t="n">
        <f aca="false">L358/$W371</f>
        <v>0.635984058297736</v>
      </c>
      <c r="AM377" s="57" t="n">
        <f aca="false">M358/$W371</f>
        <v>0.61418533248772</v>
      </c>
      <c r="AN377" s="57" t="n">
        <f aca="false">N358/$W371</f>
        <v>0.594884692175391</v>
      </c>
      <c r="AO377" s="57" t="n">
        <f aca="false">O358/$W371</f>
        <v>0.566631839637908</v>
      </c>
      <c r="AP377" s="57" t="n">
        <f aca="false">P358/$W371</f>
        <v>0.539828140557095</v>
      </c>
      <c r="AQ377" s="57" t="n">
        <f aca="false">Q358/$W371</f>
        <v>0.502814993776199</v>
      </c>
      <c r="AR377" s="57" t="n">
        <f aca="false">R358/$W371</f>
        <v>0.461264428225522</v>
      </c>
    </row>
    <row r="378" s="3" customFormat="true" ht="11.25" hidden="false" customHeight="false" outlineLevel="0" collapsed="false">
      <c r="S378" s="41"/>
      <c r="T378" s="13"/>
      <c r="U378" s="41"/>
      <c r="AA378" s="29" t="str">
        <f aca="false">CONCATENATE(A349," (0 - ",W372," %), Your forecast")</f>
        <v> Fração renovável (0 - 40%), Sua previsão</v>
      </c>
      <c r="AB378" s="29"/>
      <c r="AC378" s="29"/>
      <c r="AD378" s="29"/>
      <c r="AE378" s="29"/>
      <c r="AF378" s="29"/>
      <c r="AG378" s="29"/>
      <c r="AH378" s="29"/>
      <c r="AI378" s="29"/>
      <c r="AJ378" s="29"/>
      <c r="AK378" s="57" t="n">
        <f aca="false">K260/$W372</f>
        <v>0.249362179240748</v>
      </c>
      <c r="AL378" s="57" t="n">
        <f aca="false">L260/$W372</f>
        <v>0.293362606984357</v>
      </c>
      <c r="AM378" s="57" t="n">
        <f aca="false">M260/$W372</f>
        <v>0.365277137441426</v>
      </c>
      <c r="AN378" s="57" t="n">
        <f aca="false">N260/$W372</f>
        <v>0.440169882254232</v>
      </c>
      <c r="AO378" s="57" t="n">
        <f aca="false">O260/$W372</f>
        <v>0.534658162046542</v>
      </c>
      <c r="AP378" s="57" t="n">
        <f aca="false">P260/$W372</f>
        <v>0.632395248064888</v>
      </c>
      <c r="AQ378" s="57" t="n">
        <f aca="false">Q260/$W372</f>
        <v>0.758249729314151</v>
      </c>
      <c r="AR378" s="57" t="n">
        <f aca="false">R260/$W372</f>
        <v>0.908000854585323</v>
      </c>
    </row>
    <row r="379" s="3" customFormat="true" ht="11.25" hidden="false" customHeight="false" outlineLevel="0" collapsed="false">
      <c r="S379" s="41"/>
      <c r="T379" s="13"/>
      <c r="U379" s="41"/>
    </row>
    <row r="380" s="3" customFormat="true" ht="11.25" hidden="false" customHeight="false" outlineLevel="0" collapsed="false">
      <c r="S380" s="41"/>
      <c r="T380" s="13"/>
      <c r="U380" s="41"/>
    </row>
    <row r="381" customFormat="false" ht="11.25" hidden="false" customHeight="false" outlineLevel="0" collapsed="false">
      <c r="S381" s="41"/>
      <c r="T381" s="13"/>
      <c r="U381" s="41"/>
    </row>
    <row r="382" customFormat="false" ht="11.25" hidden="false" customHeight="false" outlineLevel="0" collapsed="false">
      <c r="K382" s="36"/>
      <c r="T382" s="13"/>
    </row>
    <row r="383" customFormat="false" ht="11.25" hidden="false" customHeight="false" outlineLevel="0" collapsed="false">
      <c r="T383" s="13"/>
    </row>
    <row r="384" customFormat="false" ht="11.25" hidden="false" customHeight="false" outlineLevel="0" collapsed="false">
      <c r="T384" s="13"/>
    </row>
    <row r="385" customFormat="false" ht="11.25" hidden="false" customHeight="false" outlineLevel="0" collapsed="false">
      <c r="T385" s="13"/>
    </row>
    <row r="386" customFormat="false" ht="11.25" hidden="false" customHeight="false" outlineLevel="0" collapsed="false">
      <c r="T386" s="13"/>
    </row>
    <row r="387" s="35" customFormat="true" ht="13.8" hidden="false" customHeight="false" outlineLevel="0" collapsed="false">
      <c r="A387" s="73"/>
      <c r="T387" s="13"/>
    </row>
    <row r="388" s="35" customFormat="true" ht="13.8" hidden="false" customHeight="false" outlineLevel="0" collapsed="false">
      <c r="A388" s="73"/>
      <c r="T388" s="13"/>
    </row>
    <row r="389" customFormat="false" ht="11.25" hidden="false" customHeight="false" outlineLevel="0" collapsed="false">
      <c r="T389" s="13"/>
    </row>
    <row r="390" customFormat="false" ht="11.25" hidden="false" customHeight="false" outlineLevel="0" collapsed="false">
      <c r="T390" s="13"/>
    </row>
    <row r="391" s="112" customFormat="true" ht="11.25" hidden="false" customHeight="false" outlineLevel="0" collapsed="false">
      <c r="A391" s="161"/>
      <c r="T391" s="13"/>
    </row>
    <row r="392" s="12" customFormat="true" ht="11.25" hidden="false" customHeight="false" outlineLevel="0" collapsed="false">
      <c r="A392" s="162"/>
      <c r="T392" s="13"/>
    </row>
    <row r="393" customFormat="false" ht="12.65" hidden="false" customHeight="false" outlineLevel="0" collapsed="false">
      <c r="A393" s="61" t="s">
        <v>126</v>
      </c>
      <c r="T393" s="13"/>
    </row>
    <row r="394" customFormat="false" ht="12.65" hidden="false" customHeight="false" outlineLevel="0" collapsed="false">
      <c r="A394" s="23" t="str">
        <f aca="false">CONCATENATE(A393,". Climate Change - ",A5," 1970 to 2050")</f>
        <v>Gráfico 10. Mudanças Climáticas - SumWorld 1970 a 2050</v>
      </c>
      <c r="D394" s="51"/>
      <c r="T394" s="13"/>
    </row>
    <row r="395" s="165" customFormat="true" ht="15" hidden="false" customHeight="false" outlineLevel="0" collapsed="false">
      <c r="A395" s="163"/>
      <c r="B395" s="164" t="n">
        <v>1970</v>
      </c>
      <c r="C395" s="164" t="n">
        <v>1975</v>
      </c>
      <c r="D395" s="164" t="n">
        <v>1980</v>
      </c>
      <c r="E395" s="164" t="n">
        <v>1985</v>
      </c>
      <c r="F395" s="164" t="n">
        <v>1990</v>
      </c>
      <c r="G395" s="164" t="n">
        <v>1995</v>
      </c>
      <c r="H395" s="164" t="n">
        <v>2000</v>
      </c>
      <c r="I395" s="164" t="n">
        <v>2005</v>
      </c>
      <c r="J395" s="164" t="n">
        <v>2010</v>
      </c>
      <c r="K395" s="164" t="n">
        <v>2015</v>
      </c>
      <c r="L395" s="164" t="n">
        <v>2020</v>
      </c>
      <c r="M395" s="164" t="n">
        <v>2025</v>
      </c>
      <c r="N395" s="164" t="n">
        <v>2030</v>
      </c>
      <c r="O395" s="164" t="n">
        <v>2035</v>
      </c>
      <c r="P395" s="164" t="n">
        <v>2040</v>
      </c>
      <c r="Q395" s="164" t="n">
        <v>2045</v>
      </c>
      <c r="R395" s="164" t="n">
        <v>2050</v>
      </c>
      <c r="T395" s="13"/>
      <c r="U395" s="3"/>
      <c r="V395" s="3"/>
      <c r="W395" s="3"/>
      <c r="X395" s="3"/>
      <c r="AA395" s="166"/>
      <c r="AB395" s="164" t="n">
        <v>1970</v>
      </c>
      <c r="AC395" s="164" t="n">
        <v>1975</v>
      </c>
      <c r="AD395" s="164" t="n">
        <v>1980</v>
      </c>
      <c r="AE395" s="164" t="n">
        <v>1985</v>
      </c>
      <c r="AF395" s="164" t="n">
        <v>1990</v>
      </c>
      <c r="AG395" s="164" t="n">
        <v>1995</v>
      </c>
      <c r="AH395" s="164" t="n">
        <v>2000</v>
      </c>
      <c r="AI395" s="164" t="n">
        <v>2005</v>
      </c>
      <c r="AJ395" s="164" t="n">
        <v>2010</v>
      </c>
      <c r="AK395" s="164" t="n">
        <v>2015</v>
      </c>
      <c r="AL395" s="164" t="n">
        <v>2020</v>
      </c>
      <c r="AM395" s="164" t="n">
        <v>2025</v>
      </c>
      <c r="AN395" s="164" t="n">
        <v>2030</v>
      </c>
      <c r="AO395" s="164" t="n">
        <v>2035</v>
      </c>
      <c r="AP395" s="164" t="n">
        <v>2040</v>
      </c>
      <c r="AQ395" s="164" t="n">
        <v>2045</v>
      </c>
      <c r="AR395" s="164" t="n">
        <v>2050</v>
      </c>
    </row>
    <row r="396" s="165" customFormat="true" ht="11.25" hidden="false" customHeight="false" outlineLevel="0" collapsed="false">
      <c r="A396" s="167" t="s">
        <v>204</v>
      </c>
      <c r="B396" s="168" t="n">
        <f aca="false">B397+$B$398</f>
        <v>0.460354089419047</v>
      </c>
      <c r="C396" s="168" t="n">
        <f aca="false">C397+$B$398</f>
        <v>0.364354089419047</v>
      </c>
      <c r="D396" s="168" t="n">
        <f aca="false">D397+$B$398</f>
        <v>0.594354089419047</v>
      </c>
      <c r="E396" s="168" t="n">
        <f aca="false">E397+$B$398</f>
        <v>0.530354089419047</v>
      </c>
      <c r="F396" s="168" t="n">
        <f aca="false">F397+$B$398</f>
        <v>0.695354089419047</v>
      </c>
      <c r="G396" s="168" t="n">
        <f aca="false">G397+$B$398</f>
        <v>0.707354089419047</v>
      </c>
      <c r="H396" s="169" t="n">
        <v>0.711473226547241</v>
      </c>
      <c r="I396" s="169" t="n">
        <v>0.875655233860016</v>
      </c>
      <c r="J396" s="169" t="n">
        <v>0.969933807849884</v>
      </c>
      <c r="K396" s="169" t="n">
        <v>1.09114849567413</v>
      </c>
      <c r="L396" s="169" t="n">
        <v>1.22353637218475</v>
      </c>
      <c r="M396" s="169" t="n">
        <v>1.35465955734253</v>
      </c>
      <c r="N396" s="169" t="n">
        <v>1.48248493671417</v>
      </c>
      <c r="O396" s="169" t="n">
        <v>1.61330318450928</v>
      </c>
      <c r="P396" s="169" t="n">
        <v>1.74444699287415</v>
      </c>
      <c r="Q396" s="169" t="n">
        <v>1.87681531906128</v>
      </c>
      <c r="R396" s="169" t="n">
        <v>2.0097222328186</v>
      </c>
      <c r="S396" s="170"/>
      <c r="T396" s="13"/>
      <c r="U396" s="29" t="s">
        <v>205</v>
      </c>
      <c r="W396" s="3"/>
      <c r="X396" s="3"/>
      <c r="AA396" s="171" t="str">
        <f aca="false">CONCATENATE("Temperature rise from pre-industrial times (0 - ",W410," deg C)")</f>
        <v> Aumento da temperatura em relação aos tempos pré-industriais (0 - 2,5 °C)</v>
      </c>
      <c r="AB396" s="172" t="n">
        <f aca="false">B396/$W410</f>
        <v>0.184141635767619</v>
      </c>
      <c r="AC396" s="172" t="n">
        <f aca="false">C396/$W410</f>
        <v>0.145741635767619</v>
      </c>
      <c r="AD396" s="172" t="n">
        <f aca="false">D396/$W410</f>
        <v>0.237741635767619</v>
      </c>
      <c r="AE396" s="172" t="n">
        <f aca="false">E396/$W410</f>
        <v>0.212141635767619</v>
      </c>
      <c r="AF396" s="172" t="n">
        <f aca="false">F396/$W410</f>
        <v>0.278141635767619</v>
      </c>
      <c r="AG396" s="172" t="n">
        <f aca="false">G396/$W410</f>
        <v>0.282941635767619</v>
      </c>
      <c r="AH396" s="172" t="n">
        <f aca="false">H396/$W410</f>
        <v>0.284589290618897</v>
      </c>
      <c r="AI396" s="172" t="n">
        <f aca="false">I396/$W410</f>
        <v>0.350262093544006</v>
      </c>
      <c r="AJ396" s="172" t="n">
        <f aca="false">J396/$W410</f>
        <v>0.387973523139954</v>
      </c>
      <c r="AK396" s="172" t="n">
        <f aca="false">K396/$W410</f>
        <v>0.436459398269653</v>
      </c>
      <c r="AL396" s="172" t="n">
        <f aca="false">L396/$W410</f>
        <v>0.489414548873901</v>
      </c>
      <c r="AM396" s="172" t="n">
        <f aca="false">M396/$W410</f>
        <v>0.541863822937012</v>
      </c>
      <c r="AN396" s="172" t="n">
        <f aca="false">N396/$W410</f>
        <v>0.592993974685669</v>
      </c>
      <c r="AO396" s="172" t="n">
        <f aca="false">O396/$W410</f>
        <v>0.645321273803711</v>
      </c>
      <c r="AP396" s="172" t="n">
        <f aca="false">P396/$W410</f>
        <v>0.697778797149658</v>
      </c>
      <c r="AQ396" s="172" t="n">
        <f aca="false">Q396/$W410</f>
        <v>0.750726127624512</v>
      </c>
      <c r="AR396" s="172" t="n">
        <f aca="false">R396/$W410</f>
        <v>0.803888893127441</v>
      </c>
    </row>
    <row r="397" s="165" customFormat="true" ht="11.25" hidden="false" customHeight="false" outlineLevel="0" collapsed="false">
      <c r="A397" s="167"/>
      <c r="B397" s="173" t="n">
        <v>-0.06</v>
      </c>
      <c r="C397" s="173" t="n">
        <v>-0.156</v>
      </c>
      <c r="D397" s="173" t="n">
        <v>0.074</v>
      </c>
      <c r="E397" s="173" t="n">
        <v>0.01</v>
      </c>
      <c r="F397" s="173" t="n">
        <v>0.175</v>
      </c>
      <c r="G397" s="173" t="n">
        <v>0.187</v>
      </c>
      <c r="H397" s="173" t="n">
        <v>0.19</v>
      </c>
      <c r="I397" s="173" t="n">
        <v>0.384</v>
      </c>
      <c r="J397" s="173" t="n">
        <v>0.422</v>
      </c>
      <c r="K397" s="174"/>
      <c r="L397" s="174"/>
      <c r="M397" s="174"/>
      <c r="N397" s="174"/>
      <c r="O397" s="174"/>
      <c r="P397" s="174"/>
      <c r="Q397" s="174"/>
      <c r="R397" s="174"/>
      <c r="S397" s="170"/>
      <c r="T397" s="13"/>
      <c r="U397" s="29" t="s">
        <v>21</v>
      </c>
      <c r="W397" s="3"/>
      <c r="X397" s="3"/>
      <c r="AA397" s="171" t="str">
        <f aca="false">CONCATENATE("CO2 in atmosphere (0 - ",W411," ppm)")</f>
        <v> CO2 na atmosfera (0 - 600 ppm)</v>
      </c>
      <c r="AB397" s="172" t="n">
        <f aca="false">B399/$W411</f>
        <v>0.543982682611091</v>
      </c>
      <c r="AC397" s="172" t="n">
        <f aca="false">C399/$W411</f>
        <v>0.553009251883416</v>
      </c>
      <c r="AD397" s="172" t="n">
        <f aca="false">D399/$W411</f>
        <v>0.565695165892355</v>
      </c>
      <c r="AE397" s="172" t="n">
        <f aca="false">E399/$W411</f>
        <v>0.577704609174023</v>
      </c>
      <c r="AF397" s="172" t="n">
        <f aca="false">F399/$W411</f>
        <v>0.59155138035692</v>
      </c>
      <c r="AG397" s="172" t="n">
        <f aca="false">G399/$W411</f>
        <v>0.60235820901233</v>
      </c>
      <c r="AH397" s="172" t="n">
        <f aca="false">H399/$W411</f>
        <v>0.61861811319987</v>
      </c>
      <c r="AI397" s="172" t="n">
        <f aca="false">I399/$W411</f>
        <v>0.634060974121094</v>
      </c>
      <c r="AJ397" s="172" t="n">
        <f aca="false">J399/$W411</f>
        <v>0.652031809488932</v>
      </c>
      <c r="AK397" s="172" t="n">
        <f aca="false">K399/$W411</f>
        <v>0.672254943847656</v>
      </c>
      <c r="AL397" s="172" t="n">
        <f aca="false">L399/$W411</f>
        <v>0.693705088297526</v>
      </c>
      <c r="AM397" s="172" t="n">
        <f aca="false">M399/$W411</f>
        <v>0.715850423177083</v>
      </c>
      <c r="AN397" s="172" t="n">
        <f aca="false">N399/$W411</f>
        <v>0.738145294189453</v>
      </c>
      <c r="AO397" s="172" t="n">
        <f aca="false">O399/$W411</f>
        <v>0.759998321533203</v>
      </c>
      <c r="AP397" s="172" t="n">
        <f aca="false">P399/$W411</f>
        <v>0.78092763264974</v>
      </c>
      <c r="AQ397" s="172" t="n">
        <f aca="false">Q399/$W411</f>
        <v>0.800646260579427</v>
      </c>
      <c r="AR397" s="172" t="n">
        <f aca="false">R399/$W411</f>
        <v>0.819027099609375</v>
      </c>
    </row>
    <row r="398" s="165" customFormat="true" ht="11.25" hidden="false" customHeight="false" outlineLevel="0" collapsed="false">
      <c r="A398" s="175" t="s">
        <v>206</v>
      </c>
      <c r="B398" s="173" t="n">
        <f aca="false">AVERAGE(H396:J396)-AVERAGE(H397:J397)</f>
        <v>0.520354089419047</v>
      </c>
      <c r="C398" s="176"/>
      <c r="D398" s="176"/>
      <c r="F398" s="176"/>
      <c r="G398" s="176"/>
      <c r="H398" s="176"/>
      <c r="I398" s="176"/>
      <c r="J398" s="176"/>
      <c r="K398" s="174"/>
      <c r="L398" s="174"/>
      <c r="M398" s="174"/>
      <c r="N398" s="174"/>
      <c r="O398" s="174"/>
      <c r="P398" s="174"/>
      <c r="Q398" s="174"/>
      <c r="R398" s="174"/>
      <c r="S398" s="170"/>
      <c r="T398" s="13"/>
      <c r="U398" s="29" t="s">
        <v>207</v>
      </c>
      <c r="W398" s="3"/>
      <c r="X398" s="3"/>
      <c r="AA398" s="171" t="str">
        <f aca="false">CONCATENATE("CO2 equivalent in atmosphere (0 - ",W412," ppme)")</f>
        <v> Equivalente de CO2 na atmosfera (0 - 600 ppme)</v>
      </c>
      <c r="AB398" s="172"/>
      <c r="AC398" s="172"/>
      <c r="AD398" s="172"/>
      <c r="AE398" s="172"/>
      <c r="AF398" s="172"/>
      <c r="AG398" s="172"/>
      <c r="AH398" s="172" t="n">
        <f aca="false">H402/$W412</f>
        <v>0.656160125732422</v>
      </c>
      <c r="AI398" s="172" t="n">
        <f aca="false">I402/$W412</f>
        <v>0.650354156494141</v>
      </c>
      <c r="AJ398" s="172" t="n">
        <f aca="false">J402/$W412</f>
        <v>0.675690460205078</v>
      </c>
      <c r="AK398" s="172" t="n">
        <f aca="false">K402/$W412</f>
        <v>0.707522125244141</v>
      </c>
      <c r="AL398" s="172" t="n">
        <f aca="false">L402/$W412</f>
        <v>0.739240163167318</v>
      </c>
      <c r="AM398" s="172" t="n">
        <f aca="false">M402/$W412</f>
        <v>0.769280497233073</v>
      </c>
      <c r="AN398" s="172" t="n">
        <f aca="false">N402/$W412</f>
        <v>0.798983561197917</v>
      </c>
      <c r="AO398" s="172" t="n">
        <f aca="false">O402/$W412</f>
        <v>0.833339335123698</v>
      </c>
      <c r="AP398" s="172" t="n">
        <f aca="false">P402/$W412</f>
        <v>0.865260823567708</v>
      </c>
      <c r="AQ398" s="172" t="n">
        <f aca="false">Q402/$W412</f>
        <v>0.90160166422526</v>
      </c>
      <c r="AR398" s="172" t="n">
        <f aca="false">R402/$W412</f>
        <v>0.936482442220052</v>
      </c>
    </row>
    <row r="399" s="165" customFormat="true" ht="11.25" hidden="false" customHeight="false" outlineLevel="0" collapsed="false">
      <c r="A399" s="167" t="s">
        <v>208</v>
      </c>
      <c r="B399" s="177" t="n">
        <f aca="false">B400*$B$401</f>
        <v>326.389609566654</v>
      </c>
      <c r="C399" s="177" t="n">
        <f aca="false">C400*$B$401</f>
        <v>331.805551130049</v>
      </c>
      <c r="D399" s="177" t="n">
        <f aca="false">D400*$B$401</f>
        <v>339.417099535413</v>
      </c>
      <c r="E399" s="177" t="n">
        <f aca="false">E400*$B$401</f>
        <v>346.622765504414</v>
      </c>
      <c r="F399" s="177" t="n">
        <f aca="false">F400*$B$401</f>
        <v>354.930828214152</v>
      </c>
      <c r="G399" s="177" t="n">
        <f aca="false">G400*$B$401</f>
        <v>361.414925407398</v>
      </c>
      <c r="H399" s="178" t="n">
        <v>371.170867919922</v>
      </c>
      <c r="I399" s="178" t="n">
        <v>380.436584472656</v>
      </c>
      <c r="J399" s="178" t="n">
        <v>391.219085693359</v>
      </c>
      <c r="K399" s="178" t="n">
        <v>403.352966308594</v>
      </c>
      <c r="L399" s="178" t="n">
        <v>416.223052978516</v>
      </c>
      <c r="M399" s="178" t="n">
        <v>429.51025390625</v>
      </c>
      <c r="N399" s="178" t="n">
        <v>442.887176513672</v>
      </c>
      <c r="O399" s="178" t="n">
        <v>455.998992919922</v>
      </c>
      <c r="P399" s="178" t="n">
        <v>468.556579589844</v>
      </c>
      <c r="Q399" s="178" t="n">
        <v>480.387756347656</v>
      </c>
      <c r="R399" s="178" t="n">
        <v>491.416259765625</v>
      </c>
      <c r="S399" s="170"/>
      <c r="T399" s="13"/>
      <c r="U399" s="3" t="s">
        <v>209</v>
      </c>
      <c r="W399" s="3"/>
      <c r="X399" s="3"/>
      <c r="AA399" s="171" t="str">
        <f aca="false">CONCATENATE("Sea level rise from year 1850 (0 - ",W413/1000," m)")</f>
        <v> Aumento do nível do mar desde 1850 (0 - 0,8 m)</v>
      </c>
      <c r="AB399" s="172"/>
      <c r="AC399" s="172"/>
      <c r="AD399" s="172"/>
      <c r="AE399" s="172"/>
      <c r="AF399" s="172"/>
      <c r="AG399" s="172"/>
      <c r="AH399" s="172" t="n">
        <f aca="false">(H403+200)/$W413</f>
        <v>0.25</v>
      </c>
      <c r="AI399" s="172" t="n">
        <f aca="false">(I403+200)/$W413</f>
        <v>0.273493106365204</v>
      </c>
      <c r="AJ399" s="172" t="n">
        <f aca="false">(J403+200)/$W413</f>
        <v>0.305828404426575</v>
      </c>
      <c r="AK399" s="172" t="n">
        <f aca="false">(K403+200)/$W413</f>
        <v>0.34025673866272</v>
      </c>
      <c r="AL399" s="172" t="n">
        <f aca="false">(L403+200)/$W413</f>
        <v>0.378428058624268</v>
      </c>
      <c r="AM399" s="172" t="n">
        <f aca="false">(M403+200)/$W413</f>
        <v>0.421287422180176</v>
      </c>
      <c r="AN399" s="172" t="n">
        <f aca="false">(N403+200)/$W413</f>
        <v>0.468884449005127</v>
      </c>
      <c r="AO399" s="172" t="n">
        <f aca="false">(O403+200)/$W413</f>
        <v>0.520819759368897</v>
      </c>
      <c r="AP399" s="172" t="n">
        <f aca="false">(P403+200)/$W413</f>
        <v>0.577321701049805</v>
      </c>
      <c r="AQ399" s="172" t="n">
        <f aca="false">(Q403+200)/$W413</f>
        <v>0.638355827331543</v>
      </c>
      <c r="AR399" s="172" t="n">
        <f aca="false">(R403+200)/$W413</f>
        <v>0.704001922607422</v>
      </c>
    </row>
    <row r="400" s="165" customFormat="true" ht="11.25" hidden="false" customHeight="false" outlineLevel="0" collapsed="false">
      <c r="A400" s="167"/>
      <c r="B400" s="179" t="n">
        <v>325.68</v>
      </c>
      <c r="C400" s="179" t="n">
        <v>331.084166666667</v>
      </c>
      <c r="D400" s="179" t="n">
        <v>338.679166666667</v>
      </c>
      <c r="E400" s="179" t="n">
        <v>345.869166666667</v>
      </c>
      <c r="F400" s="179" t="n">
        <v>354.159166666667</v>
      </c>
      <c r="G400" s="179" t="n">
        <v>360.629166666667</v>
      </c>
      <c r="H400" s="179" t="n">
        <v>369.401666666667</v>
      </c>
      <c r="I400" s="179" t="n">
        <v>379.775833333333</v>
      </c>
      <c r="J400" s="179" t="n">
        <v>391.164398193359</v>
      </c>
      <c r="K400" s="180"/>
      <c r="L400" s="180"/>
      <c r="M400" s="180"/>
      <c r="N400" s="180"/>
      <c r="O400" s="180"/>
      <c r="P400" s="180"/>
      <c r="Q400" s="180"/>
      <c r="R400" s="180"/>
      <c r="S400" s="170"/>
      <c r="T400" s="13"/>
      <c r="U400" s="3"/>
      <c r="X400" s="3"/>
    </row>
    <row r="401" s="165" customFormat="true" ht="11.25" hidden="false" customHeight="false" outlineLevel="0" collapsed="false">
      <c r="A401" s="175" t="s">
        <v>210</v>
      </c>
      <c r="B401" s="173" t="n">
        <f aca="false">AVERAGE(H399:J399)/AVERAGE(H400:J400)</f>
        <v>1.00217885521572</v>
      </c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70"/>
      <c r="T401" s="13"/>
      <c r="U401" s="3"/>
      <c r="X401" s="3"/>
    </row>
    <row r="402" s="165" customFormat="true" ht="11.25" hidden="false" customHeight="false" outlineLevel="0" collapsed="false">
      <c r="A402" s="167" t="s">
        <v>211</v>
      </c>
      <c r="B402" s="181"/>
      <c r="C402" s="181"/>
      <c r="D402" s="181"/>
      <c r="E402" s="181"/>
      <c r="F402" s="181"/>
      <c r="G402" s="181"/>
      <c r="H402" s="178" t="n">
        <v>393.696075439453</v>
      </c>
      <c r="I402" s="178" t="n">
        <v>390.212493896484</v>
      </c>
      <c r="J402" s="178" t="n">
        <v>405.414276123047</v>
      </c>
      <c r="K402" s="178" t="n">
        <v>424.513275146484</v>
      </c>
      <c r="L402" s="178" t="n">
        <v>443.544097900391</v>
      </c>
      <c r="M402" s="178" t="n">
        <v>461.568298339844</v>
      </c>
      <c r="N402" s="178" t="n">
        <v>479.39013671875</v>
      </c>
      <c r="O402" s="178" t="n">
        <v>500.003601074219</v>
      </c>
      <c r="P402" s="178" t="n">
        <v>519.156494140625</v>
      </c>
      <c r="Q402" s="178" t="n">
        <v>540.960998535156</v>
      </c>
      <c r="R402" s="178" t="n">
        <v>561.889465332031</v>
      </c>
      <c r="S402" s="170"/>
      <c r="T402" s="13"/>
      <c r="U402" s="3"/>
      <c r="X402" s="3"/>
    </row>
    <row r="403" s="165" customFormat="true" ht="11.25" hidden="false" customHeight="false" outlineLevel="0" collapsed="false">
      <c r="A403" s="167" t="s">
        <v>212</v>
      </c>
      <c r="B403" s="176"/>
      <c r="C403" s="176"/>
      <c r="D403" s="176"/>
      <c r="E403" s="176"/>
      <c r="F403" s="176"/>
      <c r="G403" s="176"/>
      <c r="H403" s="182"/>
      <c r="I403" s="178" t="n">
        <v>18.7944850921631</v>
      </c>
      <c r="J403" s="178" t="n">
        <v>44.6627235412598</v>
      </c>
      <c r="K403" s="178" t="n">
        <v>72.2053909301758</v>
      </c>
      <c r="L403" s="178" t="n">
        <v>102.742446899414</v>
      </c>
      <c r="M403" s="178" t="n">
        <v>137.029937744141</v>
      </c>
      <c r="N403" s="178" t="n">
        <v>175.107559204102</v>
      </c>
      <c r="O403" s="178" t="n">
        <v>216.655807495117</v>
      </c>
      <c r="P403" s="178" t="n">
        <v>261.857360839844</v>
      </c>
      <c r="Q403" s="178" t="n">
        <v>310.684661865234</v>
      </c>
      <c r="R403" s="178" t="n">
        <v>363.201538085938</v>
      </c>
      <c r="S403" s="170"/>
      <c r="T403" s="13"/>
      <c r="U403" s="3"/>
      <c r="V403" s="3"/>
      <c r="W403" s="3"/>
      <c r="X403" s="15" t="s">
        <v>33</v>
      </c>
      <c r="Y403" s="3"/>
    </row>
    <row r="404" s="165" customFormat="true" ht="11.25" hidden="false" customHeight="false" outlineLevel="0" collapsed="false">
      <c r="A404" s="163"/>
      <c r="T404" s="13"/>
      <c r="U404" s="3"/>
      <c r="V404" s="3" t="s">
        <v>35</v>
      </c>
      <c r="W404" s="3"/>
      <c r="X404" s="3"/>
      <c r="Y404" s="3"/>
    </row>
    <row r="405" s="165" customFormat="true" ht="28.3" hidden="false" customHeight="false" outlineLevel="0" collapsed="false">
      <c r="A405" s="163"/>
      <c r="T405" s="13"/>
      <c r="U405" s="53" t="s">
        <v>37</v>
      </c>
      <c r="V405" s="54" t="s">
        <v>38</v>
      </c>
      <c r="W405" s="54" t="s">
        <v>39</v>
      </c>
      <c r="X405" s="55"/>
      <c r="Y405" s="55"/>
    </row>
    <row r="406" s="165" customFormat="true" ht="11.25" hidden="false" customHeight="false" outlineLevel="0" collapsed="false">
      <c r="A406" s="163"/>
      <c r="T406" s="13"/>
      <c r="U406" s="15" t="str">
        <f aca="false">AA396</f>
        <v> Aumento da temperatura em relação aos tempos pré-industriais (0 - 2,5 °C)</v>
      </c>
      <c r="V406" s="183" t="n">
        <v>2.5</v>
      </c>
    </row>
    <row r="407" s="165" customFormat="true" ht="11.25" hidden="false" customHeight="false" outlineLevel="0" collapsed="false">
      <c r="A407" s="163"/>
      <c r="T407" s="13"/>
      <c r="U407" s="15" t="str">
        <f aca="false">AA397</f>
        <v> CO2 na atmosfera (0 - 600 ppm)</v>
      </c>
      <c r="V407" s="184" t="n">
        <v>600</v>
      </c>
    </row>
    <row r="408" s="165" customFormat="true" ht="11.25" hidden="false" customHeight="false" outlineLevel="0" collapsed="false">
      <c r="A408" s="163"/>
      <c r="S408" s="185"/>
      <c r="T408" s="13"/>
      <c r="U408" s="15" t="str">
        <f aca="false">AA398</f>
        <v> Equivalente de CO2 na atmosfera (0 - 600 ppme)</v>
      </c>
      <c r="V408" s="184" t="n">
        <v>600</v>
      </c>
    </row>
    <row r="409" s="165" customFormat="true" ht="11.25" hidden="false" customHeight="false" outlineLevel="0" collapsed="false">
      <c r="A409" s="163"/>
      <c r="S409" s="185"/>
      <c r="T409" s="13"/>
      <c r="U409" s="15" t="str">
        <f aca="false">AA399</f>
        <v> Aumento do nível do mar desde 1850 (0 - 0,8 m)</v>
      </c>
      <c r="V409" s="184" t="n">
        <v>800</v>
      </c>
    </row>
    <row r="410" s="165" customFormat="true" ht="11.25" hidden="false" customHeight="false" outlineLevel="0" collapsed="false">
      <c r="A410" s="163"/>
      <c r="S410" s="185"/>
      <c r="T410" s="13"/>
      <c r="U410" s="37" t="str">
        <f aca="false">AA396</f>
        <v> Aumento da temperatura em relação aos tempos pré-industriais (0 - 2,5 °C)</v>
      </c>
      <c r="W410" s="186" t="n">
        <v>2.5</v>
      </c>
    </row>
    <row r="411" s="165" customFormat="true" ht="11.25" hidden="false" customHeight="false" outlineLevel="0" collapsed="false">
      <c r="A411" s="163"/>
      <c r="S411" s="185"/>
      <c r="T411" s="13"/>
      <c r="U411" s="37" t="str">
        <f aca="false">AA397</f>
        <v> CO2 na atmosfera (0 - 600 ppm)</v>
      </c>
      <c r="W411" s="187" t="n">
        <v>600</v>
      </c>
    </row>
    <row r="412" s="165" customFormat="true" ht="11.25" hidden="false" customHeight="false" outlineLevel="0" collapsed="false">
      <c r="A412" s="163"/>
      <c r="S412" s="185"/>
      <c r="T412" s="13"/>
      <c r="U412" s="37" t="str">
        <f aca="false">AA398</f>
        <v> Equivalente de CO2 na atmosfera (0 - 600 ppme)</v>
      </c>
      <c r="W412" s="188" t="n">
        <f aca="false">W411</f>
        <v>600</v>
      </c>
    </row>
    <row r="413" s="165" customFormat="true" ht="11.25" hidden="false" customHeight="false" outlineLevel="0" collapsed="false">
      <c r="A413" s="163"/>
      <c r="S413" s="185"/>
      <c r="T413" s="13"/>
      <c r="U413" s="37" t="str">
        <f aca="false">AA399</f>
        <v> Aumento do nível do mar desde 1850 (0 - 0,8 m)</v>
      </c>
      <c r="W413" s="187" t="n">
        <v>800</v>
      </c>
    </row>
    <row r="414" s="165" customFormat="true" ht="11.25" hidden="false" customHeight="false" outlineLevel="0" collapsed="false">
      <c r="A414" s="163"/>
      <c r="S414" s="185"/>
      <c r="T414" s="13"/>
    </row>
    <row r="415" s="165" customFormat="true" ht="11.25" hidden="false" customHeight="false" outlineLevel="0" collapsed="false">
      <c r="A415" s="163"/>
      <c r="S415" s="185"/>
      <c r="T415" s="13"/>
    </row>
    <row r="416" s="165" customFormat="true" ht="11.25" hidden="false" customHeight="false" outlineLevel="0" collapsed="false">
      <c r="A416" s="163"/>
      <c r="T416" s="13"/>
    </row>
    <row r="417" s="165" customFormat="true" ht="11.25" hidden="false" customHeight="false" outlineLevel="0" collapsed="false">
      <c r="A417" s="163"/>
      <c r="T417" s="13"/>
    </row>
    <row r="418" s="165" customFormat="true" ht="11.25" hidden="false" customHeight="false" outlineLevel="0" collapsed="false">
      <c r="A418" s="163"/>
      <c r="T418" s="13"/>
    </row>
    <row r="419" s="165" customFormat="true" ht="11.25" hidden="false" customHeight="false" outlineLevel="0" collapsed="false">
      <c r="A419" s="163"/>
      <c r="T419" s="13"/>
    </row>
    <row r="420" s="165" customFormat="true" ht="11.25" hidden="false" customHeight="false" outlineLevel="0" collapsed="false">
      <c r="A420" s="163"/>
      <c r="T420" s="13"/>
    </row>
    <row r="421" s="165" customFormat="true" ht="11.25" hidden="false" customHeight="false" outlineLevel="0" collapsed="false">
      <c r="A421" s="163"/>
      <c r="T421" s="13"/>
    </row>
    <row r="422" s="165" customFormat="true" ht="11.25" hidden="false" customHeight="false" outlineLevel="0" collapsed="false">
      <c r="A422" s="163"/>
      <c r="T422" s="13"/>
    </row>
    <row r="423" s="165" customFormat="true" ht="11.25" hidden="false" customHeight="false" outlineLevel="0" collapsed="false">
      <c r="A423" s="163"/>
      <c r="T423" s="13"/>
    </row>
    <row r="424" s="190" customFormat="true" ht="13.8" hidden="false" customHeight="false" outlineLevel="0" collapsed="false">
      <c r="A424" s="189"/>
      <c r="T424" s="13"/>
    </row>
    <row r="425" s="190" customFormat="true" ht="13.8" hidden="false" customHeight="false" outlineLevel="0" collapsed="false">
      <c r="A425" s="189"/>
      <c r="T425" s="13"/>
    </row>
    <row r="426" s="165" customFormat="true" ht="11.25" hidden="false" customHeight="false" outlineLevel="0" collapsed="false">
      <c r="A426" s="163"/>
      <c r="T426" s="13"/>
    </row>
    <row r="427" s="165" customFormat="true" ht="11.25" hidden="false" customHeight="false" outlineLevel="0" collapsed="false">
      <c r="A427" s="163"/>
      <c r="T427" s="13"/>
    </row>
    <row r="428" s="165" customFormat="true" ht="11.25" hidden="false" customHeight="false" outlineLevel="0" collapsed="false">
      <c r="A428" s="163"/>
      <c r="T428" s="13"/>
    </row>
    <row r="429" customFormat="false" ht="12.65" hidden="false" customHeight="false" outlineLevel="0" collapsed="false">
      <c r="A429" s="23"/>
      <c r="D429" s="51"/>
      <c r="T429" s="13"/>
    </row>
    <row r="430" customFormat="false" ht="12.65" hidden="false" customHeight="false" outlineLevel="0" collapsed="false">
      <c r="A430" s="61" t="s">
        <v>128</v>
      </c>
      <c r="T430" s="13"/>
    </row>
    <row r="431" customFormat="false" ht="12.65" hidden="false" customHeight="false" outlineLevel="0" collapsed="false">
      <c r="A431" s="23" t="str">
        <f aca="false">CONCATENATE(A430,". Food Production - ",A5," 1970 to 2050")</f>
        <v> Gráfico 11. Produção de Alimentos - SumWorld de 1970 a 2050</v>
      </c>
      <c r="T431" s="13"/>
    </row>
    <row r="432" customFormat="false" ht="13.8" hidden="false" customHeight="false" outlineLevel="0" collapsed="false">
      <c r="B432" s="24" t="n">
        <v>1970</v>
      </c>
      <c r="C432" s="24" t="n">
        <v>1975</v>
      </c>
      <c r="D432" s="24" t="n">
        <v>1980</v>
      </c>
      <c r="E432" s="24" t="n">
        <v>1985</v>
      </c>
      <c r="F432" s="24" t="n">
        <v>1990</v>
      </c>
      <c r="G432" s="24" t="n">
        <v>1995</v>
      </c>
      <c r="H432" s="24" t="n">
        <v>2000</v>
      </c>
      <c r="I432" s="24" t="n">
        <v>2005</v>
      </c>
      <c r="J432" s="24" t="n">
        <v>2010</v>
      </c>
      <c r="K432" s="24" t="n">
        <v>2015</v>
      </c>
      <c r="L432" s="24" t="n">
        <v>2020</v>
      </c>
      <c r="M432" s="24" t="n">
        <v>2025</v>
      </c>
      <c r="N432" s="24" t="n">
        <v>2030</v>
      </c>
      <c r="O432" s="24" t="n">
        <v>2035</v>
      </c>
      <c r="P432" s="24" t="n">
        <v>2040</v>
      </c>
      <c r="Q432" s="24" t="n">
        <v>2045</v>
      </c>
      <c r="R432" s="24" t="n">
        <v>2050</v>
      </c>
      <c r="S432" s="25" t="s">
        <v>15</v>
      </c>
      <c r="T432" s="13"/>
      <c r="U432" s="103" t="s">
        <v>129</v>
      </c>
      <c r="X432" s="138"/>
    </row>
    <row r="433" customFormat="false" ht="11.25" hidden="false" customHeight="false" outlineLevel="0" collapsed="false">
      <c r="A433" s="63" t="s">
        <v>130</v>
      </c>
      <c r="B433" s="27" t="n">
        <f aca="false"> EUA!B412+ China!B412+ OCDE!B411+ BRISE!B412+ LINHA!B412</f>
        <v>3020.670607</v>
      </c>
      <c r="C433" s="27" t="n">
        <f aca="false"> EUA!C412+ China!C412+ OCDE!C411+ BRISE!C412+ LINHA!C412</f>
        <v>3352.175545</v>
      </c>
      <c r="D433" s="27" t="n">
        <f aca="false"> EUA!D412+ China!D412+ OCDE!D411+ BRISE!D412+ LINHA!D412</f>
        <v>3696.694222</v>
      </c>
      <c r="E433" s="27" t="n">
        <f aca="false"> EUA!E412+ China!E412+ OCDE!E411+ BRISE!E412+ LINHA!E412</f>
        <v>4308.705845</v>
      </c>
      <c r="F433" s="27" t="n">
        <f aca="false"> EUA!F412+ China!F412+ OCDE!F411+ BRISE!F412+ LINHA!F412</f>
        <v>4579.933624</v>
      </c>
      <c r="G433" s="27" t="n">
        <f aca="false"> EUA!G412+ China!G412+ OCDE!G411+ BRISE!G412+ LINHA!G412</f>
        <v>4763.780629</v>
      </c>
      <c r="H433" s="27" t="n">
        <f aca="false"> EUA!H412+ China!H412+ OCDE!H411+ BRISE!H412+ LINHA!H412</f>
        <v>5386.375325</v>
      </c>
      <c r="I433" s="27" t="n">
        <f aca="false"> EUA!I412+ China!I412+ OCDE!I411+ BRISE!I412+ LINHA!I412</f>
        <v>6045.210253</v>
      </c>
      <c r="J433" s="27" t="n">
        <f aca="false"> EUA!J412+ China!J412+ OCDE!J411+ BRISE!J412+ LINHA!J412</f>
        <v>6616.778055</v>
      </c>
      <c r="K433" s="27" t="n">
        <f aca="false"> EUA!K412+ China!K412+ OCDE!K411+ BRISE!K412+ LINHA!K412</f>
        <v>7200</v>
      </c>
      <c r="L433" s="27" t="n">
        <f aca="false"> EUA!L412+ China!L412+ OCDE!L411+ BRISE!L412+ LINHA!L412</f>
        <v>7905</v>
      </c>
      <c r="M433" s="27" t="n">
        <f aca="false"> EUA!M412+ China!M412+ OCDE!M411+ BRISE!M412+ LINHA!M412</f>
        <v>8640</v>
      </c>
      <c r="N433" s="27" t="n">
        <f aca="false"> EUA!N412+ China!N412+ OCDE!N411+ BRISE!N412+ LINHA!N412</f>
        <v>9405</v>
      </c>
      <c r="O433" s="27" t="n">
        <f aca="false"> EUA!O412+ China!O412+ OCDE!O411+ BRISE!O412+ LINHA!O412</f>
        <v>10030</v>
      </c>
      <c r="P433" s="27" t="n">
        <f aca="false"> EUA!P412+ China!P412+ OCDE!P411+ BRISE!P412+ LINHA!P412</f>
        <v>10370</v>
      </c>
      <c r="Q433" s="27" t="n">
        <f aca="false"> EUA!Q412+ China!Q412+ OCDE!Q411+ BRISE!Q412+ LINHA!Q412</f>
        <v>10230</v>
      </c>
      <c r="R433" s="27" t="n">
        <f aca="false"> EUA!R412+ China!R412+ OCDE!R411+ BRISE!R412+ LINHA!R412</f>
        <v>10080</v>
      </c>
      <c r="S433" s="76" t="s">
        <v>131</v>
      </c>
      <c r="T433" s="13"/>
      <c r="U433" s="103" t="s">
        <v>85</v>
      </c>
    </row>
    <row r="434" customFormat="false" ht="11.25" hidden="false" customHeight="false" outlineLevel="0" collapsed="false">
      <c r="A434" s="63" t="s">
        <v>132</v>
      </c>
      <c r="B434" s="27" t="n">
        <f aca="false"> EUA!B413+ China!B413+ OCDE!B412+ BRISE!B413+ LINHA!B413</f>
        <v>1265.882926</v>
      </c>
      <c r="C434" s="27" t="n">
        <f aca="false"> EUA!C413+ China!C413+ OCDE!C412+ BRISE!C413+ LINHA!C413</f>
        <v>1321.679452</v>
      </c>
      <c r="D434" s="27" t="n">
        <f aca="false"> EUA!D413+ China!D413+ OCDE!D412+ BRISE!D413+ LINHA!D413</f>
        <v>1336.57611</v>
      </c>
      <c r="E434" s="27" t="n">
        <f aca="false"> EUA!E413+ China!E413+ OCDE!E412+ BRISE!E413+ LINHA!E413</f>
        <v>1376.248593</v>
      </c>
      <c r="F434" s="27" t="n">
        <f aca="false"> EUA!F413+ China!F413+ OCDE!F412+ BRISE!F413+ LINHA!F413</f>
        <v>1363.807548</v>
      </c>
      <c r="G434" s="27" t="n">
        <f aca="false"> EUA!G413+ China!G413+ OCDE!G412+ BRISE!G413+ LINHA!G413</f>
        <v>1366.128652</v>
      </c>
      <c r="H434" s="27" t="n">
        <f aca="false"> EUA!H413+ China!H413+ OCDE!H412+ BRISE!H413+ LINHA!H413</f>
        <v>1358.705183</v>
      </c>
      <c r="I434" s="27" t="n">
        <f aca="false"> EUA!I413+ China!I413+ OCDE!I412+ BRISE!I413+ LINHA!I413</f>
        <v>1427.762791</v>
      </c>
      <c r="J434" s="27" t="n">
        <f aca="false"> EUA!J413+ China!J413+ OCDE!J412+ BRISE!J413+ LINHA!J413</f>
        <v>1451.347249</v>
      </c>
      <c r="K434" s="27" t="n">
        <f aca="false"> EUA!K413+ China!K413+ OCDE!K412+ BRISE!K413+ LINHA!K413</f>
        <v>1500</v>
      </c>
      <c r="L434" s="27" t="n">
        <f aca="false"> EUA!L413+ China!L413+ OCDE!L412+ BRISE!L413+ LINHA!L413</f>
        <v>1550</v>
      </c>
      <c r="M434" s="27" t="n">
        <f aca="false"> EUA!M413+ China!M413+ OCDE!M412+ BRISE!M413+ LINHA!M413</f>
        <v>1600</v>
      </c>
      <c r="N434" s="27" t="n">
        <f aca="false"> EUA!N413+ China!N413+ OCDE!N412+ BRISE!N413+ LINHA!N413</f>
        <v>1650</v>
      </c>
      <c r="O434" s="27" t="n">
        <f aca="false"> EUA!O413+ China!O413+ OCDE!O412+ BRISE!O413+ LINHA!O413</f>
        <v>1700</v>
      </c>
      <c r="P434" s="27" t="n">
        <f aca="false"> EUA!P413+ China!P413+ OCDE!P412+ BRISE!P413+ LINHA!P413</f>
        <v>1700</v>
      </c>
      <c r="Q434" s="27" t="n">
        <f aca="false"> EUA!Q413+ China!Q413+ OCDE!Q412+ BRISE!Q413+ LINHA!Q413</f>
        <v>1650</v>
      </c>
      <c r="R434" s="27" t="n">
        <f aca="false"> EUA!R413+ China!R413+ OCDE!R412+ BRISE!R413+ LINHA!R413</f>
        <v>1600</v>
      </c>
      <c r="S434" s="140" t="s">
        <v>133</v>
      </c>
      <c r="T434" s="13"/>
      <c r="U434" s="141"/>
    </row>
    <row r="435" customFormat="false" ht="11.25" hidden="false" customHeight="false" outlineLevel="0" collapsed="false">
      <c r="A435" s="63" t="s">
        <v>134</v>
      </c>
      <c r="B435" s="75" t="n">
        <f aca="false">B433/B434</f>
        <v>2.38621640671374</v>
      </c>
      <c r="C435" s="75" t="n">
        <f aca="false">C433/C434</f>
        <v>2.53629996284455</v>
      </c>
      <c r="D435" s="75" t="n">
        <f aca="false">D433/D434</f>
        <v>2.76579402724773</v>
      </c>
      <c r="E435" s="75" t="n">
        <f aca="false">E433/E434</f>
        <v>3.13076130788822</v>
      </c>
      <c r="F435" s="75" t="n">
        <f aca="false">F433/F434</f>
        <v>3.35819641907423</v>
      </c>
      <c r="G435" s="75" t="n">
        <f aca="false">G433/G434</f>
        <v>3.48706589384965</v>
      </c>
      <c r="H435" s="75" t="n">
        <f aca="false">H433/H434</f>
        <v>3.9643444305607</v>
      </c>
      <c r="I435" s="75" t="n">
        <f aca="false">I433/I434</f>
        <v>4.23404384195077</v>
      </c>
      <c r="J435" s="75" t="n">
        <f aca="false">J433/J434</f>
        <v>4.55905921863914</v>
      </c>
      <c r="K435" s="75" t="n">
        <f aca="false">K433/K434</f>
        <v>4.8</v>
      </c>
      <c r="L435" s="75" t="n">
        <f aca="false">L433/L434</f>
        <v>5.1</v>
      </c>
      <c r="M435" s="75" t="n">
        <f aca="false">M433/M434</f>
        <v>5.4</v>
      </c>
      <c r="N435" s="75" t="n">
        <f aca="false">N433/N434</f>
        <v>5.7</v>
      </c>
      <c r="O435" s="75" t="n">
        <f aca="false">O433/O434</f>
        <v>5.9</v>
      </c>
      <c r="P435" s="75" t="n">
        <f aca="false">P433/P434</f>
        <v>6.1</v>
      </c>
      <c r="Q435" s="75" t="n">
        <f aca="false">Q433/Q434</f>
        <v>6.2</v>
      </c>
      <c r="R435" s="75" t="n">
        <f aca="false">R433/R434</f>
        <v>6.3</v>
      </c>
      <c r="S435" s="140" t="s">
        <v>135</v>
      </c>
      <c r="T435" s="13"/>
      <c r="U435" s="142"/>
      <c r="W435" s="142"/>
      <c r="X435" s="142"/>
      <c r="Y435" s="142"/>
    </row>
    <row r="436" customFormat="false" ht="11.25" hidden="false" customHeight="false" outlineLevel="0" collapsed="false">
      <c r="A436" s="63" t="s">
        <v>136</v>
      </c>
      <c r="B436" s="143" t="n">
        <f aca="false">B433/B9</f>
        <v>0.817239813398086</v>
      </c>
      <c r="C436" s="143" t="n">
        <f aca="false">C433/C9</f>
        <v>0.822333370239171</v>
      </c>
      <c r="D436" s="143" t="n">
        <f aca="false">D433/D9</f>
        <v>0.830156751423268</v>
      </c>
      <c r="E436" s="143" t="n">
        <f aca="false">E433/E9</f>
        <v>0.885965242168931</v>
      </c>
      <c r="F436" s="143" t="n">
        <f aca="false">F433/F9</f>
        <v>0.863092098933617</v>
      </c>
      <c r="G436" s="143" t="n">
        <f aca="false">G433/G9</f>
        <v>0.831921330378418</v>
      </c>
      <c r="H436" s="143" t="n">
        <f aca="false">H433/H9</f>
        <v>0.879728477708576</v>
      </c>
      <c r="I436" s="143" t="n">
        <f aca="false">I433/I9</f>
        <v>0.929081942242568</v>
      </c>
      <c r="J436" s="143" t="n">
        <f aca="false">J433/J9</f>
        <v>0.959525021027535</v>
      </c>
      <c r="K436" s="143" t="n">
        <f aca="false">K433/K9</f>
        <v>0.995497630492573</v>
      </c>
      <c r="L436" s="143" t="n">
        <f aca="false">L433/L9</f>
        <v>1.0522862087568</v>
      </c>
      <c r="M436" s="143" t="n">
        <f aca="false">M433/M9</f>
        <v>1.11706362308725</v>
      </c>
      <c r="N436" s="143" t="n">
        <f aca="false">N433/N9</f>
        <v>1.1897827571265</v>
      </c>
      <c r="O436" s="143" t="n">
        <f aca="false">O433/O9</f>
        <v>1.25092582339906</v>
      </c>
      <c r="P436" s="143" t="n">
        <f aca="false">P433/P9</f>
        <v>1.28535213180996</v>
      </c>
      <c r="Q436" s="143" t="n">
        <f aca="false">Q433/Q9</f>
        <v>1.27084900345782</v>
      </c>
      <c r="R436" s="143" t="n">
        <f aca="false">R433/R9</f>
        <v>1.26543488643865</v>
      </c>
      <c r="S436" s="76" t="s">
        <v>137</v>
      </c>
      <c r="T436" s="13"/>
      <c r="U436" s="144" t="s">
        <v>138</v>
      </c>
      <c r="W436" s="144"/>
      <c r="X436" s="144"/>
      <c r="Y436" s="144"/>
    </row>
    <row r="437" customFormat="false" ht="13.8" hidden="false" customHeight="false" outlineLevel="0" collapsed="false">
      <c r="A437" s="63" t="s">
        <v>139</v>
      </c>
      <c r="B437" s="47"/>
      <c r="C437" s="31" t="n">
        <f aca="false">(C433-B433)/B433*100/5</f>
        <v>2.19490954910331</v>
      </c>
      <c r="D437" s="31" t="n">
        <f aca="false">(D433-C433)/C433*100/5</f>
        <v>2.05549305145354</v>
      </c>
      <c r="E437" s="31" t="n">
        <f aca="false">(E433-D433)/D433*100/5</f>
        <v>3.31112927521978</v>
      </c>
      <c r="F437" s="31" t="n">
        <f aca="false">(F433-E433)/E433*100/5</f>
        <v>1.25897561243241</v>
      </c>
      <c r="G437" s="31" t="n">
        <f aca="false">(G433-F433)/F433*100/5</f>
        <v>0.802836984521327</v>
      </c>
      <c r="H437" s="31" t="n">
        <f aca="false">(H433-G433)/G433*100/5</f>
        <v>2.61386803670132</v>
      </c>
      <c r="I437" s="31" t="n">
        <f aca="false">(I433-H433)/H433*100/5</f>
        <v>2.44630159707632</v>
      </c>
      <c r="J437" s="31" t="n">
        <f aca="false">(J433-I433)/I433*100/5</f>
        <v>1.89097741213005</v>
      </c>
      <c r="K437" s="31" t="n">
        <f aca="false">(K433-J433)/J433*100/5</f>
        <v>1.76285781433846</v>
      </c>
      <c r="L437" s="31" t="n">
        <f aca="false">(L433-K433)/K433*100/5</f>
        <v>1.95833333333333</v>
      </c>
      <c r="M437" s="31" t="n">
        <f aca="false">(M433-L433)/L433*100/5</f>
        <v>1.8595825426945</v>
      </c>
      <c r="N437" s="31" t="n">
        <f aca="false">(N433-M433)/M433*100/5</f>
        <v>1.77083333333333</v>
      </c>
      <c r="O437" s="31" t="n">
        <f aca="false">(O433-N433)/N433*100/5</f>
        <v>1.3290802764487</v>
      </c>
      <c r="P437" s="31" t="n">
        <f aca="false">(P433-O433)/O433*100/5</f>
        <v>0.677966101694915</v>
      </c>
      <c r="Q437" s="31" t="n">
        <f aca="false">(Q433-P433)/P433*100/5</f>
        <v>-0.270009643201543</v>
      </c>
      <c r="R437" s="31" t="n">
        <f aca="false">(R433-Q433)/Q433*100/5</f>
        <v>-0.293255131964809</v>
      </c>
      <c r="S437" s="76" t="s">
        <v>25</v>
      </c>
      <c r="T437" s="13"/>
      <c r="U437" s="144" t="s">
        <v>140</v>
      </c>
      <c r="W437" s="145"/>
      <c r="X437" s="145"/>
      <c r="Y437" s="145"/>
    </row>
    <row r="438" customFormat="false" ht="11.25" hidden="false" customHeight="false" outlineLevel="0" collapsed="false">
      <c r="A438" s="63" t="s">
        <v>141</v>
      </c>
      <c r="B438" s="47"/>
      <c r="C438" s="31" t="n">
        <f aca="false">(C434-B434)/B434*100/5</f>
        <v>0.881543227323691</v>
      </c>
      <c r="D438" s="31" t="n">
        <f aca="false">(D434-C434)/C434*100/5</f>
        <v>0.225420134624293</v>
      </c>
      <c r="E438" s="31" t="n">
        <f aca="false">(E434-D434)/D434*100/5</f>
        <v>0.593643455141508</v>
      </c>
      <c r="F438" s="31" t="n">
        <f aca="false">(F434-E434)/E434*100/5</f>
        <v>-0.180796479113997</v>
      </c>
      <c r="G438" s="31" t="n">
        <f aca="false">(G434-F434)/F434*100/5</f>
        <v>0.0340385856260073</v>
      </c>
      <c r="H438" s="31" t="n">
        <f aca="false">(H434-G434)/G434*100/5</f>
        <v>-0.108678915256363</v>
      </c>
      <c r="I438" s="31" t="n">
        <f aca="false">(I434-H434)/H434*100/5</f>
        <v>1.01652085918333</v>
      </c>
      <c r="J438" s="31" t="n">
        <f aca="false">(J434-I434)/I434*100/5</f>
        <v>0.330369416385776</v>
      </c>
      <c r="K438" s="31" t="n">
        <f aca="false">(K434-J434)/J434*100/5</f>
        <v>0.670449487998445</v>
      </c>
      <c r="L438" s="31" t="n">
        <f aca="false">(L434-K434)/K434*100/5</f>
        <v>0.666666666666667</v>
      </c>
      <c r="M438" s="31" t="n">
        <f aca="false">(M434-L434)/L434*100/5</f>
        <v>0.645161290322581</v>
      </c>
      <c r="N438" s="31" t="n">
        <f aca="false">(N434-M434)/M434*100/5</f>
        <v>0.625</v>
      </c>
      <c r="O438" s="31" t="n">
        <f aca="false">(O434-N434)/N434*100/5</f>
        <v>0.606060606060606</v>
      </c>
      <c r="P438" s="31" t="n">
        <f aca="false">(P434-O434)/O434*100/5</f>
        <v>0</v>
      </c>
      <c r="Q438" s="31" t="n">
        <f aca="false">(Q434-P434)/P434*100/5</f>
        <v>-0.588235294117647</v>
      </c>
      <c r="R438" s="31" t="n">
        <f aca="false">(R434-Q434)/Q434*100/5</f>
        <v>-0.606060606060606</v>
      </c>
      <c r="S438" s="76" t="s">
        <v>25</v>
      </c>
      <c r="T438" s="13"/>
      <c r="U438" s="41"/>
      <c r="V438" s="41"/>
    </row>
    <row r="439" customFormat="false" ht="12.65" hidden="false" customHeight="false" outlineLevel="0" collapsed="false">
      <c r="A439" s="108" t="s">
        <v>7</v>
      </c>
      <c r="T439" s="13"/>
    </row>
    <row r="440" customFormat="false" ht="11.25" hidden="false" customHeight="false" outlineLevel="0" collapsed="false">
      <c r="B440" s="24" t="n">
        <v>1970</v>
      </c>
      <c r="C440" s="24" t="n">
        <v>1975</v>
      </c>
      <c r="D440" s="24" t="n">
        <v>1980</v>
      </c>
      <c r="E440" s="24" t="n">
        <v>1985</v>
      </c>
      <c r="F440" s="24" t="n">
        <v>1990</v>
      </c>
      <c r="G440" s="24" t="n">
        <v>1995</v>
      </c>
      <c r="H440" s="24" t="n">
        <v>2000</v>
      </c>
      <c r="I440" s="24" t="n">
        <v>2005</v>
      </c>
      <c r="J440" s="24" t="n">
        <v>2010</v>
      </c>
      <c r="K440" s="24" t="n">
        <v>2015</v>
      </c>
      <c r="L440" s="24" t="n">
        <v>2020</v>
      </c>
      <c r="M440" s="24" t="n">
        <v>2025</v>
      </c>
      <c r="N440" s="24" t="n">
        <v>2030</v>
      </c>
      <c r="O440" s="24" t="n">
        <v>2035</v>
      </c>
      <c r="P440" s="24" t="n">
        <v>2040</v>
      </c>
      <c r="Q440" s="24" t="n">
        <v>2045</v>
      </c>
      <c r="R440" s="24" t="n">
        <v>2050</v>
      </c>
      <c r="S440" s="25" t="s">
        <v>15</v>
      </c>
      <c r="T440" s="13"/>
    </row>
    <row r="441" s="3" customFormat="true" ht="11.25" hidden="false" customHeight="false" outlineLevel="0" collapsed="false">
      <c r="J441" s="146" t="str">
        <f aca="false">CONCATENATE(A433,", Your forecast")</f>
        <v> Produção de alimentos, sua previsão</v>
      </c>
      <c r="K441" s="84" t="n">
        <f aca="false"> EUA!K420+ China!K420+ OCDE!K419+ BRISE!K420+ LINHA!K420</f>
        <v>7200</v>
      </c>
      <c r="L441" s="84" t="n">
        <f aca="false"> EUA!L420+ China!L420+ OCDE!L419+ BRISE!L420+ LINHA!L420</f>
        <v>7591.962</v>
      </c>
      <c r="M441" s="84" t="n">
        <f aca="false"> EUA!M420+ China!M420+ OCDE!M419+ BRISE!M420+ LINHA!M420</f>
        <v>8297.856</v>
      </c>
      <c r="N441" s="84" t="n">
        <f aca="false"> EUA!N420+ China!N420+ OCDE!N419+ BRISE!N420+ LINHA!N420</f>
        <v>9032.562</v>
      </c>
      <c r="O441" s="84" t="n">
        <f aca="false"> EUA!O420+ China!O420+ OCDE!O419+ BRISE!O420+ LINHA!O420</f>
        <v>9632.812</v>
      </c>
      <c r="P441" s="84" t="n">
        <f aca="false"> EUA!P420+ China!P420+ OCDE!P419+ BRISE!P420+ LINHA!P420</f>
        <v>9959.348</v>
      </c>
      <c r="Q441" s="84" t="n">
        <f aca="false"> EUA!Q420+ China!Q420+ OCDE!Q419+ BRISE!Q420+ LINHA!Q420</f>
        <v>9824.892</v>
      </c>
      <c r="R441" s="84" t="n">
        <f aca="false"> EUA!R420+ China!R420+ OCDE!R419+ BRISE!R420+ LINHA!R420</f>
        <v>9680.832</v>
      </c>
      <c r="S441" s="76" t="str">
        <f aca="false">S433</f>
        <v> Monte</v>
      </c>
      <c r="T441" s="13"/>
      <c r="AA441" s="52" t="s">
        <v>36</v>
      </c>
    </row>
    <row r="442" s="3" customFormat="true" ht="15" hidden="false" customHeight="false" outlineLevel="0" collapsed="false">
      <c r="H442" s="8"/>
      <c r="I442" s="8"/>
      <c r="J442" s="146" t="str">
        <f aca="false">CONCATENATE(A434,", Your forecast")</f>
        <v> Terra cultivada, sua previsão</v>
      </c>
      <c r="K442" s="84" t="n">
        <f aca="false"> EUA!K421+ China!K421+ OCDE!K420+ BRISE!K421+ LINHA!K421</f>
        <v>1500</v>
      </c>
      <c r="L442" s="84" t="n">
        <f aca="false"> EUA!L421+ China!L421+ OCDE!L420+ BRISE!L421+ LINHA!L421</f>
        <v>1519</v>
      </c>
      <c r="M442" s="84" t="n">
        <f aca="false"> EUA!M421+ China!M421+ OCDE!M420+ BRISE!M421+ LINHA!M421</f>
        <v>1568</v>
      </c>
      <c r="N442" s="84" t="n">
        <f aca="false"> EUA!N421+ China!N421+ OCDE!N420+ BRISE!N421+ LINHA!N421</f>
        <v>1617</v>
      </c>
      <c r="O442" s="84" t="n">
        <f aca="false"> EUA!O421+ China!O421+ OCDE!O420+ BRISE!O421+ LINHA!O421</f>
        <v>1666</v>
      </c>
      <c r="P442" s="84" t="n">
        <f aca="false"> EUA!P421+ China!P421+ OCDE!P420+ BRISE!P421+ LINHA!P421</f>
        <v>1666</v>
      </c>
      <c r="Q442" s="84" t="n">
        <f aca="false"> EUA!Q421+ China!Q421+ OCDE!Q420+ BRISE!Q421+ LINHA!Q421</f>
        <v>1617</v>
      </c>
      <c r="R442" s="84" t="n">
        <f aca="false"> EUA!R421+ China!R421+ OCDE!R420+ BRISE!R421+ LINHA!R421</f>
        <v>1568</v>
      </c>
      <c r="S442" s="76" t="str">
        <f aca="false">S434</f>
        <v> Mha</v>
      </c>
      <c r="T442" s="13"/>
      <c r="AA442" s="16"/>
      <c r="AB442" s="24" t="n">
        <v>1970</v>
      </c>
      <c r="AC442" s="24" t="n">
        <v>1975</v>
      </c>
      <c r="AD442" s="24" t="n">
        <v>1980</v>
      </c>
      <c r="AE442" s="24" t="n">
        <v>1985</v>
      </c>
      <c r="AF442" s="24" t="n">
        <v>1990</v>
      </c>
      <c r="AG442" s="24" t="n">
        <v>1995</v>
      </c>
      <c r="AH442" s="24" t="n">
        <v>2000</v>
      </c>
      <c r="AI442" s="24" t="n">
        <v>2005</v>
      </c>
      <c r="AJ442" s="24" t="n">
        <v>2010</v>
      </c>
      <c r="AK442" s="24" t="n">
        <v>2015</v>
      </c>
      <c r="AL442" s="24" t="n">
        <v>2020</v>
      </c>
      <c r="AM442" s="24" t="n">
        <v>2025</v>
      </c>
      <c r="AN442" s="24" t="n">
        <v>2030</v>
      </c>
      <c r="AO442" s="24" t="n">
        <v>2035</v>
      </c>
      <c r="AP442" s="24" t="n">
        <v>2040</v>
      </c>
      <c r="AQ442" s="24" t="n">
        <v>2045</v>
      </c>
      <c r="AR442" s="24" t="n">
        <v>2050</v>
      </c>
    </row>
    <row r="443" s="3" customFormat="true" ht="11.25" hidden="false" customHeight="false" outlineLevel="0" collapsed="false">
      <c r="H443" s="8"/>
      <c r="I443" s="8"/>
      <c r="J443" s="146" t="str">
        <f aca="false">CONCATENATE(A435,", Your forecast")</f>
        <v> Rendimento bruto, sua previsão</v>
      </c>
      <c r="K443" s="43" t="n">
        <f aca="false">K441/K442</f>
        <v>4.8</v>
      </c>
      <c r="L443" s="43" t="n">
        <f aca="false">L441/L442</f>
        <v>4.998</v>
      </c>
      <c r="M443" s="43" t="n">
        <f aca="false">M441/M442</f>
        <v>5.292</v>
      </c>
      <c r="N443" s="43" t="n">
        <f aca="false">N441/N442</f>
        <v>5.586</v>
      </c>
      <c r="O443" s="43" t="n">
        <f aca="false">O441/O442</f>
        <v>5.782</v>
      </c>
      <c r="P443" s="43" t="n">
        <f aca="false">P441/P442</f>
        <v>5.978</v>
      </c>
      <c r="Q443" s="43" t="n">
        <f aca="false">Q441/Q442</f>
        <v>6.076</v>
      </c>
      <c r="R443" s="43" t="n">
        <f aca="false">R441/R442</f>
        <v>6.174</v>
      </c>
      <c r="S443" s="76" t="str">
        <f aca="false">S435</f>
        <v> t / ha</v>
      </c>
      <c r="T443" s="13"/>
      <c r="AA443" s="148" t="str">
        <f aca="false">CONCATENATE("Food production (0 - ",W449," Mt / yr)")</f>
        <v> Produção de alimentos (0 - 11000 Mt / ano)</v>
      </c>
      <c r="AB443" s="57" t="n">
        <f aca="false">B433/$W449</f>
        <v>0.274606418818182</v>
      </c>
      <c r="AC443" s="57" t="n">
        <f aca="false">C433/$W449</f>
        <v>0.304743231363636</v>
      </c>
      <c r="AD443" s="57" t="n">
        <f aca="false">D433/$W449</f>
        <v>0.336063111090909</v>
      </c>
      <c r="AE443" s="57" t="n">
        <f aca="false">E433/$W449</f>
        <v>0.391700531363636</v>
      </c>
      <c r="AF443" s="57" t="n">
        <f aca="false">F433/$W449</f>
        <v>0.416357602181818</v>
      </c>
      <c r="AG443" s="57" t="n">
        <f aca="false">G433/$W449</f>
        <v>0.433070966272727</v>
      </c>
      <c r="AH443" s="57" t="n">
        <f aca="false">H433/$W449</f>
        <v>0.489670484090909</v>
      </c>
      <c r="AI443" s="57" t="n">
        <f aca="false">I433/$W449</f>
        <v>0.549564568454546</v>
      </c>
      <c r="AJ443" s="57" t="n">
        <f aca="false">J433/$W449</f>
        <v>0.601525277727273</v>
      </c>
      <c r="AK443" s="57" t="n">
        <f aca="false">K433/$W449</f>
        <v>0.654545454545455</v>
      </c>
      <c r="AL443" s="57" t="n">
        <f aca="false">L433/$W449</f>
        <v>0.718636363636364</v>
      </c>
      <c r="AM443" s="57" t="n">
        <f aca="false">M433/$W449</f>
        <v>0.785454545454545</v>
      </c>
      <c r="AN443" s="57" t="n">
        <f aca="false">N433/$W449</f>
        <v>0.855</v>
      </c>
      <c r="AO443" s="57" t="n">
        <f aca="false">O433/$W449</f>
        <v>0.911818181818182</v>
      </c>
      <c r="AP443" s="57" t="n">
        <f aca="false">P433/$W449</f>
        <v>0.942727272727273</v>
      </c>
      <c r="AQ443" s="57" t="n">
        <f aca="false">Q433/$W449</f>
        <v>0.93</v>
      </c>
      <c r="AR443" s="57" t="n">
        <f aca="false">R433/$W449</f>
        <v>0.916363636363636</v>
      </c>
    </row>
    <row r="444" s="3" customFormat="true" ht="11.25" hidden="false" customHeight="false" outlineLevel="0" collapsed="false">
      <c r="G444" s="8"/>
      <c r="H444" s="8"/>
      <c r="I444" s="8"/>
      <c r="J444" s="146" t="str">
        <f aca="false">CONCATENATE(A436,", Your forecast")</f>
        <v> Alimentação por pessoa, sua previsão</v>
      </c>
      <c r="K444" s="149" t="n">
        <f aca="false">K441/K17</f>
        <v>0.995496266410081</v>
      </c>
      <c r="L444" s="149" t="n">
        <f aca="false">L441/L17</f>
        <v>1.01136729890187</v>
      </c>
      <c r="M444" s="149" t="n">
        <f aca="false">M441/M17</f>
        <v>1.07426008702859</v>
      </c>
      <c r="N444" s="149" t="n">
        <f aca="false">N441/N17</f>
        <v>1.14471888261687</v>
      </c>
      <c r="O444" s="149" t="n">
        <f aca="false">O441/O17</f>
        <v>1.20393420470907</v>
      </c>
      <c r="P444" s="149" t="n">
        <f aca="false">P441/P17</f>
        <v>1.23728029694724</v>
      </c>
      <c r="Q444" s="149" t="n">
        <f aca="false">Q441/Q17</f>
        <v>1.22333310485559</v>
      </c>
      <c r="R444" s="149" t="n">
        <f aca="false">R441/R17</f>
        <v>1.21793897983053</v>
      </c>
      <c r="S444" s="76" t="str">
        <f aca="false">S436</f>
        <v> t / pessoa-ano</v>
      </c>
      <c r="T444" s="13"/>
      <c r="AA444" s="148" t="str">
        <f aca="false">CONCATENATE("Cultivated land (0 - ",W450," Mha)")</f>
        <v> Terra cultivada (0 - 4000 Mha)</v>
      </c>
      <c r="AB444" s="57" t="n">
        <f aca="false">B434/$W450</f>
        <v>0.3164707315</v>
      </c>
      <c r="AC444" s="57" t="n">
        <f aca="false">C434/$W450</f>
        <v>0.330419863</v>
      </c>
      <c r="AD444" s="57" t="n">
        <f aca="false">D434/$W450</f>
        <v>0.3341440275</v>
      </c>
      <c r="AE444" s="57" t="n">
        <f aca="false">E434/$W450</f>
        <v>0.34406214825</v>
      </c>
      <c r="AF444" s="57" t="n">
        <f aca="false">F434/$W450</f>
        <v>0.340951887</v>
      </c>
      <c r="AG444" s="57" t="n">
        <f aca="false">G434/$W450</f>
        <v>0.341532163</v>
      </c>
      <c r="AH444" s="57" t="n">
        <f aca="false">H434/$W450</f>
        <v>0.33967629575</v>
      </c>
      <c r="AI444" s="57" t="n">
        <f aca="false">I434/$W450</f>
        <v>0.35694069775</v>
      </c>
      <c r="AJ444" s="57" t="n">
        <f aca="false">J434/$W450</f>
        <v>0.36283681225</v>
      </c>
      <c r="AK444" s="57" t="n">
        <f aca="false">K434/$W450</f>
        <v>0.375</v>
      </c>
      <c r="AL444" s="57" t="n">
        <f aca="false">L434/$W450</f>
        <v>0.3875</v>
      </c>
      <c r="AM444" s="57" t="n">
        <f aca="false">M434/$W450</f>
        <v>0.4</v>
      </c>
      <c r="AN444" s="57" t="n">
        <f aca="false">N434/$W450</f>
        <v>0.4125</v>
      </c>
      <c r="AO444" s="57" t="n">
        <f aca="false">O434/$W450</f>
        <v>0.425</v>
      </c>
      <c r="AP444" s="57" t="n">
        <f aca="false">P434/$W450</f>
        <v>0.425</v>
      </c>
      <c r="AQ444" s="57" t="n">
        <f aca="false">Q434/$W450</f>
        <v>0.4125</v>
      </c>
      <c r="AR444" s="57" t="n">
        <f aca="false">R434/$W450</f>
        <v>0.4</v>
      </c>
    </row>
    <row r="445" s="3" customFormat="true" ht="11.25" hidden="false" customHeight="false" outlineLevel="0" collapsed="false">
      <c r="G445" s="8"/>
      <c r="H445" s="8"/>
      <c r="I445" s="8"/>
      <c r="J445" s="146" t="str">
        <f aca="false">CONCATENATE(A437,", Your forecast")</f>
        <v>Crescimento na produção de alimentos, sua previsão</v>
      </c>
      <c r="K445" s="91" t="n">
        <f aca="false">(K441-J433)/J433*100/5</f>
        <v>1.76285781433846</v>
      </c>
      <c r="L445" s="91" t="n">
        <f aca="false">(L441-K441)/K441*100/5</f>
        <v>1.08878333333333</v>
      </c>
      <c r="M445" s="91" t="n">
        <f aca="false">(M441-L441)/L441*100/5</f>
        <v>1.8595825426945</v>
      </c>
      <c r="N445" s="91" t="n">
        <f aca="false">(N441-M441)/M441*100/5</f>
        <v>1.77083333333333</v>
      </c>
      <c r="O445" s="91" t="n">
        <f aca="false">(O441-N441)/N441*100/5</f>
        <v>1.3290802764487</v>
      </c>
      <c r="P445" s="91" t="n">
        <f aca="false">(P441-O441)/O441*100/5</f>
        <v>0.677966101694912</v>
      </c>
      <c r="Q445" s="91" t="n">
        <f aca="false">(Q441-P441)/P441*100/5</f>
        <v>-0.27000964320154</v>
      </c>
      <c r="R445" s="91" t="n">
        <f aca="false">(R441-Q441)/Q441*100/5</f>
        <v>-0.293255131964808</v>
      </c>
      <c r="S445" s="76" t="str">
        <f aca="false">S437</f>
        <v> % por ano</v>
      </c>
      <c r="T445" s="13"/>
      <c r="AA445" s="148" t="str">
        <f aca="false">CONCATENATE("Gross yield (0 - ",W451," t / ha-yr)")</f>
        <v> Rendimento bruto (0 - 8 t / ha-ano)</v>
      </c>
      <c r="AB445" s="57" t="n">
        <f aca="false">B435/$W451</f>
        <v>0.298277050839218</v>
      </c>
      <c r="AC445" s="57" t="n">
        <f aca="false">C435/$W451</f>
        <v>0.317037495355568</v>
      </c>
      <c r="AD445" s="57" t="n">
        <f aca="false">D435/$W451</f>
        <v>0.345724253405966</v>
      </c>
      <c r="AE445" s="57" t="n">
        <f aca="false">E435/$W451</f>
        <v>0.391345163486027</v>
      </c>
      <c r="AF445" s="57" t="n">
        <f aca="false">F435/$W451</f>
        <v>0.419774552384278</v>
      </c>
      <c r="AG445" s="57" t="n">
        <f aca="false">G435/$W451</f>
        <v>0.435883236731207</v>
      </c>
      <c r="AH445" s="57" t="n">
        <f aca="false">H435/$W451</f>
        <v>0.495543053820087</v>
      </c>
      <c r="AI445" s="57" t="n">
        <f aca="false">I435/$W451</f>
        <v>0.529255480243847</v>
      </c>
      <c r="AJ445" s="57" t="n">
        <f aca="false">J435/$W451</f>
        <v>0.569882402329892</v>
      </c>
      <c r="AK445" s="57" t="n">
        <f aca="false">K435/$W451</f>
        <v>0.6</v>
      </c>
      <c r="AL445" s="57" t="n">
        <f aca="false">L435/$W451</f>
        <v>0.6375</v>
      </c>
      <c r="AM445" s="57" t="n">
        <f aca="false">M435/$W451</f>
        <v>0.675</v>
      </c>
      <c r="AN445" s="57" t="n">
        <f aca="false">N435/$W451</f>
        <v>0.7125</v>
      </c>
      <c r="AO445" s="57" t="n">
        <f aca="false">O435/$W451</f>
        <v>0.7375</v>
      </c>
      <c r="AP445" s="57" t="n">
        <f aca="false">P435/$W451</f>
        <v>0.7625</v>
      </c>
      <c r="AQ445" s="57" t="n">
        <f aca="false">Q435/$W451</f>
        <v>0.775</v>
      </c>
      <c r="AR445" s="57" t="n">
        <f aca="false">R435/$W451</f>
        <v>0.7875</v>
      </c>
    </row>
    <row r="446" s="3" customFormat="true" ht="11.25" hidden="false" customHeight="false" outlineLevel="0" collapsed="false">
      <c r="G446" s="8"/>
      <c r="H446" s="8"/>
      <c r="I446" s="8"/>
      <c r="J446" s="146" t="str">
        <f aca="false">CONCATENATE(A438,", Your forecast")</f>
        <v> Crescimento das terras cultivadas, sua previsão</v>
      </c>
      <c r="K446" s="91" t="n">
        <f aca="false">(K442-J434)/J434*100/5</f>
        <v>0.670449487998445</v>
      </c>
      <c r="L446" s="91" t="n">
        <f aca="false">(L442-K442)/K442*100/5</f>
        <v>0.253333333333333</v>
      </c>
      <c r="M446" s="91" t="n">
        <f aca="false">(M442-L442)/L442*100/5</f>
        <v>0.645161290322581</v>
      </c>
      <c r="N446" s="91" t="n">
        <f aca="false">(N442-M442)/M442*100/5</f>
        <v>0.625</v>
      </c>
      <c r="O446" s="91" t="n">
        <f aca="false">(O442-N442)/N442*100/5</f>
        <v>0.606060606060606</v>
      </c>
      <c r="P446" s="91" t="n">
        <f aca="false">(P442-O442)/O442*100/5</f>
        <v>0</v>
      </c>
      <c r="Q446" s="91" t="n">
        <f aca="false">(Q442-P442)/P442*100/5</f>
        <v>-0.588235294117644</v>
      </c>
      <c r="R446" s="91" t="n">
        <f aca="false">(R442-Q442)/Q442*100/5</f>
        <v>-0.606060606060606</v>
      </c>
      <c r="S446" s="76" t="str">
        <f aca="false">S438</f>
        <v> % por ano</v>
      </c>
      <c r="T446" s="13"/>
      <c r="X446" s="15" t="s">
        <v>33</v>
      </c>
      <c r="AA446" s="148" t="str">
        <f aca="false">CONCATENATE("Food per person (0 - ",W452," t / person - yr)")</f>
        <v> Alimento por pessoa (0 - 2 t / pessoa - ano)</v>
      </c>
      <c r="AB446" s="57" t="n">
        <f aca="false">B436/$W452</f>
        <v>0.408619906699043</v>
      </c>
      <c r="AC446" s="57" t="n">
        <f aca="false">C436/$W452</f>
        <v>0.411166685119586</v>
      </c>
      <c r="AD446" s="57" t="n">
        <f aca="false">D436/$W452</f>
        <v>0.415078375711634</v>
      </c>
      <c r="AE446" s="57" t="n">
        <f aca="false">E436/$W452</f>
        <v>0.442982621084466</v>
      </c>
      <c r="AF446" s="57" t="n">
        <f aca="false">F436/$W452</f>
        <v>0.431546049466808</v>
      </c>
      <c r="AG446" s="57" t="n">
        <f aca="false">G436/$W452</f>
        <v>0.415960665189209</v>
      </c>
      <c r="AH446" s="57" t="n">
        <f aca="false">H436/$W452</f>
        <v>0.439864238854288</v>
      </c>
      <c r="AI446" s="57" t="n">
        <f aca="false">I436/$W452</f>
        <v>0.464540971121284</v>
      </c>
      <c r="AJ446" s="57" t="n">
        <f aca="false">J436/$W452</f>
        <v>0.479762510513768</v>
      </c>
      <c r="AK446" s="57" t="n">
        <f aca="false">K436/$W452</f>
        <v>0.497748815246287</v>
      </c>
      <c r="AL446" s="57" t="n">
        <f aca="false">L436/$W452</f>
        <v>0.526143104378401</v>
      </c>
      <c r="AM446" s="57" t="n">
        <f aca="false">M436/$W452</f>
        <v>0.558531811543625</v>
      </c>
      <c r="AN446" s="57" t="n">
        <f aca="false">N436/$W452</f>
        <v>0.59489137856325</v>
      </c>
      <c r="AO446" s="57" t="n">
        <f aca="false">O436/$W452</f>
        <v>0.625462911699532</v>
      </c>
      <c r="AP446" s="57" t="n">
        <f aca="false">P436/$W452</f>
        <v>0.642676065904981</v>
      </c>
      <c r="AQ446" s="57" t="n">
        <f aca="false">Q436/$W452</f>
        <v>0.63542450172891</v>
      </c>
      <c r="AR446" s="57" t="n">
        <f aca="false">R436/$W452</f>
        <v>0.632717443219324</v>
      </c>
    </row>
    <row r="447" customFormat="false" ht="11.25" hidden="false" customHeight="false" outlineLevel="0" collapsed="false">
      <c r="T447" s="13"/>
      <c r="V447" s="3" t="s">
        <v>35</v>
      </c>
      <c r="AA447" s="148" t="s">
        <v>142</v>
      </c>
      <c r="AB447" s="57" t="n">
        <f aca="false">B437/$W451</f>
        <v>0</v>
      </c>
      <c r="AC447" s="57" t="n">
        <f aca="false">C437/$W451</f>
        <v>0.274363693637914</v>
      </c>
      <c r="AD447" s="57" t="n">
        <f aca="false">D437/$W451</f>
        <v>0.256936631431693</v>
      </c>
      <c r="AE447" s="57" t="n">
        <f aca="false">E437/$W451</f>
        <v>0.413891159402472</v>
      </c>
      <c r="AF447" s="57" t="n">
        <f aca="false">F437/$W451</f>
        <v>0.157371951554052</v>
      </c>
      <c r="AG447" s="57" t="n">
        <f aca="false">G437/$W451</f>
        <v>0.100354623065166</v>
      </c>
      <c r="AH447" s="57" t="n">
        <f aca="false">H437/$W451</f>
        <v>0.326733504587665</v>
      </c>
      <c r="AI447" s="57" t="n">
        <f aca="false">I437/$W451</f>
        <v>0.30578769963454</v>
      </c>
      <c r="AJ447" s="57" t="n">
        <f aca="false">J437/$W451</f>
        <v>0.236372176516256</v>
      </c>
      <c r="AK447" s="57" t="n">
        <f aca="false">K437/$W451</f>
        <v>0.220357226792308</v>
      </c>
      <c r="AL447" s="57" t="n">
        <f aca="false">L437/$W451</f>
        <v>0.244791666666666</v>
      </c>
      <c r="AM447" s="57" t="n">
        <f aca="false">M437/$W451</f>
        <v>0.232447817836812</v>
      </c>
      <c r="AN447" s="57" t="n">
        <f aca="false">N437/$W451</f>
        <v>0.221354166666667</v>
      </c>
      <c r="AO447" s="57" t="n">
        <f aca="false">O437/$W451</f>
        <v>0.166135034556087</v>
      </c>
      <c r="AP447" s="57" t="n">
        <f aca="false">P437/$W451</f>
        <v>0.0847457627118644</v>
      </c>
      <c r="AQ447" s="57" t="n">
        <f aca="false">Q437/$W451</f>
        <v>-0.0337512054001929</v>
      </c>
      <c r="AR447" s="57" t="n">
        <f aca="false">R437/$W451</f>
        <v>-0.0366568914956012</v>
      </c>
    </row>
    <row r="448" customFormat="false" ht="28.3" hidden="false" customHeight="false" outlineLevel="0" collapsed="false">
      <c r="T448" s="13"/>
      <c r="U448" s="53" t="s">
        <v>37</v>
      </c>
      <c r="V448" s="54" t="s">
        <v>38</v>
      </c>
      <c r="W448" s="54" t="s">
        <v>39</v>
      </c>
      <c r="X448" s="55"/>
      <c r="Y448" s="55"/>
      <c r="AA448" s="148" t="s">
        <v>143</v>
      </c>
      <c r="AB448" s="57" t="n">
        <f aca="false">B438/$W452</f>
        <v>0</v>
      </c>
      <c r="AC448" s="57" t="n">
        <f aca="false">C438/$W452</f>
        <v>0.440771613661846</v>
      </c>
      <c r="AD448" s="57" t="n">
        <f aca="false">D438/$W452</f>
        <v>0.112710067312147</v>
      </c>
      <c r="AE448" s="57" t="n">
        <f aca="false">E438/$W452</f>
        <v>0.296821727570754</v>
      </c>
      <c r="AF448" s="57" t="n">
        <f aca="false">F438/$W452</f>
        <v>-0.0903982395569982</v>
      </c>
      <c r="AG448" s="57" t="n">
        <f aca="false">G438/$W452</f>
        <v>0.0170192928130036</v>
      </c>
      <c r="AH448" s="57" t="n">
        <f aca="false">H438/$W452</f>
        <v>-0.0543394576281813</v>
      </c>
      <c r="AI448" s="57" t="n">
        <f aca="false">I438/$W452</f>
        <v>0.508260429591664</v>
      </c>
      <c r="AJ448" s="57" t="n">
        <f aca="false">J438/$W452</f>
        <v>0.165184708192888</v>
      </c>
      <c r="AK448" s="57" t="n">
        <f aca="false">K438/$W452</f>
        <v>0.335224743999223</v>
      </c>
      <c r="AL448" s="57" t="n">
        <f aca="false">L438/$W452</f>
        <v>0.333333333333333</v>
      </c>
      <c r="AM448" s="57" t="n">
        <f aca="false">M438/$W452</f>
        <v>0.32258064516129</v>
      </c>
      <c r="AN448" s="57" t="n">
        <f aca="false">N438/$W452</f>
        <v>0.3125</v>
      </c>
      <c r="AO448" s="57" t="n">
        <f aca="false">O438/$W452</f>
        <v>0.303030303030303</v>
      </c>
      <c r="AP448" s="57" t="n">
        <f aca="false">P438/$W452</f>
        <v>0</v>
      </c>
      <c r="AQ448" s="57" t="n">
        <f aca="false">Q438/$W452</f>
        <v>-0.294117647058824</v>
      </c>
      <c r="AR448" s="57" t="n">
        <f aca="false">R438/$W452</f>
        <v>-0.303030303030303</v>
      </c>
    </row>
    <row r="449" customFormat="false" ht="12" hidden="false" customHeight="false" outlineLevel="0" collapsed="false">
      <c r="T449" s="13"/>
      <c r="U449" s="15" t="str">
        <f aca="false">AA443</f>
        <v> Produção de alimentos (0 - 11000 Mt / ano)</v>
      </c>
      <c r="V449" s="25" t="n">
        <v>11000</v>
      </c>
      <c r="W449" s="70" t="n">
        <f aca="false">W453</f>
        <v>11000</v>
      </c>
      <c r="AA449" s="150"/>
      <c r="AB449" s="24" t="n">
        <v>1970</v>
      </c>
      <c r="AC449" s="24" t="n">
        <v>1975</v>
      </c>
      <c r="AD449" s="24" t="n">
        <v>1980</v>
      </c>
      <c r="AE449" s="24" t="n">
        <v>1985</v>
      </c>
      <c r="AF449" s="24" t="n">
        <v>1990</v>
      </c>
      <c r="AG449" s="24" t="n">
        <v>1995</v>
      </c>
      <c r="AH449" s="24" t="n">
        <v>2000</v>
      </c>
      <c r="AI449" s="24" t="n">
        <v>2005</v>
      </c>
      <c r="AJ449" s="24" t="n">
        <v>2010</v>
      </c>
      <c r="AK449" s="24" t="n">
        <v>2015</v>
      </c>
      <c r="AL449" s="24" t="n">
        <v>2020</v>
      </c>
      <c r="AM449" s="24" t="n">
        <v>2025</v>
      </c>
      <c r="AN449" s="24" t="n">
        <v>2030</v>
      </c>
      <c r="AO449" s="24" t="n">
        <v>2035</v>
      </c>
      <c r="AP449" s="24" t="n">
        <v>2040</v>
      </c>
      <c r="AQ449" s="24" t="n">
        <v>2045</v>
      </c>
      <c r="AR449" s="24" t="n">
        <v>2050</v>
      </c>
    </row>
    <row r="450" customFormat="false" ht="11.25" hidden="false" customHeight="false" outlineLevel="0" collapsed="false">
      <c r="T450" s="13"/>
      <c r="U450" s="15" t="str">
        <f aca="false">AA444</f>
        <v> Terra cultivada (0 - 4000 Mha)</v>
      </c>
      <c r="V450" s="25" t="n">
        <v>4000</v>
      </c>
      <c r="W450" s="70" t="n">
        <f aca="false">W454</f>
        <v>4000</v>
      </c>
      <c r="AA450" s="148" t="str">
        <f aca="false">CONCATENATE("Food production (0 - ",W453," Mt / yr), Your forecast")</f>
        <v> Produção de alimentos (0 - 11.000 toneladas/ano), sua previsão</v>
      </c>
      <c r="AB450" s="29"/>
      <c r="AC450" s="29"/>
      <c r="AD450" s="29"/>
      <c r="AE450" s="29"/>
      <c r="AF450" s="29"/>
      <c r="AG450" s="29"/>
      <c r="AH450" s="29"/>
      <c r="AI450" s="29"/>
      <c r="AJ450" s="29"/>
      <c r="AK450" s="57" t="n">
        <f aca="false">K441/$W453</f>
        <v>0.654545454545455</v>
      </c>
      <c r="AL450" s="57" t="n">
        <f aca="false">L441/$W453</f>
        <v>0.690178363636364</v>
      </c>
      <c r="AM450" s="57" t="n">
        <f aca="false">M441/$W453</f>
        <v>0.754350545454545</v>
      </c>
      <c r="AN450" s="57" t="n">
        <f aca="false">N441/$W453</f>
        <v>0.821142</v>
      </c>
      <c r="AO450" s="57" t="n">
        <f aca="false">O441/$W453</f>
        <v>0.875710181818182</v>
      </c>
      <c r="AP450" s="57" t="n">
        <f aca="false">P441/$W453</f>
        <v>0.905395272727273</v>
      </c>
      <c r="AQ450" s="57" t="n">
        <f aca="false">Q441/$W453</f>
        <v>0.893172</v>
      </c>
      <c r="AR450" s="57" t="n">
        <f aca="false">R441/$W453</f>
        <v>0.880075636363636</v>
      </c>
    </row>
    <row r="451" s="3" customFormat="true" ht="11.25" hidden="false" customHeight="false" outlineLevel="0" collapsed="false">
      <c r="T451" s="13"/>
      <c r="U451" s="15" t="str">
        <f aca="false">AA445</f>
        <v> Rendimento bruto (0 - 8 t / ha-ano)</v>
      </c>
      <c r="V451" s="25" t="n">
        <v>8</v>
      </c>
      <c r="W451" s="70" t="n">
        <f aca="false">W455</f>
        <v>8</v>
      </c>
      <c r="AA451" s="148" t="str">
        <f aca="false">CONCATENATE("Cultivated land (0 - ",W454," Mha), Your forecast")</f>
        <v> Terra cultivada (0 - 4000 Mha), Sua previsão</v>
      </c>
      <c r="AB451" s="29"/>
      <c r="AC451" s="29"/>
      <c r="AD451" s="29"/>
      <c r="AE451" s="29"/>
      <c r="AF451" s="29"/>
      <c r="AG451" s="29"/>
      <c r="AH451" s="29"/>
      <c r="AI451" s="29"/>
      <c r="AJ451" s="29"/>
      <c r="AK451" s="57" t="n">
        <f aca="false">K442/$W454</f>
        <v>0.375</v>
      </c>
      <c r="AL451" s="57" t="n">
        <f aca="false">L442/$W454</f>
        <v>0.37975</v>
      </c>
      <c r="AM451" s="57" t="n">
        <f aca="false">M442/$W454</f>
        <v>0.392</v>
      </c>
      <c r="AN451" s="57" t="n">
        <f aca="false">N442/$W454</f>
        <v>0.40425</v>
      </c>
      <c r="AO451" s="57" t="n">
        <f aca="false">O442/$W454</f>
        <v>0.4165</v>
      </c>
      <c r="AP451" s="57" t="n">
        <f aca="false">P442/$W454</f>
        <v>0.4165</v>
      </c>
      <c r="AQ451" s="57" t="n">
        <f aca="false">Q442/$W454</f>
        <v>0.40425</v>
      </c>
      <c r="AR451" s="57" t="n">
        <f aca="false">R442/$W454</f>
        <v>0.392</v>
      </c>
    </row>
    <row r="452" s="3" customFormat="true" ht="11.25" hidden="false" customHeight="false" outlineLevel="0" collapsed="false">
      <c r="T452" s="13"/>
      <c r="U452" s="15" t="str">
        <f aca="false">AA446</f>
        <v> Alimento por pessoa (0 - 2 t / pessoa - ano)</v>
      </c>
      <c r="V452" s="25" t="n">
        <v>2</v>
      </c>
      <c r="W452" s="70" t="n">
        <f aca="false">W456</f>
        <v>2</v>
      </c>
      <c r="AA452" s="148" t="str">
        <f aca="false">CONCATENATE("Gross yield (0 - ",W455," t / ha-yr), Your forecast")</f>
        <v> Produtividade bruta (0 - 8 t/ha-ano), Sua previsão</v>
      </c>
      <c r="AB452" s="29"/>
      <c r="AC452" s="29"/>
      <c r="AD452" s="29"/>
      <c r="AE452" s="29"/>
      <c r="AF452" s="29"/>
      <c r="AG452" s="29"/>
      <c r="AH452" s="29"/>
      <c r="AI452" s="29"/>
      <c r="AJ452" s="29"/>
      <c r="AK452" s="57" t="n">
        <f aca="false">K443/$W455</f>
        <v>0.6</v>
      </c>
      <c r="AL452" s="57" t="n">
        <f aca="false">L443/$W455</f>
        <v>0.62475</v>
      </c>
      <c r="AM452" s="57" t="n">
        <f aca="false">M443/$W455</f>
        <v>0.6615</v>
      </c>
      <c r="AN452" s="57" t="n">
        <f aca="false">N443/$W455</f>
        <v>0.69825</v>
      </c>
      <c r="AO452" s="57" t="n">
        <f aca="false">O443/$W455</f>
        <v>0.72275</v>
      </c>
      <c r="AP452" s="57" t="n">
        <f aca="false">P443/$W455</f>
        <v>0.74725</v>
      </c>
      <c r="AQ452" s="57" t="n">
        <f aca="false">Q443/$W455</f>
        <v>0.7595</v>
      </c>
      <c r="AR452" s="57" t="n">
        <f aca="false">R443/$W455</f>
        <v>0.77175</v>
      </c>
    </row>
    <row r="453" s="3" customFormat="true" ht="11.25" hidden="false" customHeight="false" outlineLevel="0" collapsed="false">
      <c r="S453" s="131"/>
      <c r="T453" s="13"/>
      <c r="U453" s="37" t="str">
        <f aca="false">AA450</f>
        <v> Produção de alimentos (0 - 11.000 toneladas/ano), sua previsão</v>
      </c>
      <c r="W453" s="4" t="n">
        <v>11000</v>
      </c>
      <c r="AA453" s="148" t="str">
        <f aca="false">CONCATENATE("Food per person (0 - ",W456," t / person - yr), Your forecast")</f>
        <v> Alimentação por pessoa (0 - 2 t/pessoa-ano), Sua previsão</v>
      </c>
      <c r="AB453" s="29"/>
      <c r="AC453" s="29"/>
      <c r="AD453" s="29"/>
      <c r="AE453" s="29"/>
      <c r="AF453" s="29"/>
      <c r="AG453" s="29"/>
      <c r="AH453" s="29"/>
      <c r="AI453" s="29"/>
      <c r="AJ453" s="29"/>
      <c r="AK453" s="57" t="n">
        <f aca="false">K444/$W456</f>
        <v>0.49774813320504</v>
      </c>
      <c r="AL453" s="57" t="n">
        <f aca="false">L444/$W456</f>
        <v>0.505683649450934</v>
      </c>
      <c r="AM453" s="57" t="n">
        <f aca="false">M444/$W456</f>
        <v>0.537130043514294</v>
      </c>
      <c r="AN453" s="57" t="n">
        <f aca="false">N444/$W456</f>
        <v>0.572359441308434</v>
      </c>
      <c r="AO453" s="57" t="n">
        <f aca="false">O444/$W456</f>
        <v>0.601967102354535</v>
      </c>
      <c r="AP453" s="57" t="n">
        <f aca="false">P444/$W456</f>
        <v>0.61864014847362</v>
      </c>
      <c r="AQ453" s="57" t="n">
        <f aca="false">Q444/$W456</f>
        <v>0.611666552427796</v>
      </c>
      <c r="AR453" s="57" t="n">
        <f aca="false">R444/$W456</f>
        <v>0.608969489915266</v>
      </c>
    </row>
    <row r="454" s="3" customFormat="true" ht="11.25" hidden="false" customHeight="false" outlineLevel="0" collapsed="false">
      <c r="T454" s="13"/>
      <c r="U454" s="37" t="str">
        <f aca="false">AA451</f>
        <v> Terra cultivada (0 - 4000 Mha), Sua previsão</v>
      </c>
      <c r="W454" s="4" t="n">
        <v>4000</v>
      </c>
      <c r="AA454" s="148"/>
      <c r="AB454" s="29"/>
      <c r="AC454" s="29"/>
      <c r="AD454" s="29"/>
      <c r="AE454" s="29"/>
      <c r="AF454" s="29"/>
      <c r="AG454" s="29"/>
      <c r="AH454" s="29"/>
      <c r="AI454" s="29"/>
      <c r="AJ454" s="29"/>
      <c r="AK454" s="57"/>
      <c r="AL454" s="57"/>
      <c r="AM454" s="57"/>
      <c r="AN454" s="57"/>
      <c r="AO454" s="57"/>
      <c r="AP454" s="57"/>
      <c r="AQ454" s="57"/>
      <c r="AR454" s="57"/>
    </row>
    <row r="455" s="3" customFormat="true" ht="11.25" hidden="false" customHeight="false" outlineLevel="0" collapsed="false">
      <c r="T455" s="13"/>
      <c r="U455" s="37" t="str">
        <f aca="false">AA452</f>
        <v> Produtividade bruta (0 - 8 t/ha-ano), Sua previsão</v>
      </c>
      <c r="W455" s="4" t="n">
        <v>8</v>
      </c>
      <c r="AA455" s="148"/>
      <c r="AB455" s="29"/>
      <c r="AC455" s="29"/>
      <c r="AD455" s="29"/>
      <c r="AE455" s="29"/>
      <c r="AF455" s="29"/>
      <c r="AG455" s="29"/>
      <c r="AH455" s="29"/>
      <c r="AI455" s="29"/>
      <c r="AJ455" s="29"/>
      <c r="AK455" s="57"/>
      <c r="AL455" s="57"/>
      <c r="AM455" s="57"/>
      <c r="AN455" s="57"/>
      <c r="AO455" s="57"/>
      <c r="AP455" s="57"/>
      <c r="AQ455" s="57"/>
      <c r="AR455" s="57"/>
    </row>
    <row r="456" s="3" customFormat="true" ht="11.25" hidden="false" customHeight="false" outlineLevel="0" collapsed="false">
      <c r="T456" s="13"/>
      <c r="U456" s="37" t="str">
        <f aca="false">AA453</f>
        <v> Alimentação por pessoa (0 - 2 t/pessoa-ano), Sua previsão</v>
      </c>
      <c r="W456" s="4" t="n">
        <v>2</v>
      </c>
    </row>
    <row r="457" s="3" customFormat="true" ht="11.25" hidden="false" customHeight="false" outlineLevel="0" collapsed="false">
      <c r="T457" s="13"/>
    </row>
    <row r="458" s="3" customFormat="true" ht="11.25" hidden="false" customHeight="false" outlineLevel="0" collapsed="false">
      <c r="T458" s="13"/>
    </row>
    <row r="459" s="3" customFormat="true" ht="11.25" hidden="false" customHeight="false" outlineLevel="0" collapsed="false">
      <c r="T459" s="13"/>
    </row>
    <row r="460" s="3" customFormat="true" ht="11.25" hidden="false" customHeight="false" outlineLevel="0" collapsed="false">
      <c r="S460" s="131"/>
      <c r="T460" s="13"/>
    </row>
    <row r="461" s="3" customFormat="true" ht="11.25" hidden="false" customHeight="false" outlineLevel="0" collapsed="false">
      <c r="T461" s="13"/>
    </row>
    <row r="462" s="3" customFormat="true" ht="11.25" hidden="false" customHeight="false" outlineLevel="0" collapsed="false">
      <c r="T462" s="13"/>
    </row>
    <row r="463" customFormat="false" ht="11.25" hidden="false" customHeight="false" outlineLevel="0" collapsed="false">
      <c r="T463" s="13"/>
    </row>
    <row r="464" customFormat="false" ht="11.25" hidden="false" customHeight="false" outlineLevel="0" collapsed="false">
      <c r="T464" s="13"/>
    </row>
    <row r="465" customFormat="false" ht="11.25" hidden="false" customHeight="false" outlineLevel="0" collapsed="false">
      <c r="T465" s="13"/>
    </row>
    <row r="466" customFormat="false" ht="11.25" hidden="false" customHeight="false" outlineLevel="0" collapsed="false">
      <c r="T466" s="13"/>
    </row>
    <row r="467" customFormat="false" ht="11.25" hidden="false" customHeight="false" outlineLevel="0" collapsed="false">
      <c r="T467" s="13"/>
    </row>
    <row r="468" customFormat="false" ht="11.25" hidden="false" customHeight="false" outlineLevel="0" collapsed="false">
      <c r="T468" s="13"/>
    </row>
    <row r="469" s="35" customFormat="true" ht="13.8" hidden="false" customHeight="false" outlineLevel="0" collapsed="false">
      <c r="A469" s="73"/>
      <c r="T469" s="13"/>
    </row>
    <row r="470" s="35" customFormat="true" ht="13.8" hidden="false" customHeight="false" outlineLevel="0" collapsed="false">
      <c r="A470" s="73"/>
      <c r="T470" s="13"/>
    </row>
    <row r="471" customFormat="false" ht="11.25" hidden="false" customHeight="false" outlineLevel="0" collapsed="false">
      <c r="T471" s="13"/>
    </row>
    <row r="472" customFormat="false" ht="11.25" hidden="false" customHeight="false" outlineLevel="0" collapsed="false">
      <c r="T472" s="13"/>
    </row>
    <row r="473" customFormat="false" ht="11.25" hidden="false" customHeight="false" outlineLevel="0" collapsed="false">
      <c r="T473" s="13"/>
    </row>
    <row r="474" customFormat="false" ht="11.25" hidden="false" customHeight="false" outlineLevel="0" collapsed="false">
      <c r="T474" s="13"/>
    </row>
    <row r="475" customFormat="false" ht="12.65" hidden="false" customHeight="false" outlineLevel="0" collapsed="false">
      <c r="A475" s="61" t="s">
        <v>144</v>
      </c>
      <c r="T475" s="13"/>
    </row>
    <row r="476" customFormat="false" ht="12.65" hidden="false" customHeight="false" outlineLevel="0" collapsed="false">
      <c r="A476" s="23" t="str">
        <f aca="false">CONCATENATE(A475,". Non-energy Ecological Footprint - ",A5," 1970 to 2050")</f>
        <v> Gráfico 12. Pegada Ecológica Não Energética - SumWorld 1970 a 2050</v>
      </c>
      <c r="T476" s="13"/>
    </row>
    <row r="477" customFormat="false" ht="11.25" hidden="false" customHeight="false" outlineLevel="0" collapsed="false">
      <c r="B477" s="24" t="n">
        <v>1970</v>
      </c>
      <c r="C477" s="24" t="n">
        <v>1975</v>
      </c>
      <c r="D477" s="24" t="n">
        <v>1980</v>
      </c>
      <c r="E477" s="24" t="n">
        <v>1985</v>
      </c>
      <c r="F477" s="24" t="n">
        <v>1990</v>
      </c>
      <c r="G477" s="24" t="n">
        <v>1995</v>
      </c>
      <c r="H477" s="24" t="n">
        <v>2000</v>
      </c>
      <c r="I477" s="24" t="n">
        <v>2005</v>
      </c>
      <c r="J477" s="24" t="n">
        <v>2010</v>
      </c>
      <c r="K477" s="24" t="n">
        <v>2015</v>
      </c>
      <c r="L477" s="24" t="n">
        <v>2020</v>
      </c>
      <c r="M477" s="24" t="n">
        <v>2025</v>
      </c>
      <c r="N477" s="24" t="n">
        <v>2030</v>
      </c>
      <c r="O477" s="24" t="n">
        <v>2035</v>
      </c>
      <c r="P477" s="24" t="n">
        <v>2040</v>
      </c>
      <c r="Q477" s="24" t="n">
        <v>2045</v>
      </c>
      <c r="R477" s="24" t="n">
        <v>2050</v>
      </c>
      <c r="S477" s="25" t="s">
        <v>15</v>
      </c>
      <c r="T477" s="13"/>
      <c r="U477" s="103" t="s">
        <v>145</v>
      </c>
    </row>
    <row r="478" customFormat="false" ht="11.25" hidden="false" customHeight="false" outlineLevel="0" collapsed="false">
      <c r="A478" s="11" t="s">
        <v>213</v>
      </c>
      <c r="B478" s="27" t="n">
        <f aca="false"> EUA!B457+ China!B457+ OCDE!B456+ BRISE!B457+ LINHA!B457</f>
        <v>11561.291946</v>
      </c>
      <c r="C478" s="27" t="n">
        <f aca="false"> EUA!C457+ China!C457+ OCDE!C456+ BRISE!C457+ LINHA!C457</f>
        <v>11603.580396</v>
      </c>
      <c r="D478" s="27" t="n">
        <f aca="false"> EUA!D457+ China!D457+ OCDE!D456+ BRISE!D457+ LINHA!D457</f>
        <v>11654.066794</v>
      </c>
      <c r="E478" s="27" t="n">
        <f aca="false"> EUA!E457+ China!E457+ OCDE!E456+ BRISE!E457+ LINHA!E457</f>
        <v>11737.170172</v>
      </c>
      <c r="F478" s="27" t="n">
        <f aca="false"> EUA!F457+ China!F457+ OCDE!F456+ BRISE!F457+ LINHA!F457</f>
        <v>11889.667158</v>
      </c>
      <c r="G478" s="27" t="n">
        <f aca="false"> EUA!G457+ China!G457+ OCDE!G456+ BRISE!G457+ LINHA!G457</f>
        <v>11965.021589</v>
      </c>
      <c r="H478" s="27" t="n">
        <f aca="false"> EUA!H457+ China!H457+ OCDE!H456+ BRISE!H457+ LINHA!H457</f>
        <v>11959.059363</v>
      </c>
      <c r="I478" s="27" t="n">
        <f aca="false"> EUA!I457+ China!I457+ OCDE!I456+ BRISE!I457+ LINHA!I457</f>
        <v>11918.743018</v>
      </c>
      <c r="J478" s="27" t="n">
        <f aca="false"> EUA!J457+ China!J457+ OCDE!J456+ BRISE!J457+ LINHA!J457</f>
        <v>11894.590143</v>
      </c>
      <c r="K478" s="27" t="n">
        <f aca="false"> EUA!K457+ China!K457+ OCDE!K456+ BRISE!K457+ LINHA!K457</f>
        <v>12000</v>
      </c>
      <c r="L478" s="27" t="n">
        <f aca="false"> EUA!L457+ China!L457+ OCDE!L456+ BRISE!L457+ LINHA!L457</f>
        <v>12000</v>
      </c>
      <c r="M478" s="27" t="n">
        <f aca="false"> EUA!M457+ China!M457+ OCDE!M456+ BRISE!M457+ LINHA!M457</f>
        <v>12000</v>
      </c>
      <c r="N478" s="27" t="n">
        <f aca="false"> EUA!N457+ China!N457+ OCDE!N456+ BRISE!N457+ LINHA!N457</f>
        <v>12000</v>
      </c>
      <c r="O478" s="27" t="n">
        <f aca="false"> EUA!O457+ China!O457+ OCDE!O456+ BRISE!O457+ LINHA!O457</f>
        <v>11900</v>
      </c>
      <c r="P478" s="27" t="n">
        <f aca="false"> EUA!P457+ China!P457+ OCDE!P456+ BRISE!P457+ LINHA!P457</f>
        <v>11700</v>
      </c>
      <c r="Q478" s="27" t="n">
        <f aca="false"> EUA!Q457+ China!Q457+ OCDE!Q456+ BRISE!Q457+ LINHA!Q457</f>
        <v>11400</v>
      </c>
      <c r="R478" s="27" t="n">
        <f aca="false"> EUA!R457+ China!R457+ OCDE!R456+ BRISE!R457+ LINHA!R457</f>
        <v>10800</v>
      </c>
      <c r="S478" s="28" t="s">
        <v>147</v>
      </c>
      <c r="T478" s="13"/>
      <c r="U478" s="103" t="s">
        <v>85</v>
      </c>
    </row>
    <row r="479" customFormat="false" ht="11.25" hidden="false" customHeight="false" outlineLevel="0" collapsed="false">
      <c r="A479" s="11" t="s">
        <v>148</v>
      </c>
      <c r="B479" s="47"/>
      <c r="C479" s="75" t="n">
        <f aca="false">(C478-B478)/B478*100/5</f>
        <v>0.0731552324731858</v>
      </c>
      <c r="D479" s="75" t="n">
        <f aca="false">(D478-C478)/C478*100/5</f>
        <v>0.087018655065126</v>
      </c>
      <c r="E479" s="75" t="n">
        <f aca="false">(E478-D478)/D478*100/5</f>
        <v>0.142616958472877</v>
      </c>
      <c r="F479" s="75" t="n">
        <f aca="false">(F478-E478)/E478*100/5</f>
        <v>0.259853071507462</v>
      </c>
      <c r="G479" s="75" t="n">
        <f aca="false">(G478-F478)/F478*100/5</f>
        <v>0.126756165666581</v>
      </c>
      <c r="H479" s="75" t="n">
        <f aca="false">(H478-G478)/G478*100/5</f>
        <v>-0.00996609317525875</v>
      </c>
      <c r="I479" s="75" t="n">
        <f aca="false">(I478-H478)/H478*100/5</f>
        <v>-0.0674239399207827</v>
      </c>
      <c r="J479" s="75" t="n">
        <f aca="false">(J478-I478)/I478*100/5</f>
        <v>-0.040529231922399</v>
      </c>
      <c r="K479" s="75" t="n">
        <f aca="false">(K478-J478)/J478*100/5</f>
        <v>0.177239998575374</v>
      </c>
      <c r="L479" s="75" t="n">
        <f aca="false">(L478-K478)/K478*100/5</f>
        <v>0</v>
      </c>
      <c r="M479" s="75" t="n">
        <f aca="false">(M478-L478)/L478*100/5</f>
        <v>0</v>
      </c>
      <c r="N479" s="75" t="n">
        <f aca="false">(N478-M478)/M478*100/5</f>
        <v>0</v>
      </c>
      <c r="O479" s="75" t="n">
        <f aca="false">(O478-N478)/N478*100/5</f>
        <v>-0.166666666666667</v>
      </c>
      <c r="P479" s="75" t="n">
        <f aca="false">(P478-O478)/O478*100/5</f>
        <v>-0.336134453781513</v>
      </c>
      <c r="Q479" s="75" t="n">
        <f aca="false">(Q478-P478)/P478*100/5</f>
        <v>-0.512820512820513</v>
      </c>
      <c r="R479" s="75" t="n">
        <f aca="false">(R478-Q478)/Q478*100/5</f>
        <v>-1.05263157894737</v>
      </c>
      <c r="S479" s="28" t="s">
        <v>25</v>
      </c>
      <c r="T479" s="13"/>
    </row>
    <row r="480" customFormat="false" ht="11.25" hidden="false" customHeight="false" outlineLevel="0" collapsed="false">
      <c r="A480" s="11" t="s">
        <v>149</v>
      </c>
      <c r="B480" s="27" t="n">
        <f aca="false"> EUA!B459+ China!B459+ OCDE!B458+ BRISE!B459+ LINHA!B459</f>
        <v>6954.20684</v>
      </c>
      <c r="C480" s="27" t="n">
        <f aca="false"> EUA!C459+ China!C459+ OCDE!C458+ BRISE!C459+ LINHA!C459</f>
        <v>7164.568815</v>
      </c>
      <c r="D480" s="27" t="n">
        <f aca="false"> EUA!D459+ China!D459+ OCDE!D458+ BRISE!D459+ LINHA!D459</f>
        <v>7364.782426</v>
      </c>
      <c r="E480" s="27" t="n">
        <f aca="false"> EUA!E459+ China!E459+ OCDE!E458+ BRISE!E459+ LINHA!E459</f>
        <v>7396.135743</v>
      </c>
      <c r="F480" s="27" t="n">
        <f aca="false"> EUA!F459+ China!F459+ OCDE!F458+ BRISE!F459+ LINHA!F459</f>
        <v>7852.364578</v>
      </c>
      <c r="G480" s="27" t="n">
        <f aca="false"> EUA!G459+ China!G459+ OCDE!G458+ BRISE!G459+ LINHA!G459</f>
        <v>8003.925788</v>
      </c>
      <c r="H480" s="27" t="n">
        <f aca="false"> EUA!H459+ China!H459+ OCDE!H458+ BRISE!H459+ LINHA!H459</f>
        <v>8128.739934</v>
      </c>
      <c r="I480" s="27" t="n">
        <f aca="false"> EUA!I459+ China!I459+ OCDE!I458+ BRISE!I459+ LINHA!I459</f>
        <v>8352.798429</v>
      </c>
      <c r="J480" s="27" t="n">
        <f aca="false"> EUA!J459+ China!J459+ OCDE!J458+ BRISE!J459+ LINHA!J459</f>
        <v>8360.207138</v>
      </c>
      <c r="K480" s="27" t="n">
        <f aca="false"> EUA!K459+ China!K459+ OCDE!K458+ BRISE!K459+ LINHA!K459</f>
        <v>8556.12699677707</v>
      </c>
      <c r="L480" s="27" t="n">
        <f aca="false"> EUA!L459+ China!L459+ OCDE!L458+ BRISE!L459+ LINHA!L459</f>
        <v>8693.82188138423</v>
      </c>
      <c r="M480" s="27" t="n">
        <f aca="false"> EUA!M459+ China!M459+ OCDE!M458+ BRISE!M459+ LINHA!M459</f>
        <v>8777.91227976915</v>
      </c>
      <c r="N480" s="27" t="n">
        <f aca="false"> EUA!N459+ China!N459+ OCDE!N458+ BRISE!N459+ LINHA!N459</f>
        <v>8814.93803374665</v>
      </c>
      <c r="O480" s="27" t="n">
        <f aca="false"> EUA!O459+ China!O459+ OCDE!O458+ BRISE!O459+ LINHA!O459</f>
        <v>8807.00472905345</v>
      </c>
      <c r="P480" s="27" t="n">
        <f aca="false"> EUA!P459+ China!P459+ OCDE!P458+ BRISE!P459+ LINHA!P459</f>
        <v>8748.63248102763</v>
      </c>
      <c r="Q480" s="27" t="n">
        <f aca="false"> EUA!Q459+ China!Q459+ OCDE!Q458+ BRISE!Q459+ LINHA!Q459</f>
        <v>8639.82484347459</v>
      </c>
      <c r="R480" s="27" t="n">
        <f aca="false"> EUA!R459+ China!R459+ OCDE!R458+ BRISE!R459+ LINHA!R459</f>
        <v>8483.57124210935</v>
      </c>
      <c r="S480" s="28" t="s">
        <v>147</v>
      </c>
      <c r="T480" s="13"/>
    </row>
    <row r="481" customFormat="false" ht="11.25" hidden="false" customHeight="false" outlineLevel="0" collapsed="false">
      <c r="A481" s="117" t="s">
        <v>150</v>
      </c>
      <c r="B481" s="32" t="n">
        <f aca="false">B480/B9</f>
        <v>1.88145463033378</v>
      </c>
      <c r="C481" s="32" t="n">
        <f aca="false">C480/C9</f>
        <v>1.75756428649366</v>
      </c>
      <c r="D481" s="32" t="n">
        <f aca="false">D480/D9</f>
        <v>1.65388952576109</v>
      </c>
      <c r="E481" s="32" t="n">
        <f aca="false">E480/E9</f>
        <v>1.52080913164804</v>
      </c>
      <c r="F481" s="32" t="n">
        <f aca="false">F480/F9</f>
        <v>1.47978428982097</v>
      </c>
      <c r="G481" s="32" t="n">
        <f aca="false">G480/G9</f>
        <v>1.39776306013504</v>
      </c>
      <c r="H481" s="32" t="n">
        <f aca="false">H480/H9</f>
        <v>1.32762452973452</v>
      </c>
      <c r="I481" s="32" t="n">
        <f aca="false">I480/I9</f>
        <v>1.2837327177702</v>
      </c>
      <c r="J481" s="32" t="n">
        <f aca="false">J480/J9</f>
        <v>1.2123465322858</v>
      </c>
      <c r="K481" s="32" t="n">
        <f aca="false">K480/K9</f>
        <v>1.18300057659515</v>
      </c>
      <c r="L481" s="32" t="n">
        <f aca="false">L480/L9</f>
        <v>1.15729144429712</v>
      </c>
      <c r="M481" s="32" t="n">
        <f aca="false">M480/M9</f>
        <v>1.13489427018298</v>
      </c>
      <c r="N481" s="32" t="n">
        <f aca="false">N480/N9</f>
        <v>1.11513676530466</v>
      </c>
      <c r="O481" s="32" t="n">
        <f aca="false">O480/O9</f>
        <v>1.09839577690635</v>
      </c>
      <c r="P481" s="32" t="n">
        <f aca="false">P480/P9</f>
        <v>1.08438509256613</v>
      </c>
      <c r="Q481" s="32" t="n">
        <f aca="false">Q480/Q9</f>
        <v>1.07330525829714</v>
      </c>
      <c r="R481" s="32" t="n">
        <f aca="false">R480/R9</f>
        <v>1.06502053684056</v>
      </c>
      <c r="S481" s="28" t="s">
        <v>151</v>
      </c>
      <c r="T481" s="13"/>
      <c r="Y481" s="142"/>
      <c r="Z481" s="142"/>
    </row>
    <row r="482" customFormat="false" ht="11.25" hidden="false" customHeight="false" outlineLevel="0" collapsed="false">
      <c r="A482" s="117" t="s">
        <v>152</v>
      </c>
      <c r="C482" s="75" t="n">
        <f aca="false">(C481-B481)/B481*100/5</f>
        <v>-1.31696339462771</v>
      </c>
      <c r="D482" s="75" t="n">
        <f aca="false">(D481-C481)/C481*100/5</f>
        <v>-1.17975497714967</v>
      </c>
      <c r="E482" s="75" t="n">
        <f aca="false">(E481-D481)/D481*100/5</f>
        <v>-1.60930209714954</v>
      </c>
      <c r="F482" s="75" t="n">
        <f aca="false">(F481-E481)/E481*100/5</f>
        <v>-0.539513354744476</v>
      </c>
      <c r="G482" s="75" t="n">
        <f aca="false">(G481-F481)/F481*100/5</f>
        <v>-1.10855656800959</v>
      </c>
      <c r="H482" s="75" t="n">
        <f aca="false">(H481-G481)/G481*100/5</f>
        <v>-1.00358254415096</v>
      </c>
      <c r="I482" s="75" t="n">
        <f aca="false">(I481-H481)/H481*100/5</f>
        <v>-0.661208210322692</v>
      </c>
      <c r="J482" s="75" t="n">
        <f aca="false">(J481-I481)/I481*100/5</f>
        <v>-1.11216586593512</v>
      </c>
      <c r="K482" s="75" t="n">
        <f aca="false">(K481-J481)/J481*100/5</f>
        <v>-0.484118276567537</v>
      </c>
      <c r="L482" s="75" t="n">
        <f aca="false">(L481-K481)/K481*100/5</f>
        <v>-0.434642768679409</v>
      </c>
      <c r="M482" s="75" t="n">
        <f aca="false">(M481-L481)/L481*100/5</f>
        <v>-0.387061949252388</v>
      </c>
      <c r="N482" s="75" t="n">
        <f aca="false">(N481-M481)/M481*100/5</f>
        <v>-0.348182300279621</v>
      </c>
      <c r="O482" s="75" t="n">
        <f aca="false">(O481-N481)/N481*100/5</f>
        <v>-0.300249958914075</v>
      </c>
      <c r="P482" s="75" t="n">
        <f aca="false">(P481-O481)/O481*100/5</f>
        <v>-0.255111766355835</v>
      </c>
      <c r="Q482" s="75" t="n">
        <f aca="false">(Q481-P481)/P481*100/5</f>
        <v>-0.204352390030786</v>
      </c>
      <c r="R482" s="75" t="n">
        <f aca="false">(R481-Q481)/Q481*100/5</f>
        <v>-0.15437772977522</v>
      </c>
      <c r="S482" s="28" t="s">
        <v>25</v>
      </c>
      <c r="T482" s="13"/>
    </row>
    <row r="483" customFormat="false" ht="11.25" hidden="false" customHeight="false" outlineLevel="0" collapsed="false">
      <c r="A483" s="117" t="s">
        <v>153</v>
      </c>
      <c r="B483" s="27" t="n">
        <f aca="false">B478-B480</f>
        <v>4607.085106</v>
      </c>
      <c r="C483" s="27" t="n">
        <f aca="false">C478-C480</f>
        <v>4439.011581</v>
      </c>
      <c r="D483" s="27" t="n">
        <f aca="false">D478-D480</f>
        <v>4289.284368</v>
      </c>
      <c r="E483" s="27" t="n">
        <f aca="false">E478-E480</f>
        <v>4341.034429</v>
      </c>
      <c r="F483" s="27" t="n">
        <f aca="false">F478-F480</f>
        <v>4037.30258</v>
      </c>
      <c r="G483" s="27" t="n">
        <f aca="false">G478-G480</f>
        <v>3961.095801</v>
      </c>
      <c r="H483" s="27" t="n">
        <f aca="false">H478-H480</f>
        <v>3830.319429</v>
      </c>
      <c r="I483" s="27" t="n">
        <f aca="false">I478-I480</f>
        <v>3565.944589</v>
      </c>
      <c r="J483" s="27" t="n">
        <f aca="false">J478-J480</f>
        <v>3534.383005</v>
      </c>
      <c r="K483" s="27" t="n">
        <f aca="false">K478-K480</f>
        <v>3443.87300322293</v>
      </c>
      <c r="L483" s="27" t="n">
        <f aca="false">L478-L480</f>
        <v>3306.17811861577</v>
      </c>
      <c r="M483" s="27" t="n">
        <f aca="false">M478-M480</f>
        <v>3222.08772023085</v>
      </c>
      <c r="N483" s="27" t="n">
        <f aca="false">N478-N480</f>
        <v>3185.06196625335</v>
      </c>
      <c r="O483" s="27" t="n">
        <f aca="false">O478-O480</f>
        <v>3092.99527094655</v>
      </c>
      <c r="P483" s="27" t="n">
        <f aca="false">P478-P480</f>
        <v>2951.36751897237</v>
      </c>
      <c r="Q483" s="27" t="n">
        <f aca="false">Q478-Q480</f>
        <v>2760.17515652541</v>
      </c>
      <c r="R483" s="27" t="n">
        <f aca="false">R478-R480</f>
        <v>2316.42875789065</v>
      </c>
      <c r="S483" s="28" t="s">
        <v>147</v>
      </c>
      <c r="T483" s="13"/>
    </row>
    <row r="484" customFormat="false" ht="11.25" hidden="false" customHeight="false" outlineLevel="0" collapsed="false">
      <c r="A484" s="117" t="s">
        <v>154</v>
      </c>
      <c r="B484" s="32" t="n">
        <f aca="false">B483/B9</f>
        <v>1.24644288046881</v>
      </c>
      <c r="C484" s="32" t="n">
        <f aca="false">C483/C9</f>
        <v>1.0889487453541</v>
      </c>
      <c r="D484" s="32" t="n">
        <f aca="false">D483/D9</f>
        <v>0.963233138320816</v>
      </c>
      <c r="E484" s="32" t="n">
        <f aca="false">E483/E9</f>
        <v>0.892612714236624</v>
      </c>
      <c r="F484" s="32" t="n">
        <f aca="false">F483/F9</f>
        <v>0.760832851275904</v>
      </c>
      <c r="G484" s="32" t="n">
        <f aca="false">G483/G9</f>
        <v>0.691744718147533</v>
      </c>
      <c r="H484" s="32" t="n">
        <f aca="false">H483/H9</f>
        <v>0.625586016030502</v>
      </c>
      <c r="I484" s="32" t="n">
        <f aca="false">I483/I9</f>
        <v>0.54804623594909</v>
      </c>
      <c r="J484" s="32" t="n">
        <f aca="false">J483/J9</f>
        <v>0.512534786417585</v>
      </c>
      <c r="K484" s="32" t="n">
        <f aca="false">K483/K9</f>
        <v>0.476162140892468</v>
      </c>
      <c r="L484" s="32" t="n">
        <f aca="false">L483/L9</f>
        <v>0.440106975068043</v>
      </c>
      <c r="M484" s="32" t="n">
        <f aca="false">M483/M9</f>
        <v>0.416582984104863</v>
      </c>
      <c r="N484" s="32" t="n">
        <f aca="false">N483/N9</f>
        <v>0.402927358620698</v>
      </c>
      <c r="O484" s="32" t="n">
        <f aca="false">O483/O9</f>
        <v>0.385753505092545</v>
      </c>
      <c r="P484" s="32" t="n">
        <f aca="false">P483/P9</f>
        <v>0.365819337730551</v>
      </c>
      <c r="Q484" s="32" t="n">
        <f aca="false">Q483/Q9</f>
        <v>0.342890112125059</v>
      </c>
      <c r="R484" s="32" t="n">
        <f aca="false">R483/R9</f>
        <v>0.29080255577228</v>
      </c>
      <c r="S484" s="28" t="s">
        <v>151</v>
      </c>
      <c r="T484" s="13"/>
    </row>
    <row r="485" customFormat="false" ht="12.65" hidden="false" customHeight="false" outlineLevel="0" collapsed="false">
      <c r="A485" s="108" t="s">
        <v>7</v>
      </c>
      <c r="T485" s="13"/>
    </row>
    <row r="486" customFormat="false" ht="11.25" hidden="false" customHeight="false" outlineLevel="0" collapsed="false">
      <c r="A486" s="117"/>
      <c r="B486" s="24" t="n">
        <v>1970</v>
      </c>
      <c r="C486" s="24" t="n">
        <v>1975</v>
      </c>
      <c r="D486" s="24" t="n">
        <v>1980</v>
      </c>
      <c r="E486" s="24" t="n">
        <v>1985</v>
      </c>
      <c r="F486" s="24" t="n">
        <v>1990</v>
      </c>
      <c r="G486" s="24" t="n">
        <v>1995</v>
      </c>
      <c r="H486" s="24" t="n">
        <v>2000</v>
      </c>
      <c r="I486" s="24" t="n">
        <v>2005</v>
      </c>
      <c r="J486" s="24" t="n">
        <v>2010</v>
      </c>
      <c r="K486" s="24" t="n">
        <v>2015</v>
      </c>
      <c r="L486" s="24" t="n">
        <v>2020</v>
      </c>
      <c r="M486" s="24" t="n">
        <v>2025</v>
      </c>
      <c r="N486" s="24" t="n">
        <v>2030</v>
      </c>
      <c r="O486" s="24" t="n">
        <v>2035</v>
      </c>
      <c r="P486" s="24" t="n">
        <v>2040</v>
      </c>
      <c r="Q486" s="24" t="n">
        <v>2045</v>
      </c>
      <c r="R486" s="24" t="n">
        <v>2050</v>
      </c>
      <c r="S486" s="25" t="s">
        <v>15</v>
      </c>
      <c r="T486" s="13"/>
    </row>
    <row r="487" s="3" customFormat="true" ht="11.25" hidden="false" customHeight="false" outlineLevel="0" collapsed="false">
      <c r="G487" s="8"/>
      <c r="H487" s="8"/>
      <c r="I487" s="8"/>
      <c r="J487" s="146" t="str">
        <f aca="false">CONCATENATE(A478,", Your forecast")</f>
        <v> Biocapacidade total, SumWorld, Sua previsão</v>
      </c>
      <c r="K487" s="84" t="n">
        <f aca="false"> EUA!K466+ China!K466+ OCDE!K465+ BRISE!K466+ LINHA!K466</f>
        <v>12000</v>
      </c>
      <c r="L487" s="84" t="n">
        <f aca="false"> EUA!L466+ China!L466+ OCDE!L465+ BRISE!L466+ LINHA!L466</f>
        <v>11760</v>
      </c>
      <c r="M487" s="84" t="n">
        <f aca="false"> EUA!M466+ China!M466+ OCDE!M465+ BRISE!M466+ LINHA!M466</f>
        <v>11760</v>
      </c>
      <c r="N487" s="84" t="n">
        <f aca="false"> EUA!N466+ China!N466+ OCDE!N465+ BRISE!N466+ LINHA!N466</f>
        <v>11760</v>
      </c>
      <c r="O487" s="84" t="n">
        <f aca="false"> EUA!O466+ China!O466+ OCDE!O465+ BRISE!O466+ LINHA!O466</f>
        <v>11662</v>
      </c>
      <c r="P487" s="84" t="n">
        <f aca="false"> EUA!P466+ China!P466+ OCDE!P465+ BRISE!P466+ LINHA!P466</f>
        <v>11466</v>
      </c>
      <c r="Q487" s="84" t="n">
        <f aca="false"> EUA!Q466+ China!Q466+ OCDE!Q465+ BRISE!Q466+ LINHA!Q466</f>
        <v>11172</v>
      </c>
      <c r="R487" s="84" t="n">
        <f aca="false"> EUA!R466+ China!R466+ OCDE!R465+ BRISE!R466+ LINHA!R466</f>
        <v>10584</v>
      </c>
      <c r="S487" s="28" t="s">
        <v>147</v>
      </c>
      <c r="T487" s="13"/>
    </row>
    <row r="488" s="3" customFormat="true" ht="11.25" hidden="false" customHeight="false" outlineLevel="0" collapsed="false">
      <c r="F488" s="8"/>
      <c r="G488" s="8"/>
      <c r="H488" s="8"/>
      <c r="I488" s="8"/>
      <c r="J488" s="146" t="str">
        <f aca="false">CONCATENATE(A479,", Your forecast")</f>
        <v> Crescimento da capacidade biológica total, sua previsão</v>
      </c>
      <c r="K488" s="137" t="n">
        <f aca="false">(K487-J478)/J478*100/5</f>
        <v>0.177239998575374</v>
      </c>
      <c r="L488" s="137" t="n">
        <f aca="false">(L487-K487)/K487*100/5</f>
        <v>-0.4</v>
      </c>
      <c r="M488" s="137" t="n">
        <f aca="false">(M487-L487)/L487*100/5</f>
        <v>0</v>
      </c>
      <c r="N488" s="137" t="n">
        <f aca="false">(N487-M487)/M487*100/5</f>
        <v>0</v>
      </c>
      <c r="O488" s="137" t="n">
        <f aca="false">(O487-N487)/N487*100/5</f>
        <v>-0.166666666666667</v>
      </c>
      <c r="P488" s="137" t="n">
        <f aca="false">(P487-O487)/O487*100/5</f>
        <v>-0.336134453781513</v>
      </c>
      <c r="Q488" s="137" t="n">
        <f aca="false">(Q487-P487)/P487*100/5</f>
        <v>-0.512820512820513</v>
      </c>
      <c r="R488" s="137" t="n">
        <f aca="false">(R487-Q487)/Q487*100/5</f>
        <v>-1.05263157894737</v>
      </c>
      <c r="S488" s="28" t="s">
        <v>25</v>
      </c>
      <c r="T488" s="13"/>
    </row>
    <row r="489" s="3" customFormat="true" ht="11.25" hidden="false" customHeight="false" outlineLevel="0" collapsed="false">
      <c r="G489" s="8"/>
      <c r="H489" s="8"/>
      <c r="I489" s="8"/>
      <c r="J489" s="146" t="str">
        <f aca="false">CONCATENATE(A480,", Your forecast")</f>
        <v> Pegada não energética, sua previsão</v>
      </c>
      <c r="K489" s="84" t="n">
        <f aca="false"> EUA!K468+ China!K468+ OCDE!K467+ BRISE!K468+ LINHA!K468</f>
        <v>8556.15063012445</v>
      </c>
      <c r="L489" s="84" t="n">
        <f aca="false"> EUA!L468+ China!L468+ OCDE!L467+ BRISE!L468+ LINHA!L468</f>
        <v>8691.19525812351</v>
      </c>
      <c r="M489" s="84" t="n">
        <f aca="false"> EUA!M468+ China!M468+ OCDE!M467+ BRISE!M468+ LINHA!M468</f>
        <v>8773.54691977624</v>
      </c>
      <c r="N489" s="84" t="n">
        <f aca="false"> EUA!N468+ China!N468+ OCDE!N467+ BRISE!N468+ LINHA!N468</f>
        <v>8809.61924729894</v>
      </c>
      <c r="O489" s="84" t="n">
        <f aca="false"> EUA!O468+ China!O468+ OCDE!O467+ BRISE!O468+ LINHA!O468</f>
        <v>8801.60432871697</v>
      </c>
      <c r="P489" s="84" t="n">
        <f aca="false"> EUA!P468+ China!P468+ OCDE!P467+ BRISE!P468+ LINHA!P468</f>
        <v>8744.12290098586</v>
      </c>
      <c r="Q489" s="84" t="n">
        <f aca="false"> EUA!Q468+ China!Q468+ OCDE!Q467+ BRISE!Q468+ LINHA!Q468</f>
        <v>8637.17700007184</v>
      </c>
      <c r="R489" s="84" t="n">
        <f aca="false"> EUA!R468+ China!R468+ OCDE!R467+ BRISE!R468+ LINHA!R468</f>
        <v>8483.68430257719</v>
      </c>
      <c r="S489" s="28" t="s">
        <v>147</v>
      </c>
      <c r="T489" s="13"/>
    </row>
    <row r="490" s="3" customFormat="true" ht="11.25" hidden="false" customHeight="false" outlineLevel="0" collapsed="false">
      <c r="E490" s="8"/>
      <c r="F490" s="8"/>
      <c r="G490" s="8"/>
      <c r="H490" s="8"/>
      <c r="I490" s="8"/>
      <c r="J490" s="146" t="str">
        <f aca="false">CONCATENATE(A481,", Your forecast")</f>
        <v>Pegada não energética por pessoa (NEFPP), sua previsão</v>
      </c>
      <c r="K490" s="43" t="n">
        <f aca="false">K489/K17</f>
        <v>1.18300222321266</v>
      </c>
      <c r="L490" s="43" t="n">
        <f aca="false">L489/L17</f>
        <v>1.15780224827747</v>
      </c>
      <c r="M490" s="43" t="n">
        <f aca="false">M489/M17</f>
        <v>1.1358441599358</v>
      </c>
      <c r="N490" s="43" t="n">
        <f aca="false">N489/N17</f>
        <v>1.11646479714704</v>
      </c>
      <c r="O490" s="43" t="n">
        <f aca="false">O489/O17</f>
        <v>1.10004768157603</v>
      </c>
      <c r="P490" s="43" t="n">
        <f aca="false">P489/P17</f>
        <v>1.08630916195266</v>
      </c>
      <c r="Q490" s="43" t="n">
        <f aca="false">Q489/Q17</f>
        <v>1.07544638217755</v>
      </c>
      <c r="R490" s="43" t="n">
        <f aca="false">R489/R17</f>
        <v>1.06732663108761</v>
      </c>
      <c r="S490" s="28" t="s">
        <v>151</v>
      </c>
      <c r="T490" s="13"/>
    </row>
    <row r="491" s="3" customFormat="true" ht="11.25" hidden="false" customHeight="false" outlineLevel="0" collapsed="false">
      <c r="G491" s="8"/>
      <c r="H491" s="8"/>
      <c r="I491" s="8"/>
      <c r="J491" s="146" t="str">
        <f aca="false">CONCATENATE(A482,", Your forecast")</f>
        <v> Taxa de variação do NEFPP, sua previsão</v>
      </c>
      <c r="K491" s="137" t="n">
        <f aca="false">(K490-J481)/J481*100/5</f>
        <v>-0.484091112428212</v>
      </c>
      <c r="L491" s="137" t="n">
        <f aca="false">(L490-K490)/K490*100/5</f>
        <v>-0.426034278562157</v>
      </c>
      <c r="M491" s="137" t="n">
        <f aca="false">(M490-L490)/L490*100/5</f>
        <v>-0.37930636901659</v>
      </c>
      <c r="N491" s="137" t="n">
        <f aca="false">(N490-M490)/M490*100/5</f>
        <v>-0.341232775979608</v>
      </c>
      <c r="O491" s="137" t="n">
        <f aca="false">(O490-N490)/N490*100/5</f>
        <v>-0.294091056215358</v>
      </c>
      <c r="P491" s="137" t="n">
        <f aca="false">(P490-O490)/O490*100/5</f>
        <v>-0.249780438674875</v>
      </c>
      <c r="Q491" s="137" t="n">
        <f aca="false">(Q490-P490)/P490*100/5</f>
        <v>-0.199994258643372</v>
      </c>
      <c r="R491" s="137" t="n">
        <f aca="false">(R490-Q490)/Q490*100/5</f>
        <v>-0.151002434421702</v>
      </c>
      <c r="S491" s="28" t="s">
        <v>25</v>
      </c>
      <c r="T491" s="13"/>
    </row>
    <row r="492" s="3" customFormat="true" ht="11.25" hidden="false" customHeight="false" outlineLevel="0" collapsed="false">
      <c r="G492" s="8"/>
      <c r="H492" s="8"/>
      <c r="I492" s="8"/>
      <c r="J492" s="146" t="str">
        <f aca="false">CONCATENATE(A483,", Your forecast")</f>
        <v> Biocapacidade não utilizada, Sua previsão</v>
      </c>
      <c r="K492" s="84" t="n">
        <f aca="false">K487-K489</f>
        <v>3443.84936987555</v>
      </c>
      <c r="L492" s="84" t="n">
        <f aca="false">L487-L489</f>
        <v>3068.80474187649</v>
      </c>
      <c r="M492" s="84" t="n">
        <f aca="false">M487-M489</f>
        <v>2986.45308022376</v>
      </c>
      <c r="N492" s="84" t="n">
        <f aca="false">N487-N489</f>
        <v>2950.38075270107</v>
      </c>
      <c r="O492" s="84" t="n">
        <f aca="false">O487-O489</f>
        <v>2860.39567128303</v>
      </c>
      <c r="P492" s="84" t="n">
        <f aca="false">P487-P489</f>
        <v>2721.87709901414</v>
      </c>
      <c r="Q492" s="84" t="n">
        <f aca="false">Q487-Q489</f>
        <v>2534.82299992816</v>
      </c>
      <c r="R492" s="84" t="n">
        <f aca="false">R487-R489</f>
        <v>2100.31569742281</v>
      </c>
      <c r="S492" s="28" t="s">
        <v>147</v>
      </c>
      <c r="T492" s="13"/>
    </row>
    <row r="493" s="3" customFormat="true" ht="11.25" hidden="false" customHeight="false" outlineLevel="0" collapsed="false">
      <c r="F493" s="8"/>
      <c r="G493" s="8"/>
      <c r="H493" s="8"/>
      <c r="I493" s="8"/>
      <c r="J493" s="146" t="str">
        <f aca="false">CONCATENATE(A484,", Your forecast")</f>
        <v> Biocapacidade não utilizada por pessoa, sua previsão</v>
      </c>
      <c r="K493" s="43" t="n">
        <f aca="false">K492/K17</f>
        <v>0.476158220804142</v>
      </c>
      <c r="L493" s="43" t="n">
        <f aca="false">L492/L17</f>
        <v>0.408812473330197</v>
      </c>
      <c r="M493" s="43" t="n">
        <f aca="false">M492/M17</f>
        <v>0.386633287667076</v>
      </c>
      <c r="N493" s="43" t="n">
        <f aca="false">N492/N17</f>
        <v>0.373909036940602</v>
      </c>
      <c r="O493" s="43" t="n">
        <f aca="false">O492/O17</f>
        <v>0.357499781752141</v>
      </c>
      <c r="P493" s="43" t="n">
        <f aca="false">P492/P17</f>
        <v>0.33814712622976</v>
      </c>
      <c r="Q493" s="43" t="n">
        <f aca="false">Q492/Q17</f>
        <v>0.315620048623586</v>
      </c>
      <c r="R493" s="43" t="n">
        <f aca="false">R492/R17</f>
        <v>0.264239308960345</v>
      </c>
      <c r="S493" s="28" t="str">
        <f aca="false">S484</f>
        <v> gha / pessoa</v>
      </c>
      <c r="T493" s="13"/>
      <c r="X493" s="15" t="s">
        <v>33</v>
      </c>
    </row>
    <row r="494" customFormat="false" ht="11.25" hidden="false" customHeight="false" outlineLevel="0" collapsed="false">
      <c r="A494" s="117"/>
      <c r="T494" s="13"/>
      <c r="V494" s="3" t="s">
        <v>35</v>
      </c>
      <c r="AA494" s="52" t="s">
        <v>36</v>
      </c>
    </row>
    <row r="495" customFormat="false" ht="28.3" hidden="false" customHeight="false" outlineLevel="0" collapsed="false">
      <c r="T495" s="13"/>
      <c r="U495" s="53" t="s">
        <v>37</v>
      </c>
      <c r="V495" s="54" t="s">
        <v>38</v>
      </c>
      <c r="W495" s="54" t="s">
        <v>39</v>
      </c>
      <c r="X495" s="55"/>
      <c r="Y495" s="55"/>
      <c r="AA495" s="16"/>
      <c r="AB495" s="24" t="n">
        <v>1970</v>
      </c>
      <c r="AC495" s="24" t="n">
        <v>1975</v>
      </c>
      <c r="AD495" s="24" t="n">
        <v>1980</v>
      </c>
      <c r="AE495" s="24" t="n">
        <v>1985</v>
      </c>
      <c r="AF495" s="24" t="n">
        <v>1990</v>
      </c>
      <c r="AG495" s="24" t="n">
        <v>1995</v>
      </c>
      <c r="AH495" s="24" t="n">
        <v>2000</v>
      </c>
      <c r="AI495" s="24" t="n">
        <v>2005</v>
      </c>
      <c r="AJ495" s="24" t="n">
        <v>2010</v>
      </c>
      <c r="AK495" s="24" t="n">
        <v>2015</v>
      </c>
      <c r="AL495" s="24" t="n">
        <v>2020</v>
      </c>
      <c r="AM495" s="24" t="n">
        <v>2025</v>
      </c>
      <c r="AN495" s="24" t="n">
        <v>2030</v>
      </c>
      <c r="AO495" s="24" t="n">
        <v>2035</v>
      </c>
      <c r="AP495" s="24" t="n">
        <v>2040</v>
      </c>
      <c r="AQ495" s="24" t="n">
        <v>2045</v>
      </c>
      <c r="AR495" s="24" t="n">
        <v>2050</v>
      </c>
    </row>
    <row r="496" customFormat="false" ht="11.25" hidden="false" customHeight="false" outlineLevel="0" collapsed="false">
      <c r="T496" s="13"/>
      <c r="U496" s="15" t="str">
        <f aca="false">AA496</f>
        <v> Biocapacidade total, SumWorld (0 - 12500 Mgha)</v>
      </c>
      <c r="V496" s="25" t="n">
        <v>12500</v>
      </c>
      <c r="W496" s="70" t="n">
        <f aca="false">W503</f>
        <v>12500</v>
      </c>
      <c r="AA496" s="152" t="str">
        <f aca="false">CONCATENATE(A478," (0 - ",W496," Mgha)")</f>
        <v> Biocapacidade total, SumWorld (0 - 12500 Mgha)</v>
      </c>
      <c r="AB496" s="57" t="n">
        <f aca="false">B478/$W496</f>
        <v>0.92490335568</v>
      </c>
      <c r="AC496" s="57" t="n">
        <f aca="false">C478/$W496</f>
        <v>0.92828643168</v>
      </c>
      <c r="AD496" s="57" t="n">
        <f aca="false">D478/$W496</f>
        <v>0.93232534352</v>
      </c>
      <c r="AE496" s="57" t="n">
        <f aca="false">E478/$W496</f>
        <v>0.93897361376</v>
      </c>
      <c r="AF496" s="57" t="n">
        <f aca="false">F478/$W496</f>
        <v>0.95117337264</v>
      </c>
      <c r="AG496" s="57" t="n">
        <f aca="false">G478/$W496</f>
        <v>0.95720172712</v>
      </c>
      <c r="AH496" s="57" t="n">
        <f aca="false">H478/$W496</f>
        <v>0.95672474904</v>
      </c>
      <c r="AI496" s="57" t="n">
        <f aca="false">I478/$W496</f>
        <v>0.95349944144</v>
      </c>
      <c r="AJ496" s="57" t="n">
        <f aca="false">J478/$W496</f>
        <v>0.95156721144</v>
      </c>
      <c r="AK496" s="57" t="n">
        <f aca="false">K478/$W496</f>
        <v>0.96</v>
      </c>
      <c r="AL496" s="57" t="n">
        <f aca="false">L478/$W496</f>
        <v>0.96</v>
      </c>
      <c r="AM496" s="57" t="n">
        <f aca="false">M478/$W496</f>
        <v>0.96</v>
      </c>
      <c r="AN496" s="57" t="n">
        <f aca="false">N478/$W496</f>
        <v>0.96</v>
      </c>
      <c r="AO496" s="57" t="n">
        <f aca="false">O478/$W496</f>
        <v>0.952</v>
      </c>
      <c r="AP496" s="57" t="n">
        <f aca="false">P478/$W496</f>
        <v>0.936</v>
      </c>
      <c r="AQ496" s="57" t="n">
        <f aca="false">Q478/$W496</f>
        <v>0.912</v>
      </c>
      <c r="AR496" s="57" t="n">
        <f aca="false">R478/$W496</f>
        <v>0.864</v>
      </c>
    </row>
    <row r="497" customFormat="false" ht="11.25" hidden="false" customHeight="false" outlineLevel="0" collapsed="false">
      <c r="T497" s="13"/>
      <c r="U497" s="15" t="str">
        <f aca="false">AA497</f>
        <v> Crescimento da biocapacidade total (0 - 1 % / ano)</v>
      </c>
      <c r="V497" s="25" t="n">
        <v>1</v>
      </c>
      <c r="W497" s="70" t="n">
        <f aca="false">W504</f>
        <v>1</v>
      </c>
      <c r="AA497" s="152" t="str">
        <f aca="false">CONCATENATE(A479," (0 - ",W497," % / yr)")</f>
        <v> Crescimento da biocapacidade total (0 - 1 % / ano)</v>
      </c>
      <c r="AB497" s="57" t="n">
        <f aca="false">B479/$W497</f>
        <v>0</v>
      </c>
      <c r="AC497" s="57" t="n">
        <f aca="false">C479/$W497</f>
        <v>0.0731552324731858</v>
      </c>
      <c r="AD497" s="57" t="n">
        <f aca="false">D479/$W497</f>
        <v>0.087018655065126</v>
      </c>
      <c r="AE497" s="57" t="n">
        <f aca="false">E479/$W497</f>
        <v>0.142616958472877</v>
      </c>
      <c r="AF497" s="57" t="n">
        <f aca="false">F479/$W497</f>
        <v>0.259853071507462</v>
      </c>
      <c r="AG497" s="57" t="n">
        <f aca="false">G479/$W497</f>
        <v>0.126756165666581</v>
      </c>
      <c r="AH497" s="57" t="n">
        <f aca="false">H479/$W497</f>
        <v>-0.00996609317525875</v>
      </c>
      <c r="AI497" s="57" t="n">
        <f aca="false">I479/$W497</f>
        <v>-0.0674239399207827</v>
      </c>
      <c r="AJ497" s="57" t="n">
        <f aca="false">J479/$W497</f>
        <v>-0.040529231922399</v>
      </c>
      <c r="AK497" s="57" t="n">
        <f aca="false">K479/$W497</f>
        <v>0.177239998575374</v>
      </c>
      <c r="AL497" s="57" t="n">
        <f aca="false">L479/$W497</f>
        <v>0</v>
      </c>
      <c r="AM497" s="57" t="n">
        <f aca="false">M479/$W497</f>
        <v>0</v>
      </c>
      <c r="AN497" s="57" t="n">
        <f aca="false">N479/$W497</f>
        <v>0</v>
      </c>
      <c r="AO497" s="57" t="n">
        <f aca="false">O479/$W497</f>
        <v>-0.166666666666667</v>
      </c>
      <c r="AP497" s="57" t="n">
        <f aca="false">P479/$W497</f>
        <v>-0.336134453781513</v>
      </c>
      <c r="AQ497" s="57" t="n">
        <f aca="false">Q479/$W497</f>
        <v>-0.512820512820513</v>
      </c>
      <c r="AR497" s="57" t="n">
        <f aca="false">R479/$W497</f>
        <v>-1.05263157894737</v>
      </c>
    </row>
    <row r="498" customFormat="false" ht="11.25" hidden="false" customHeight="false" outlineLevel="0" collapsed="false">
      <c r="T498" s="13"/>
      <c r="U498" s="15" t="str">
        <f aca="false">AA498</f>
        <v> Pegada não energética (0 - 12500 Mgha)</v>
      </c>
      <c r="V498" s="25" t="n">
        <f aca="false">V496</f>
        <v>12500</v>
      </c>
      <c r="W498" s="70" t="n">
        <f aca="false">W505</f>
        <v>12500</v>
      </c>
      <c r="AA498" s="152" t="str">
        <f aca="false">CONCATENATE(A480," (0 - ",W498," Mgha)")</f>
        <v> Pegada não energética (0 - 12500 Mgha)</v>
      </c>
      <c r="AB498" s="57" t="n">
        <f aca="false">B480/$W498</f>
        <v>0.5563365472</v>
      </c>
      <c r="AC498" s="57" t="n">
        <f aca="false">C480/$W498</f>
        <v>0.5731655052</v>
      </c>
      <c r="AD498" s="57" t="n">
        <f aca="false">D480/$W498</f>
        <v>0.58918259408</v>
      </c>
      <c r="AE498" s="57" t="n">
        <f aca="false">E480/$W498</f>
        <v>0.59169085944</v>
      </c>
      <c r="AF498" s="57" t="n">
        <f aca="false">F480/$W498</f>
        <v>0.62818916624</v>
      </c>
      <c r="AG498" s="57" t="n">
        <f aca="false">G480/$W498</f>
        <v>0.64031406304</v>
      </c>
      <c r="AH498" s="57" t="n">
        <f aca="false">H480/$W498</f>
        <v>0.65029919472</v>
      </c>
      <c r="AI498" s="57" t="n">
        <f aca="false">I480/$W498</f>
        <v>0.66822387432</v>
      </c>
      <c r="AJ498" s="57" t="n">
        <f aca="false">J480/$W498</f>
        <v>0.66881657104</v>
      </c>
      <c r="AK498" s="57" t="n">
        <f aca="false">K480/$W498</f>
        <v>0.684490159742165</v>
      </c>
      <c r="AL498" s="57" t="n">
        <f aca="false">L480/$W498</f>
        <v>0.695505750510739</v>
      </c>
      <c r="AM498" s="57" t="n">
        <f aca="false">M480/$W498</f>
        <v>0.702232982381532</v>
      </c>
      <c r="AN498" s="57" t="n">
        <f aca="false">N480/$W498</f>
        <v>0.705195042699732</v>
      </c>
      <c r="AO498" s="57" t="n">
        <f aca="false">O480/$W498</f>
        <v>0.704560378324276</v>
      </c>
      <c r="AP498" s="57" t="n">
        <f aca="false">P480/$W498</f>
        <v>0.69989059848221</v>
      </c>
      <c r="AQ498" s="57" t="n">
        <f aca="false">Q480/$W498</f>
        <v>0.691185987477967</v>
      </c>
      <c r="AR498" s="57" t="n">
        <f aca="false">R480/$W498</f>
        <v>0.678685699368748</v>
      </c>
    </row>
    <row r="499" customFormat="false" ht="11.25" hidden="false" customHeight="false" outlineLevel="0" collapsed="false">
      <c r="S499" s="131"/>
      <c r="T499" s="13"/>
      <c r="U499" s="15" t="str">
        <f aca="false">AA499</f>
        <v> Pegada de carbono não energética por pessoa (NEFPP) (0 - 2,2 gha/pessoa)</v>
      </c>
      <c r="V499" s="25" t="n">
        <v>2.2</v>
      </c>
      <c r="W499" s="70" t="n">
        <f aca="false">W506</f>
        <v>2.2</v>
      </c>
      <c r="AA499" s="152" t="str">
        <f aca="false">CONCATENATE(A481," (0 - ",W499," gha / person)")</f>
        <v> Pegada de carbono não energética por pessoa (NEFPP) (0 - 2,2 gha/pessoa)</v>
      </c>
      <c r="AB499" s="57" t="n">
        <f aca="false">B481/$W499</f>
        <v>0.855206650151717</v>
      </c>
      <c r="AC499" s="57" t="n">
        <f aca="false">C481/$W499</f>
        <v>0.798892857497118</v>
      </c>
      <c r="AD499" s="57" t="n">
        <f aca="false">D481/$W499</f>
        <v>0.75176796625504</v>
      </c>
      <c r="AE499" s="57" t="n">
        <f aca="false">E481/$W499</f>
        <v>0.691276878021836</v>
      </c>
      <c r="AF499" s="57" t="n">
        <f aca="false">F481/$W499</f>
        <v>0.672629222645894</v>
      </c>
      <c r="AG499" s="57" t="n">
        <f aca="false">G481/$W499</f>
        <v>0.635346845515929</v>
      </c>
      <c r="AH499" s="57" t="n">
        <f aca="false">H481/$W499</f>
        <v>0.603465695333871</v>
      </c>
      <c r="AI499" s="57" t="n">
        <f aca="false">I481/$W499</f>
        <v>0.583514871713729</v>
      </c>
      <c r="AJ499" s="57" t="n">
        <f aca="false">J481/$W499</f>
        <v>0.551066605584453</v>
      </c>
      <c r="AK499" s="57" t="n">
        <f aca="false">K481/$W499</f>
        <v>0.537727534815979</v>
      </c>
      <c r="AL499" s="57" t="n">
        <f aca="false">L481/$W499</f>
        <v>0.526041565589601</v>
      </c>
      <c r="AM499" s="57" t="n">
        <f aca="false">M481/$W499</f>
        <v>0.515861031901356</v>
      </c>
      <c r="AN499" s="57" t="n">
        <f aca="false">N481/$W499</f>
        <v>0.506880347865755</v>
      </c>
      <c r="AO499" s="57" t="n">
        <f aca="false">O481/$W499</f>
        <v>0.499270807684702</v>
      </c>
      <c r="AP499" s="57" t="n">
        <f aca="false">P481/$W499</f>
        <v>0.492902314802785</v>
      </c>
      <c r="AQ499" s="57" t="n">
        <f aca="false">Q481/$W499</f>
        <v>0.487866026498702</v>
      </c>
      <c r="AR499" s="57" t="n">
        <f aca="false">R481/$W499</f>
        <v>0.484100244018436</v>
      </c>
    </row>
    <row r="500" customFormat="false" ht="11.25" hidden="false" customHeight="false" outlineLevel="0" collapsed="false">
      <c r="T500" s="13"/>
      <c r="U500" s="15" t="str">
        <f aca="false">AA500</f>
        <v> Taxa de variação do NEFPP (0 - 1 % / ano)</v>
      </c>
      <c r="V500" s="25" t="n">
        <v>1</v>
      </c>
      <c r="W500" s="70" t="n">
        <f aca="false">W507</f>
        <v>1</v>
      </c>
      <c r="AA500" s="152" t="str">
        <f aca="false">CONCATENATE(A482," (0 - ",W500," % / yr)")</f>
        <v> Taxa de variação do NEFPP (0 - 1 % / ano)</v>
      </c>
      <c r="AB500" s="57" t="n">
        <f aca="false">B482/$W500</f>
        <v>0</v>
      </c>
      <c r="AC500" s="57" t="n">
        <f aca="false">C482/$W500</f>
        <v>-1.31696339462771</v>
      </c>
      <c r="AD500" s="57" t="n">
        <f aca="false">D482/$W500</f>
        <v>-1.17975497714967</v>
      </c>
      <c r="AE500" s="57" t="n">
        <f aca="false">E482/$W500</f>
        <v>-1.60930209714954</v>
      </c>
      <c r="AF500" s="57" t="n">
        <f aca="false">F482/$W500</f>
        <v>-0.539513354744476</v>
      </c>
      <c r="AG500" s="57" t="n">
        <f aca="false">G482/$W500</f>
        <v>-1.10855656800959</v>
      </c>
      <c r="AH500" s="57" t="n">
        <f aca="false">H482/$W500</f>
        <v>-1.00358254415096</v>
      </c>
      <c r="AI500" s="57" t="n">
        <f aca="false">I482/$W500</f>
        <v>-0.661208210322692</v>
      </c>
      <c r="AJ500" s="57" t="n">
        <f aca="false">J482/$W500</f>
        <v>-1.11216586593512</v>
      </c>
      <c r="AK500" s="57" t="n">
        <f aca="false">K482/$W500</f>
        <v>-0.484118276567537</v>
      </c>
      <c r="AL500" s="57" t="n">
        <f aca="false">L482/$W500</f>
        <v>-0.434642768679409</v>
      </c>
      <c r="AM500" s="57" t="n">
        <f aca="false">M482/$W500</f>
        <v>-0.387061949252388</v>
      </c>
      <c r="AN500" s="57" t="n">
        <f aca="false">N482/$W500</f>
        <v>-0.348182300279621</v>
      </c>
      <c r="AO500" s="57" t="n">
        <f aca="false">O482/$W500</f>
        <v>-0.300249958914075</v>
      </c>
      <c r="AP500" s="57" t="n">
        <f aca="false">P482/$W500</f>
        <v>-0.255111766355835</v>
      </c>
      <c r="AQ500" s="57" t="n">
        <f aca="false">Q482/$W500</f>
        <v>-0.204352390030786</v>
      </c>
      <c r="AR500" s="57" t="n">
        <f aca="false">R482/$W500</f>
        <v>-0.15437772977522</v>
      </c>
    </row>
    <row r="501" s="3" customFormat="true" ht="11.25" hidden="false" customHeight="false" outlineLevel="0" collapsed="false">
      <c r="T501" s="13"/>
      <c r="U501" s="15" t="str">
        <f aca="false">AA501</f>
        <v> Biocapacidade não utilizada (0 - 12500 Mgha)</v>
      </c>
      <c r="V501" s="25" t="n">
        <f aca="false">V496</f>
        <v>12500</v>
      </c>
      <c r="W501" s="70" t="n">
        <f aca="false">W508</f>
        <v>12500</v>
      </c>
      <c r="AA501" s="152" t="str">
        <f aca="false">CONCATENATE(A483," (0 - ",W501," Mgha)")</f>
        <v> Biocapacidade não utilizada (0 - 12500 Mgha)</v>
      </c>
      <c r="AB501" s="57" t="n">
        <f aca="false">B483/$W501</f>
        <v>0.36856680848</v>
      </c>
      <c r="AC501" s="57" t="n">
        <f aca="false">C483/$W501</f>
        <v>0.35512092648</v>
      </c>
      <c r="AD501" s="57" t="n">
        <f aca="false">D483/$W501</f>
        <v>0.34314274944</v>
      </c>
      <c r="AE501" s="57" t="n">
        <f aca="false">E483/$W501</f>
        <v>0.34728275432</v>
      </c>
      <c r="AF501" s="57" t="n">
        <f aca="false">F483/$W501</f>
        <v>0.3229842064</v>
      </c>
      <c r="AG501" s="57" t="n">
        <f aca="false">G483/$W501</f>
        <v>0.31688766408</v>
      </c>
      <c r="AH501" s="57" t="n">
        <f aca="false">H483/$W501</f>
        <v>0.30642555432</v>
      </c>
      <c r="AI501" s="57" t="n">
        <f aca="false">I483/$W501</f>
        <v>0.28527556712</v>
      </c>
      <c r="AJ501" s="57" t="n">
        <f aca="false">J483/$W501</f>
        <v>0.2827506404</v>
      </c>
      <c r="AK501" s="57" t="n">
        <f aca="false">K483/$W501</f>
        <v>0.275509840257835</v>
      </c>
      <c r="AL501" s="57" t="n">
        <f aca="false">L483/$W501</f>
        <v>0.264494249489261</v>
      </c>
      <c r="AM501" s="57" t="n">
        <f aca="false">M483/$W501</f>
        <v>0.257767017618468</v>
      </c>
      <c r="AN501" s="57" t="n">
        <f aca="false">N483/$W501</f>
        <v>0.254804957300268</v>
      </c>
      <c r="AO501" s="57" t="n">
        <f aca="false">O483/$W501</f>
        <v>0.247439621675724</v>
      </c>
      <c r="AP501" s="57" t="n">
        <f aca="false">P483/$W501</f>
        <v>0.23610940151779</v>
      </c>
      <c r="AQ501" s="57" t="n">
        <f aca="false">Q483/$W501</f>
        <v>0.220814012522033</v>
      </c>
      <c r="AR501" s="57" t="n">
        <f aca="false">R483/$W501</f>
        <v>0.185314300631252</v>
      </c>
    </row>
    <row r="502" s="3" customFormat="true" ht="11.25" hidden="false" customHeight="false" outlineLevel="0" collapsed="false">
      <c r="S502" s="29" t="s">
        <v>50</v>
      </c>
      <c r="T502" s="13"/>
      <c r="U502" s="148" t="str">
        <f aca="false">AA502</f>
        <v> Biocapacidade não utilizada por pessoa (0 - 2,5 gha / pessoa)</v>
      </c>
      <c r="V502" s="25" t="n">
        <v>2.5</v>
      </c>
      <c r="W502" s="70" t="n">
        <f aca="false">W509</f>
        <v>2.5</v>
      </c>
      <c r="AA502" s="152" t="str">
        <f aca="false">CONCATENATE(A484," (0 - ",W502," gha / person)")</f>
        <v> Biocapacidade não utilizada por pessoa (0 - 2,5 gha / pessoa)</v>
      </c>
      <c r="AB502" s="57" t="n">
        <f aca="false">B484/$W502</f>
        <v>0.498577152187523</v>
      </c>
      <c r="AC502" s="57" t="n">
        <f aca="false">C484/$W502</f>
        <v>0.43557949814164</v>
      </c>
      <c r="AD502" s="57" t="n">
        <f aca="false">D484/$W502</f>
        <v>0.385293255328326</v>
      </c>
      <c r="AE502" s="57" t="n">
        <f aca="false">E484/$W502</f>
        <v>0.357045085694649</v>
      </c>
      <c r="AF502" s="57" t="n">
        <f aca="false">F484/$W502</f>
        <v>0.304333140510362</v>
      </c>
      <c r="AG502" s="57" t="n">
        <f aca="false">G484/$W502</f>
        <v>0.276697887259013</v>
      </c>
      <c r="AH502" s="57" t="n">
        <f aca="false">H484/$W502</f>
        <v>0.250234406412201</v>
      </c>
      <c r="AI502" s="57" t="n">
        <f aca="false">I484/$W502</f>
        <v>0.219218494379636</v>
      </c>
      <c r="AJ502" s="57" t="n">
        <f aca="false">J484/$W502</f>
        <v>0.205013914567034</v>
      </c>
      <c r="AK502" s="57" t="n">
        <f aca="false">K484/$W502</f>
        <v>0.190464856356987</v>
      </c>
      <c r="AL502" s="57" t="n">
        <f aca="false">L484/$W502</f>
        <v>0.176042790027217</v>
      </c>
      <c r="AM502" s="57" t="n">
        <f aca="false">M484/$W502</f>
        <v>0.166633193641945</v>
      </c>
      <c r="AN502" s="57" t="n">
        <f aca="false">N484/$W502</f>
        <v>0.161170943448279</v>
      </c>
      <c r="AO502" s="57" t="n">
        <f aca="false">O484/$W502</f>
        <v>0.154301402037018</v>
      </c>
      <c r="AP502" s="57" t="n">
        <f aca="false">P484/$W502</f>
        <v>0.14632773509222</v>
      </c>
      <c r="AQ502" s="57" t="n">
        <f aca="false">Q484/$W502</f>
        <v>0.137156044850023</v>
      </c>
      <c r="AR502" s="57" t="n">
        <f aca="false">R484/$W502</f>
        <v>0.116321022308912</v>
      </c>
    </row>
    <row r="503" s="3" customFormat="true" ht="11.25" hidden="false" customHeight="false" outlineLevel="0" collapsed="false">
      <c r="S503" s="29"/>
      <c r="T503" s="13"/>
      <c r="U503" s="37" t="str">
        <f aca="false">AA504</f>
        <v> Biocapacidade total, SumWorld (0 - 12500 Mgha), Sua previsão</v>
      </c>
      <c r="W503" s="4" t="n">
        <v>12500</v>
      </c>
      <c r="AA503" s="153"/>
      <c r="AB503" s="24" t="n">
        <v>1970</v>
      </c>
      <c r="AC503" s="24" t="n">
        <v>1975</v>
      </c>
      <c r="AD503" s="24" t="n">
        <v>1980</v>
      </c>
      <c r="AE503" s="24" t="n">
        <v>1985</v>
      </c>
      <c r="AF503" s="24" t="n">
        <v>1990</v>
      </c>
      <c r="AG503" s="24" t="n">
        <v>1995</v>
      </c>
      <c r="AH503" s="24" t="n">
        <v>2000</v>
      </c>
      <c r="AI503" s="24" t="n">
        <v>2005</v>
      </c>
      <c r="AJ503" s="24" t="n">
        <v>2010</v>
      </c>
      <c r="AK503" s="24" t="n">
        <v>2015</v>
      </c>
      <c r="AL503" s="24" t="n">
        <v>2020</v>
      </c>
      <c r="AM503" s="24" t="n">
        <v>2025</v>
      </c>
      <c r="AN503" s="24" t="n">
        <v>2030</v>
      </c>
      <c r="AO503" s="24" t="n">
        <v>2035</v>
      </c>
      <c r="AP503" s="24" t="n">
        <v>2040</v>
      </c>
      <c r="AQ503" s="24" t="n">
        <v>2045</v>
      </c>
      <c r="AR503" s="24" t="n">
        <v>2050</v>
      </c>
    </row>
    <row r="504" s="3" customFormat="true" ht="11.25" hidden="false" customHeight="false" outlineLevel="0" collapsed="false">
      <c r="S504" s="29"/>
      <c r="T504" s="13"/>
      <c r="U504" s="37" t="str">
        <f aca="false">AA505</f>
        <v>Crescimento da biocapacidade total (0 - 1% ao ano), sua previsão</v>
      </c>
      <c r="W504" s="4" t="n">
        <v>1</v>
      </c>
      <c r="AA504" s="152" t="str">
        <f aca="false">CONCATENATE(A478," (0 - ",W503," Mgha), Your forecast")</f>
        <v> Biocapacidade total, SumWorld (0 - 12500 Mgha), Sua previsão</v>
      </c>
      <c r="AB504" s="29"/>
      <c r="AC504" s="29"/>
      <c r="AD504" s="29"/>
      <c r="AE504" s="29"/>
      <c r="AF504" s="29"/>
      <c r="AG504" s="29"/>
      <c r="AH504" s="29"/>
      <c r="AI504" s="29"/>
      <c r="AJ504" s="29"/>
      <c r="AK504" s="57" t="n">
        <f aca="false">K487/$W503</f>
        <v>0.96</v>
      </c>
      <c r="AL504" s="57" t="n">
        <f aca="false">L487/$W503</f>
        <v>0.9408</v>
      </c>
      <c r="AM504" s="57" t="n">
        <f aca="false">M487/$W503</f>
        <v>0.9408</v>
      </c>
      <c r="AN504" s="57" t="n">
        <f aca="false">N487/$W503</f>
        <v>0.9408</v>
      </c>
      <c r="AO504" s="57" t="n">
        <f aca="false">O487/$W503</f>
        <v>0.93296</v>
      </c>
      <c r="AP504" s="57" t="n">
        <f aca="false">P487/$W503</f>
        <v>0.91728</v>
      </c>
      <c r="AQ504" s="57" t="n">
        <f aca="false">Q487/$W503</f>
        <v>0.89376</v>
      </c>
      <c r="AR504" s="57" t="n">
        <f aca="false">R487/$W503</f>
        <v>0.84672</v>
      </c>
    </row>
    <row r="505" s="3" customFormat="true" ht="11.25" hidden="false" customHeight="false" outlineLevel="0" collapsed="false">
      <c r="S505" s="29"/>
      <c r="T505" s="13"/>
      <c r="U505" s="37" t="str">
        <f aca="false">AA506</f>
        <v> Pegada não energética (0 - 12500 Mgha), Sua previsão</v>
      </c>
      <c r="W505" s="93" t="n">
        <f aca="false">W503</f>
        <v>12500</v>
      </c>
      <c r="AA505" s="152" t="str">
        <f aca="false">CONCATENATE(A479," (0 - ",W504," % / yr), Your forecast")</f>
        <v> Crescimento da biocapacidade total (0 - 1% ao ano), sua previsão</v>
      </c>
      <c r="AB505" s="29"/>
      <c r="AC505" s="29"/>
      <c r="AD505" s="29"/>
      <c r="AE505" s="29"/>
      <c r="AF505" s="29"/>
      <c r="AG505" s="29"/>
      <c r="AH505" s="29"/>
      <c r="AI505" s="29"/>
      <c r="AJ505" s="29"/>
      <c r="AK505" s="57" t="n">
        <f aca="false">K488/$W504</f>
        <v>0.177239998575374</v>
      </c>
      <c r="AL505" s="57" t="n">
        <f aca="false">L488/$W504</f>
        <v>-0.4</v>
      </c>
      <c r="AM505" s="57" t="n">
        <f aca="false">M488/$W504</f>
        <v>0</v>
      </c>
      <c r="AN505" s="57" t="n">
        <f aca="false">N488/$W504</f>
        <v>0</v>
      </c>
      <c r="AO505" s="57" t="n">
        <f aca="false">O488/$W504</f>
        <v>-0.166666666666667</v>
      </c>
      <c r="AP505" s="57" t="n">
        <f aca="false">P488/$W504</f>
        <v>-0.336134453781513</v>
      </c>
      <c r="AQ505" s="57" t="n">
        <f aca="false">Q488/$W504</f>
        <v>-0.512820512820513</v>
      </c>
      <c r="AR505" s="57" t="n">
        <f aca="false">R488/$W504</f>
        <v>-1.05263157894737</v>
      </c>
    </row>
    <row r="506" s="3" customFormat="true" ht="11.25" hidden="false" customHeight="false" outlineLevel="0" collapsed="false">
      <c r="S506" s="29"/>
      <c r="T506" s="13"/>
      <c r="U506" s="37" t="str">
        <f aca="false">AA507</f>
        <v> Pegada de carbono não energética por pessoa (NEFPP) (0 - 2,2 gha/pessoa), sua previsão</v>
      </c>
      <c r="W506" s="4" t="n">
        <v>2.2</v>
      </c>
      <c r="AA506" s="152" t="str">
        <f aca="false">CONCATENATE(A480," (0 - ",W505," Mgha), Your forecast")</f>
        <v> Pegada não energética (0 - 12500 Mgha), Sua previsão</v>
      </c>
      <c r="AB506" s="29"/>
      <c r="AC506" s="29"/>
      <c r="AD506" s="29"/>
      <c r="AE506" s="29"/>
      <c r="AF506" s="29"/>
      <c r="AG506" s="29"/>
      <c r="AH506" s="29"/>
      <c r="AI506" s="29"/>
      <c r="AJ506" s="29"/>
      <c r="AK506" s="57" t="n">
        <f aca="false">K489/$W505</f>
        <v>0.684492050409956</v>
      </c>
      <c r="AL506" s="57" t="n">
        <f aca="false">L489/$W505</f>
        <v>0.695295620649881</v>
      </c>
      <c r="AM506" s="57" t="n">
        <f aca="false">M489/$W505</f>
        <v>0.701883753582099</v>
      </c>
      <c r="AN506" s="57" t="n">
        <f aca="false">N489/$W505</f>
        <v>0.704769539783915</v>
      </c>
      <c r="AO506" s="57" t="n">
        <f aca="false">O489/$W505</f>
        <v>0.704128346297358</v>
      </c>
      <c r="AP506" s="57" t="n">
        <f aca="false">P489/$W505</f>
        <v>0.699529832078869</v>
      </c>
      <c r="AQ506" s="57" t="n">
        <f aca="false">Q489/$W505</f>
        <v>0.690974160005747</v>
      </c>
      <c r="AR506" s="57" t="n">
        <f aca="false">R489/$W505</f>
        <v>0.678694744206175</v>
      </c>
    </row>
    <row r="507" s="3" customFormat="true" ht="11.25" hidden="false" customHeight="false" outlineLevel="0" collapsed="false">
      <c r="S507" s="29"/>
      <c r="T507" s="13"/>
      <c r="U507" s="37" t="str">
        <f aca="false">AA508</f>
        <v> Taxa de variação do NEFPP (0 - 1 % / ano), Sua previsão</v>
      </c>
      <c r="W507" s="4" t="n">
        <v>1</v>
      </c>
      <c r="AA507" s="152" t="str">
        <f aca="false">CONCATENATE(A481," (0 - ",W506," gha / person), Your forecast")</f>
        <v> Pegada de carbono não energética por pessoa (NEFPP) (0 - 2,2 gha/pessoa), sua previsão</v>
      </c>
      <c r="AB507" s="29"/>
      <c r="AC507" s="29"/>
      <c r="AD507" s="29"/>
      <c r="AE507" s="29"/>
      <c r="AF507" s="29"/>
      <c r="AG507" s="29"/>
      <c r="AH507" s="29"/>
      <c r="AI507" s="29"/>
      <c r="AJ507" s="29"/>
      <c r="AK507" s="57" t="n">
        <f aca="false">K490/$W506</f>
        <v>0.537728283278482</v>
      </c>
      <c r="AL507" s="57" t="n">
        <f aca="false">L490/$W506</f>
        <v>0.526273749217031</v>
      </c>
      <c r="AM507" s="57" t="n">
        <f aca="false">M490/$W506</f>
        <v>0.516292799970818</v>
      </c>
      <c r="AN507" s="57" t="n">
        <f aca="false">N490/$W506</f>
        <v>0.507483998703202</v>
      </c>
      <c r="AO507" s="57" t="n">
        <f aca="false">O490/$W506</f>
        <v>0.500021673443651</v>
      </c>
      <c r="AP507" s="57" t="n">
        <f aca="false">P490/$W506</f>
        <v>0.493776891796666</v>
      </c>
      <c r="AQ507" s="57" t="n">
        <f aca="false">Q490/$W506</f>
        <v>0.488839264626161</v>
      </c>
      <c r="AR507" s="57" t="n">
        <f aca="false">R490/$W506</f>
        <v>0.485148468676187</v>
      </c>
    </row>
    <row r="508" s="3" customFormat="true" ht="11.25" hidden="false" customHeight="false" outlineLevel="0" collapsed="false">
      <c r="S508" s="29"/>
      <c r="T508" s="13"/>
      <c r="U508" s="37" t="str">
        <f aca="false">AA509</f>
        <v> Biocapacidade não utilizada (0 - 12500 Mgha), Sua previsão</v>
      </c>
      <c r="W508" s="93" t="n">
        <f aca="false">W503</f>
        <v>12500</v>
      </c>
      <c r="AA508" s="152" t="str">
        <f aca="false">CONCATENATE(A482," (0 - ",W507," % / yr), Your forecast")</f>
        <v> Taxa de variação do NEFPP (0 - 1 % / ano), Sua previsão</v>
      </c>
      <c r="AB508" s="29"/>
      <c r="AC508" s="29"/>
      <c r="AD508" s="29"/>
      <c r="AE508" s="29"/>
      <c r="AF508" s="29"/>
      <c r="AG508" s="29"/>
      <c r="AH508" s="29"/>
      <c r="AI508" s="29"/>
      <c r="AJ508" s="29"/>
      <c r="AK508" s="57" t="n">
        <f aca="false">K491/$W507</f>
        <v>-0.484091112428212</v>
      </c>
      <c r="AL508" s="57" t="n">
        <f aca="false">L491/$W507</f>
        <v>-0.426034278562157</v>
      </c>
      <c r="AM508" s="57" t="n">
        <f aca="false">M491/$W507</f>
        <v>-0.37930636901659</v>
      </c>
      <c r="AN508" s="57" t="n">
        <f aca="false">N491/$W507</f>
        <v>-0.341232775979608</v>
      </c>
      <c r="AO508" s="57" t="n">
        <f aca="false">O491/$W507</f>
        <v>-0.294091056215358</v>
      </c>
      <c r="AP508" s="57" t="n">
        <f aca="false">P491/$W507</f>
        <v>-0.249780438674875</v>
      </c>
      <c r="AQ508" s="57" t="n">
        <f aca="false">Q491/$W507</f>
        <v>-0.199994258643372</v>
      </c>
      <c r="AR508" s="57" t="n">
        <f aca="false">R491/$W507</f>
        <v>-0.151002434421702</v>
      </c>
    </row>
    <row r="509" s="3" customFormat="true" ht="11.25" hidden="false" customHeight="false" outlineLevel="0" collapsed="false">
      <c r="S509" s="29"/>
      <c r="T509" s="13"/>
      <c r="U509" s="37" t="str">
        <f aca="false">AA510</f>
        <v> Biocapacidade não utilizada por pessoa (0 - 2,5 gha/pessoa), Sua previsão</v>
      </c>
      <c r="W509" s="4" t="n">
        <v>2.5</v>
      </c>
      <c r="AA509" s="152" t="str">
        <f aca="false">CONCATENATE(A483," (0 - ",W508," Mgha), Your forecast")</f>
        <v> Biocapacidade não utilizada (0 - 12500 Mgha), Sua previsão</v>
      </c>
      <c r="AB509" s="29"/>
      <c r="AC509" s="29"/>
      <c r="AD509" s="29"/>
      <c r="AE509" s="29"/>
      <c r="AF509" s="29"/>
      <c r="AG509" s="29"/>
      <c r="AH509" s="29"/>
      <c r="AI509" s="29"/>
      <c r="AJ509" s="29"/>
      <c r="AK509" s="57" t="n">
        <f aca="false">K492/$W508</f>
        <v>0.275507949590044</v>
      </c>
      <c r="AL509" s="57" t="n">
        <f aca="false">L492/$W508</f>
        <v>0.245504379350119</v>
      </c>
      <c r="AM509" s="57" t="n">
        <f aca="false">M492/$W508</f>
        <v>0.238916246417901</v>
      </c>
      <c r="AN509" s="57" t="n">
        <f aca="false">N492/$W508</f>
        <v>0.236030460216085</v>
      </c>
      <c r="AO509" s="57" t="n">
        <f aca="false">O492/$W508</f>
        <v>0.228831653702643</v>
      </c>
      <c r="AP509" s="57" t="n">
        <f aca="false">P492/$W508</f>
        <v>0.217750167921131</v>
      </c>
      <c r="AQ509" s="57" t="n">
        <f aca="false">Q492/$W508</f>
        <v>0.202785839994253</v>
      </c>
      <c r="AR509" s="57" t="n">
        <f aca="false">R492/$W508</f>
        <v>0.168025255793825</v>
      </c>
    </row>
    <row r="510" s="3" customFormat="true" ht="11.25" hidden="false" customHeight="false" outlineLevel="0" collapsed="false">
      <c r="S510" s="29"/>
      <c r="T510" s="13"/>
      <c r="AA510" s="152" t="str">
        <f aca="false">CONCATENATE(A484," (0 - ",W509," gha / person), Your forecast")</f>
        <v> Biocapacidade não utilizada por pessoa (0 - 2,5 gha/pessoa), Sua previsão</v>
      </c>
      <c r="AB510" s="29"/>
      <c r="AC510" s="29"/>
      <c r="AD510" s="29"/>
      <c r="AE510" s="29"/>
      <c r="AF510" s="29"/>
      <c r="AG510" s="29"/>
      <c r="AH510" s="29"/>
      <c r="AI510" s="29"/>
      <c r="AJ510" s="29"/>
      <c r="AK510" s="57" t="n">
        <f aca="false">K493/$W509</f>
        <v>0.190463288321657</v>
      </c>
      <c r="AL510" s="57" t="n">
        <f aca="false">L493/$W509</f>
        <v>0.163524989332079</v>
      </c>
      <c r="AM510" s="57" t="n">
        <f aca="false">M493/$W509</f>
        <v>0.15465331506683</v>
      </c>
      <c r="AN510" s="57" t="n">
        <f aca="false">N493/$W509</f>
        <v>0.149563614776241</v>
      </c>
      <c r="AO510" s="57" t="n">
        <f aca="false">O493/$W509</f>
        <v>0.142999912700856</v>
      </c>
      <c r="AP510" s="57" t="n">
        <f aca="false">P493/$W509</f>
        <v>0.135258850491904</v>
      </c>
      <c r="AQ510" s="57" t="n">
        <f aca="false">Q493/$W509</f>
        <v>0.126248019449434</v>
      </c>
      <c r="AR510" s="57" t="n">
        <f aca="false">R493/$W509</f>
        <v>0.105695723584138</v>
      </c>
    </row>
    <row r="511" customFormat="false" ht="11.25" hidden="false" customHeight="false" outlineLevel="0" collapsed="false">
      <c r="T511" s="13"/>
    </row>
    <row r="512" customFormat="false" ht="11.25" hidden="false" customHeight="false" outlineLevel="0" collapsed="false">
      <c r="T512" s="13"/>
    </row>
    <row r="513" customFormat="false" ht="11.25" hidden="false" customHeight="false" outlineLevel="0" collapsed="false">
      <c r="T513" s="13"/>
    </row>
    <row r="514" customFormat="false" ht="11.25" hidden="false" customHeight="false" outlineLevel="0" collapsed="false">
      <c r="T514" s="13"/>
    </row>
    <row r="515" customFormat="false" ht="11.25" hidden="false" customHeight="false" outlineLevel="0" collapsed="false">
      <c r="T515" s="13"/>
    </row>
    <row r="516" customFormat="false" ht="11.25" hidden="false" customHeight="false" outlineLevel="0" collapsed="false">
      <c r="T516" s="13"/>
    </row>
    <row r="517" customFormat="false" ht="11.25" hidden="false" customHeight="false" outlineLevel="0" collapsed="false">
      <c r="T517" s="13"/>
    </row>
    <row r="518" customFormat="false" ht="11.25" hidden="false" customHeight="false" outlineLevel="0" collapsed="false">
      <c r="T518" s="13"/>
    </row>
    <row r="519" customFormat="false" ht="11.25" hidden="false" customHeight="false" outlineLevel="0" collapsed="false">
      <c r="T519" s="13"/>
    </row>
    <row r="520" customFormat="false" ht="11.25" hidden="false" customHeight="false" outlineLevel="0" collapsed="false">
      <c r="T520" s="13"/>
    </row>
    <row r="521" customFormat="false" ht="11.25" hidden="false" customHeight="false" outlineLevel="0" collapsed="false">
      <c r="T521" s="13"/>
    </row>
    <row r="522" customFormat="false" ht="11.25" hidden="false" customHeight="false" outlineLevel="0" collapsed="false">
      <c r="T522" s="13"/>
    </row>
    <row r="523" s="35" customFormat="true" ht="13.8" hidden="false" customHeight="false" outlineLevel="0" collapsed="false">
      <c r="A523" s="61" t="s">
        <v>155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3"/>
      <c r="U523" s="3"/>
      <c r="V523" s="3"/>
      <c r="W523" s="3"/>
      <c r="X523" s="15" t="s">
        <v>33</v>
      </c>
      <c r="Y523" s="3"/>
    </row>
    <row r="524" customFormat="false" ht="12.65" hidden="false" customHeight="false" outlineLevel="0" collapsed="false">
      <c r="A524" s="23" t="str">
        <f aca="false">CONCATENATE(A523,". State of Affairs - ",A5," 1970 to 2050")</f>
        <v> Gráfico 13. Situação Atual - SumWorld de 1970 a 2050</v>
      </c>
      <c r="T524" s="13"/>
      <c r="V524" s="3" t="s">
        <v>35</v>
      </c>
      <c r="AA524" s="52" t="s">
        <v>36</v>
      </c>
    </row>
    <row r="525" customFormat="false" ht="28.3" hidden="false" customHeight="false" outlineLevel="0" collapsed="false">
      <c r="T525" s="13"/>
      <c r="U525" s="53" t="s">
        <v>37</v>
      </c>
      <c r="V525" s="54" t="s">
        <v>38</v>
      </c>
      <c r="W525" s="54" t="s">
        <v>39</v>
      </c>
      <c r="X525" s="55"/>
      <c r="Y525" s="55"/>
      <c r="AB525" s="24" t="n">
        <v>1970</v>
      </c>
      <c r="AC525" s="24" t="n">
        <v>1975</v>
      </c>
      <c r="AD525" s="24" t="n">
        <v>1980</v>
      </c>
      <c r="AE525" s="24" t="n">
        <v>1985</v>
      </c>
      <c r="AF525" s="24" t="n">
        <v>1990</v>
      </c>
      <c r="AG525" s="24" t="n">
        <v>1995</v>
      </c>
      <c r="AH525" s="24" t="n">
        <v>2000</v>
      </c>
      <c r="AI525" s="24" t="n">
        <v>2005</v>
      </c>
      <c r="AJ525" s="24" t="n">
        <v>2010</v>
      </c>
      <c r="AK525" s="24" t="n">
        <v>2015</v>
      </c>
      <c r="AL525" s="24" t="n">
        <v>2020</v>
      </c>
      <c r="AM525" s="24" t="n">
        <v>2025</v>
      </c>
      <c r="AN525" s="24" t="n">
        <v>2030</v>
      </c>
      <c r="AO525" s="24" t="n">
        <v>2035</v>
      </c>
      <c r="AP525" s="24" t="n">
        <v>2040</v>
      </c>
      <c r="AQ525" s="24" t="n">
        <v>2045</v>
      </c>
      <c r="AR525" s="24" t="n">
        <v>2050</v>
      </c>
    </row>
    <row r="526" customFormat="false" ht="11.25" hidden="false" customHeight="false" outlineLevel="0" collapsed="false">
      <c r="T526" s="13"/>
      <c r="U526" s="15" t="str">
        <f aca="false">AA526</f>
        <v> População (0 - 9G pessoas)</v>
      </c>
      <c r="V526" s="25" t="n">
        <v>9000</v>
      </c>
      <c r="W526" s="70" t="n">
        <f aca="false">W531</f>
        <v>9000</v>
      </c>
      <c r="AA526" s="29" t="str">
        <f aca="false">CONCATENATE("Population (0 - ",W526/1000,"G persons)")</f>
        <v> População (0 - 9G pessoas)</v>
      </c>
      <c r="AB526" s="57" t="n">
        <f aca="false">B9/$W$526</f>
        <v>0.410687367333333</v>
      </c>
      <c r="AC526" s="57" t="n">
        <f aca="false">C9/$W$526</f>
        <v>0.452935467444444</v>
      </c>
      <c r="AD526" s="57" t="n">
        <f aca="false">D9/$W$526</f>
        <v>0.494778608666667</v>
      </c>
      <c r="AE526" s="57" t="n">
        <f aca="false">E9/$W$526</f>
        <v>0.540365548333333</v>
      </c>
      <c r="AF526" s="57" t="n">
        <f aca="false">F9/$W$526</f>
        <v>0.589602794888889</v>
      </c>
      <c r="AG526" s="57" t="n">
        <f aca="false">G9/$W$526</f>
        <v>0.636248812777778</v>
      </c>
      <c r="AH526" s="57" t="n">
        <f aca="false">H9/$W$526</f>
        <v>0.680307802222222</v>
      </c>
      <c r="AI526" s="57" t="n">
        <f aca="false">I9/$W$526</f>
        <v>0.722961019444444</v>
      </c>
      <c r="AJ526" s="57" t="n">
        <f aca="false">J9/$W$526</f>
        <v>0.766209890888889</v>
      </c>
      <c r="AK526" s="57" t="n">
        <f aca="false">K9/$W$526</f>
        <v>0.803618186016333</v>
      </c>
      <c r="AL526" s="57" t="n">
        <f aca="false">L9/$W$526</f>
        <v>0.834690530032717</v>
      </c>
      <c r="AM526" s="57" t="n">
        <f aca="false">M9/$W$526</f>
        <v>0.859395991561188</v>
      </c>
      <c r="AN526" s="57" t="n">
        <f aca="false">N9/$W$526</f>
        <v>0.878311602467521</v>
      </c>
      <c r="AO526" s="57" t="n">
        <f aca="false">O9/$W$526</f>
        <v>0.890895705883049</v>
      </c>
      <c r="AP526" s="57" t="n">
        <f aca="false">P9/$W$526</f>
        <v>0.896425340346016</v>
      </c>
      <c r="AQ526" s="57" t="n">
        <f aca="false">Q9/$W$526</f>
        <v>0.894415200841281</v>
      </c>
      <c r="AR526" s="57" t="n">
        <f aca="false">R9/$W$526</f>
        <v>0.885071220971353</v>
      </c>
    </row>
    <row r="527" customFormat="false" ht="11.25" hidden="false" customHeight="false" outlineLevel="0" collapsed="false">
      <c r="T527" s="13"/>
      <c r="U527" s="15" t="str">
        <f aca="false">AA527</f>
        <v> PIB (0 - 150 trilhões de dólares por ano)</v>
      </c>
      <c r="V527" s="25" t="n">
        <v>150</v>
      </c>
      <c r="W527" s="70" t="n">
        <f aca="false">W532</f>
        <v>150</v>
      </c>
      <c r="AA527" s="29" t="str">
        <f aca="false">CONCATENATE("GDP (0 - ",W527," T$ per yr)")</f>
        <v>PIB (0 - 150 trilhões de dólares por ano)</v>
      </c>
      <c r="AB527" s="57" t="n">
        <f aca="false">B96/$W527</f>
        <v>0.110823326795402</v>
      </c>
      <c r="AC527" s="57" t="n">
        <f aca="false">C96/$W527</f>
        <v>0.134914016399365</v>
      </c>
      <c r="AD527" s="57" t="n">
        <f aca="false">D96/$W527</f>
        <v>0.163026580763979</v>
      </c>
      <c r="AE527" s="57" t="n">
        <f aca="false">E96/$W527</f>
        <v>0.186852075452107</v>
      </c>
      <c r="AF527" s="57" t="n">
        <f aca="false">F96/$W527</f>
        <v>0.241524114871637</v>
      </c>
      <c r="AG527" s="57" t="n">
        <f aca="false">G96/$W527</f>
        <v>0.276707287998242</v>
      </c>
      <c r="AH527" s="57" t="n">
        <f aca="false">H96/$W527</f>
        <v>0.326160025977608</v>
      </c>
      <c r="AI527" s="57" t="n">
        <f aca="false">I96/$W527</f>
        <v>0.395677769603648</v>
      </c>
      <c r="AJ527" s="57" t="n">
        <f aca="false">J96/$W527</f>
        <v>0.44536111273394</v>
      </c>
      <c r="AK527" s="57" t="n">
        <f aca="false">K96/$W527</f>
        <v>0.515411300171733</v>
      </c>
      <c r="AL527" s="57" t="n">
        <f aca="false">L96/$W527</f>
        <v>0.595131039539352</v>
      </c>
      <c r="AM527" s="57" t="n">
        <f aca="false">M96/$W527</f>
        <v>0.68538597491533</v>
      </c>
      <c r="AN527" s="57" t="n">
        <f aca="false">N96/$W527</f>
        <v>0.772124650381354</v>
      </c>
      <c r="AO527" s="57" t="n">
        <f aca="false">O96/$W527</f>
        <v>0.843835046874499</v>
      </c>
      <c r="AP527" s="57" t="n">
        <f aca="false">P96/$W527</f>
        <v>0.900916085802151</v>
      </c>
      <c r="AQ527" s="57" t="n">
        <f aca="false">Q96/$W527</f>
        <v>0.947318747915282</v>
      </c>
      <c r="AR527" s="57" t="n">
        <f aca="false">R96/$W527</f>
        <v>0.969142992247518</v>
      </c>
    </row>
    <row r="528" customFormat="false" ht="11.25" hidden="false" customHeight="false" outlineLevel="0" collapsed="false">
      <c r="S528" s="36"/>
      <c r="T528" s="13"/>
      <c r="U528" s="15" t="str">
        <f aca="false">AA528</f>
        <v> Temperatura (0 - 3 graus Celsius acima do nível pré-industrial)</v>
      </c>
      <c r="V528" s="25" t="n">
        <v>3</v>
      </c>
      <c r="W528" s="70" t="n">
        <v>3</v>
      </c>
      <c r="AA528" s="29" t="str">
        <f aca="false">CONCATENATE("Temperature (0 - ",W528," deg C above preindustrial level)")</f>
        <v> Temperatura (0 - 3 graus Celsius acima do nível pré-industrial)</v>
      </c>
      <c r="AB528" s="57" t="n">
        <f aca="false">B396/$V528</f>
        <v>0.153451363139682</v>
      </c>
      <c r="AC528" s="57" t="n">
        <f aca="false">C396/$V528</f>
        <v>0.121451363139682</v>
      </c>
      <c r="AD528" s="57" t="n">
        <f aca="false">D396/$V528</f>
        <v>0.198118029806349</v>
      </c>
      <c r="AE528" s="57" t="n">
        <f aca="false">E396/$V528</f>
        <v>0.176784696473016</v>
      </c>
      <c r="AF528" s="57" t="n">
        <f aca="false">F396/$V528</f>
        <v>0.231784696473016</v>
      </c>
      <c r="AG528" s="57" t="n">
        <f aca="false">G396/$V528</f>
        <v>0.235784696473016</v>
      </c>
      <c r="AH528" s="57" t="n">
        <f aca="false">H396/$V528</f>
        <v>0.237157742182414</v>
      </c>
      <c r="AI528" s="57" t="n">
        <f aca="false">I396/$V528</f>
        <v>0.291885077953339</v>
      </c>
      <c r="AJ528" s="57" t="n">
        <f aca="false">J396/$V528</f>
        <v>0.323311269283295</v>
      </c>
      <c r="AK528" s="57" t="n">
        <f aca="false">K396/$V528</f>
        <v>0.363716165224711</v>
      </c>
      <c r="AL528" s="57" t="n">
        <f aca="false">L396/$V528</f>
        <v>0.407845457394918</v>
      </c>
      <c r="AM528" s="57" t="n">
        <f aca="false">M396/$V528</f>
        <v>0.451553185780843</v>
      </c>
      <c r="AN528" s="57" t="n">
        <f aca="false">N396/$V528</f>
        <v>0.494161645571391</v>
      </c>
      <c r="AO528" s="57" t="n">
        <f aca="false">O396/$V528</f>
        <v>0.537767728169759</v>
      </c>
      <c r="AP528" s="57" t="n">
        <f aca="false">P396/$V528</f>
        <v>0.581482330958049</v>
      </c>
      <c r="AQ528" s="57" t="n">
        <f aca="false">Q396/$V528</f>
        <v>0.62560510635376</v>
      </c>
      <c r="AR528" s="57" t="n">
        <f aca="false">R396/$V528</f>
        <v>0.669907410939535</v>
      </c>
    </row>
    <row r="529" customFormat="false" ht="11.25" hidden="false" customHeight="false" outlineLevel="0" collapsed="false">
      <c r="T529" s="13"/>
      <c r="U529" s="15" t="str">
        <f aca="false">AA529</f>
        <v> Emissões de CO2 (0 - 42 GtCO2 por ano)</v>
      </c>
      <c r="V529" s="25" t="n">
        <v>42000</v>
      </c>
      <c r="W529" s="70" t="n">
        <f aca="false">W533</f>
        <v>42000</v>
      </c>
      <c r="AA529" s="29" t="str">
        <f aca="false">CONCATENATE("CO2 Emissions (0 - ",W529/1000," GtCO2 per yr)")</f>
        <v> Emissões de CO2 (0 - 42 GtCO2 por ano)</v>
      </c>
      <c r="AB529" s="57" t="n">
        <f aca="false">B346/$W529</f>
        <v>0.348963196825397</v>
      </c>
      <c r="AC529" s="57" t="n">
        <f aca="false">C346/$W529</f>
        <v>0.390170698412698</v>
      </c>
      <c r="AD529" s="57" t="n">
        <f aca="false">D346/$W529</f>
        <v>0.45270080952381</v>
      </c>
      <c r="AE529" s="57" t="n">
        <f aca="false">E346/$W529</f>
        <v>0.467616844444444</v>
      </c>
      <c r="AF529" s="57" t="n">
        <f aca="false">F346/$W529</f>
        <v>0.510189061904762</v>
      </c>
      <c r="AG529" s="57" t="n">
        <f aca="false">G346/$W529</f>
        <v>0.530643003174603</v>
      </c>
      <c r="AH529" s="57" t="n">
        <f aca="false">H346/$W529</f>
        <v>0.55563534452381</v>
      </c>
      <c r="AI529" s="57" t="n">
        <f aca="false">I346/$W529</f>
        <v>0.650462336507937</v>
      </c>
      <c r="AJ529" s="57" t="n">
        <f aca="false">J346/$W529</f>
        <v>0.700974633333333</v>
      </c>
      <c r="AK529" s="57" t="n">
        <f aca="false">K346/$W529</f>
        <v>0.809260218689982</v>
      </c>
      <c r="AL529" s="57" t="n">
        <f aca="false">L346/$W529</f>
        <v>0.886998384568254</v>
      </c>
      <c r="AM529" s="57" t="n">
        <f aca="false">M346/$W529</f>
        <v>0.938005370933608</v>
      </c>
      <c r="AN529" s="57" t="n">
        <f aca="false">N346/$W529</f>
        <v>0.965268905032495</v>
      </c>
      <c r="AO529" s="57" t="n">
        <f aca="false">O346/$W529</f>
        <v>0.951831677640393</v>
      </c>
      <c r="AP529" s="57" t="n">
        <f aca="false">P346/$W529</f>
        <v>0.913897817221019</v>
      </c>
      <c r="AQ529" s="57" t="n">
        <f aca="false">Q346/$W529</f>
        <v>0.842485953499638</v>
      </c>
      <c r="AR529" s="57" t="n">
        <f aca="false">R346/$W529</f>
        <v>0.744394136587003</v>
      </c>
    </row>
    <row r="530" customFormat="false" ht="11.25" hidden="false" customHeight="false" outlineLevel="0" collapsed="false">
      <c r="T530" s="13"/>
      <c r="U530" s="15" t="str">
        <f aca="false">AA530</f>
        <v> Consumo (0 - 150 trilhões de dólares por ano)</v>
      </c>
      <c r="V530" s="25" t="n">
        <f aca="false">V527</f>
        <v>150</v>
      </c>
      <c r="W530" s="70" t="n">
        <f aca="false">W534</f>
        <v>150</v>
      </c>
      <c r="AA530" s="29" t="str">
        <f aca="false">CONCATENATE("Consumption (0 - ",W530," T$ per yr)")</f>
        <v> Consumo (0 - 150 trilhões de dólares por ano)</v>
      </c>
      <c r="AB530" s="57" t="n">
        <f aca="false">B136/$W530</f>
        <v>0.0854814526103913</v>
      </c>
      <c r="AC530" s="57" t="n">
        <f aca="false">C136/$W530</f>
        <v>0.10508231912818</v>
      </c>
      <c r="AD530" s="57" t="n">
        <f aca="false">D136/$W530</f>
        <v>0.125607656971026</v>
      </c>
      <c r="AE530" s="57" t="n">
        <f aca="false">E136/$W530</f>
        <v>0.145913727422684</v>
      </c>
      <c r="AF530" s="57" t="n">
        <f aca="false">F136/$W530</f>
        <v>0.183079771420498</v>
      </c>
      <c r="AG530" s="57" t="n">
        <f aca="false">G136/$W530</f>
        <v>0.210846469532585</v>
      </c>
      <c r="AH530" s="57" t="n">
        <f aca="false">H136/$W530</f>
        <v>0.246952132745448</v>
      </c>
      <c r="AI530" s="57" t="n">
        <f aca="false">I136/$W530</f>
        <v>0.297473997221096</v>
      </c>
      <c r="AJ530" s="57" t="n">
        <f aca="false">J136/$W530</f>
        <v>0.339627036792238</v>
      </c>
      <c r="AK530" s="57" t="n">
        <f aca="false">K136/$W530</f>
        <v>0.387831079909969</v>
      </c>
      <c r="AL530" s="57" t="n">
        <f aca="false">L136/$W530</f>
        <v>0.435495779943285</v>
      </c>
      <c r="AM530" s="57" t="n">
        <f aca="false">M136/$W530</f>
        <v>0.491677980818134</v>
      </c>
      <c r="AN530" s="57" t="n">
        <f aca="false">N136/$W530</f>
        <v>0.544234756685395</v>
      </c>
      <c r="AO530" s="57" t="n">
        <f aca="false">O136/$W530</f>
        <v>0.585329185088176</v>
      </c>
      <c r="AP530" s="57" t="n">
        <f aca="false">P136/$W530</f>
        <v>0.615085067092335</v>
      </c>
      <c r="AQ530" s="57" t="n">
        <f aca="false">Q136/$W530</f>
        <v>0.630850233382245</v>
      </c>
      <c r="AR530" s="57" t="n">
        <f aca="false">R136/$W530</f>
        <v>0.626561191395327</v>
      </c>
    </row>
    <row r="531" customFormat="false" ht="11.25" hidden="false" customHeight="false" outlineLevel="0" collapsed="false">
      <c r="T531" s="13"/>
      <c r="U531" s="37" t="str">
        <f aca="false">AA532</f>
        <v> População (0 a 9 mil pessoas), Sua previsão</v>
      </c>
      <c r="W531" s="4" t="n">
        <v>9000</v>
      </c>
      <c r="AB531" s="24" t="n">
        <v>1970</v>
      </c>
      <c r="AC531" s="24" t="n">
        <v>1975</v>
      </c>
      <c r="AD531" s="24" t="n">
        <v>1980</v>
      </c>
      <c r="AE531" s="24" t="n">
        <v>1985</v>
      </c>
      <c r="AF531" s="24" t="n">
        <v>1990</v>
      </c>
      <c r="AG531" s="24" t="n">
        <v>1995</v>
      </c>
      <c r="AH531" s="24" t="n">
        <v>2000</v>
      </c>
      <c r="AI531" s="24" t="n">
        <v>2005</v>
      </c>
      <c r="AJ531" s="24" t="n">
        <v>2010</v>
      </c>
      <c r="AK531" s="24" t="n">
        <v>2015</v>
      </c>
      <c r="AL531" s="24" t="n">
        <v>2020</v>
      </c>
      <c r="AM531" s="24" t="n">
        <v>2025</v>
      </c>
      <c r="AN531" s="24" t="n">
        <v>2030</v>
      </c>
      <c r="AO531" s="24" t="n">
        <v>2035</v>
      </c>
      <c r="AP531" s="24" t="n">
        <v>2040</v>
      </c>
      <c r="AQ531" s="24" t="n">
        <v>2045</v>
      </c>
      <c r="AR531" s="24" t="n">
        <v>2050</v>
      </c>
    </row>
    <row r="532" customFormat="false" ht="11.25" hidden="false" customHeight="false" outlineLevel="0" collapsed="false">
      <c r="T532" s="13"/>
      <c r="U532" s="37" t="str">
        <f aca="false">AA533</f>
        <v> PIB (0 - 150 trilhões de dólares por ano), sua previsão</v>
      </c>
      <c r="W532" s="4" t="n">
        <v>150</v>
      </c>
      <c r="AA532" s="29" t="str">
        <f aca="false">CONCATENATE("Population (0 - ",W531/1000,"G persons), Your forecast")</f>
        <v> População (0 a 9 mil pessoas), Sua previsão</v>
      </c>
      <c r="AB532" s="29"/>
      <c r="AC532" s="29"/>
      <c r="AD532" s="29"/>
      <c r="AE532" s="29"/>
      <c r="AF532" s="29"/>
      <c r="AG532" s="29"/>
      <c r="AH532" s="29"/>
      <c r="AI532" s="29"/>
      <c r="AJ532" s="29"/>
      <c r="AK532" s="57" t="n">
        <f aca="false">K17/$W$526</f>
        <v>0.803619287177167</v>
      </c>
      <c r="AL532" s="57" t="n">
        <f aca="false">L17/$W$526</f>
        <v>0.834070207974148</v>
      </c>
      <c r="AM532" s="57" t="n">
        <f aca="false">M17/$W$526</f>
        <v>0.858250260930958</v>
      </c>
      <c r="AN532" s="57" t="n">
        <f aca="false">N17/$W$526</f>
        <v>0.876737525029458</v>
      </c>
      <c r="AO532" s="57" t="n">
        <f aca="false">O17/$W$526</f>
        <v>0.889012406374055</v>
      </c>
      <c r="AP532" s="57" t="n">
        <f aca="false">P17/$W$526</f>
        <v>0.894376338936729</v>
      </c>
      <c r="AQ532" s="57" t="n">
        <f aca="false">Q17/$W$526</f>
        <v>0.892360929605949</v>
      </c>
      <c r="AR532" s="57" t="n">
        <f aca="false">R17/$W$526</f>
        <v>0.883170682450503</v>
      </c>
    </row>
    <row r="533" customFormat="false" ht="11.25" hidden="false" customHeight="false" outlineLevel="0" collapsed="false">
      <c r="T533" s="13"/>
      <c r="U533" s="37" t="str">
        <f aca="false">AA534</f>
        <v> Emissões de CO2 (0 - 42.000 T$ por ano), sua previsão</v>
      </c>
      <c r="W533" s="4" t="n">
        <v>42000</v>
      </c>
      <c r="AA533" s="29" t="str">
        <f aca="false">CONCATENATE("GDP (0 - ",W532," T$ per yr), Your forecast")</f>
        <v> PIB (0 - 150 trilhões de dólares por ano), sua previsão</v>
      </c>
      <c r="AB533" s="29"/>
      <c r="AC533" s="29"/>
      <c r="AD533" s="29"/>
      <c r="AE533" s="29"/>
      <c r="AF533" s="29"/>
      <c r="AG533" s="29"/>
      <c r="AH533" s="29"/>
      <c r="AI533" s="29"/>
      <c r="AJ533" s="29"/>
      <c r="AK533" s="57" t="n">
        <f aca="false">K104/$W532</f>
        <v>0.515406068881099</v>
      </c>
      <c r="AL533" s="57" t="n">
        <f aca="false">L104/$W532</f>
        <v>0.579895263863971</v>
      </c>
      <c r="AM533" s="57" t="n">
        <f aca="false">M104/$W532</f>
        <v>0.663741929145736</v>
      </c>
      <c r="AN533" s="57" t="n">
        <f aca="false">N104/$W532</f>
        <v>0.743073551693551</v>
      </c>
      <c r="AO533" s="57" t="n">
        <f aca="false">O104/$W532</f>
        <v>0.80756174228521</v>
      </c>
      <c r="AP533" s="57" t="n">
        <f aca="false">P104/$W532</f>
        <v>0.85801465943809</v>
      </c>
      <c r="AQ533" s="57" t="n">
        <f aca="false">Q104/$W532</f>
        <v>0.89864694683488</v>
      </c>
      <c r="AR533" s="57" t="n">
        <f aca="false">R104/$W532</f>
        <v>0.916752055786915</v>
      </c>
    </row>
    <row r="534" customFormat="false" ht="11.25" hidden="false" customHeight="false" outlineLevel="0" collapsed="false">
      <c r="T534" s="13"/>
      <c r="U534" s="37" t="str">
        <f aca="false">AA535</f>
        <v> Consumo (0 - 150 trilhões de dólares por ano), Sua previsão</v>
      </c>
      <c r="W534" s="93" t="n">
        <f aca="false">W532</f>
        <v>150</v>
      </c>
      <c r="AA534" s="29" t="str">
        <f aca="false">CONCATENATE("CO2 Emissions (0 - ",W533," T$ per yr), Your forecast")</f>
        <v> Emissões de CO2 (0 - 42.000 T$ por ano), sua previsão</v>
      </c>
      <c r="AB534" s="29"/>
      <c r="AC534" s="29"/>
      <c r="AD534" s="29"/>
      <c r="AE534" s="29"/>
      <c r="AF534" s="29"/>
      <c r="AG534" s="29"/>
      <c r="AH534" s="29"/>
      <c r="AI534" s="29"/>
      <c r="AJ534" s="29"/>
      <c r="AK534" s="57" t="n">
        <f aca="false">K357/$W533</f>
        <v>0.809252243196962</v>
      </c>
      <c r="AL534" s="57" t="n">
        <f aca="false">L357/$W533</f>
        <v>0.873192936288659</v>
      </c>
      <c r="AM534" s="57" t="n">
        <f aca="false">M357/$W533</f>
        <v>0.918970240406428</v>
      </c>
      <c r="AN534" s="57" t="n">
        <f aca="false">N357/$W533</f>
        <v>0.94134465628054</v>
      </c>
      <c r="AO534" s="57" t="n">
        <f aca="false">O357/$W533</f>
        <v>0.925289037638728</v>
      </c>
      <c r="AP534" s="57" t="n">
        <f aca="false">P357/$W533</f>
        <v>0.88645572635832</v>
      </c>
      <c r="AQ534" s="57" t="n">
        <f aca="false">Q357/$W533</f>
        <v>0.817084882654834</v>
      </c>
      <c r="AR534" s="57" t="n">
        <f aca="false">R357/$W533</f>
        <v>0.723205602251028</v>
      </c>
    </row>
    <row r="535" customFormat="false" ht="11.25" hidden="false" customHeight="false" outlineLevel="0" collapsed="false">
      <c r="T535" s="13"/>
      <c r="AA535" s="29" t="str">
        <f aca="false">CONCATENATE("Consumption (0 - ",W534," T$ per yr), Your forecast")</f>
        <v> Consumo (0 - 150 trilhões de dólares por ano), Sua previsão</v>
      </c>
      <c r="AB535" s="29"/>
      <c r="AC535" s="29"/>
      <c r="AD535" s="29"/>
      <c r="AE535" s="29"/>
      <c r="AF535" s="29"/>
      <c r="AG535" s="29"/>
      <c r="AH535" s="29"/>
      <c r="AI535" s="29"/>
      <c r="AJ535" s="29"/>
      <c r="AK535" s="57" t="n">
        <f aca="false">K142/$W534</f>
        <v>0.387826824296457</v>
      </c>
      <c r="AL535" s="57" t="n">
        <f aca="false">L142/$W534</f>
        <v>0.424728922836426</v>
      </c>
      <c r="AM535" s="57" t="n">
        <f aca="false">M142/$W534</f>
        <v>0.476862504146252</v>
      </c>
      <c r="AN535" s="57" t="n">
        <f aca="false">N142/$W534</f>
        <v>0.524789444970151</v>
      </c>
      <c r="AO535" s="57" t="n">
        <f aca="false">O142/$W534</f>
        <v>0.561493401906425</v>
      </c>
      <c r="AP535" s="57" t="n">
        <f aca="false">P142/$W534</f>
        <v>0.587393075964591</v>
      </c>
      <c r="AQ535" s="57" t="n">
        <f aca="false">Q142/$W534</f>
        <v>0.600409425772738</v>
      </c>
      <c r="AR535" s="57" t="n">
        <f aca="false">R142/$W534</f>
        <v>0.595049376660132</v>
      </c>
    </row>
    <row r="536" customFormat="false" ht="11.25" hidden="false" customHeight="false" outlineLevel="0" collapsed="false">
      <c r="T536" s="13"/>
    </row>
    <row r="537" customFormat="false" ht="11.25" hidden="false" customHeight="false" outlineLevel="0" collapsed="false">
      <c r="T537" s="13"/>
    </row>
    <row r="538" customFormat="false" ht="11.25" hidden="false" customHeight="false" outlineLevel="0" collapsed="false">
      <c r="T538" s="13"/>
    </row>
    <row r="539" customFormat="false" ht="11.25" hidden="false" customHeight="false" outlineLevel="0" collapsed="false">
      <c r="T539" s="13"/>
    </row>
    <row r="540" customFormat="false" ht="11.25" hidden="false" customHeight="false" outlineLevel="0" collapsed="false">
      <c r="T540" s="13"/>
    </row>
    <row r="541" customFormat="false" ht="11.25" hidden="false" customHeight="false" outlineLevel="0" collapsed="false">
      <c r="T541" s="13"/>
    </row>
    <row r="542" customFormat="false" ht="11.25" hidden="false" customHeight="false" outlineLevel="0" collapsed="false">
      <c r="T542" s="13"/>
    </row>
    <row r="543" customFormat="false" ht="11.25" hidden="false" customHeight="false" outlineLevel="0" collapsed="false">
      <c r="T543" s="13"/>
    </row>
    <row r="544" customFormat="false" ht="11.25" hidden="false" customHeight="false" outlineLevel="0" collapsed="false">
      <c r="T544" s="13"/>
    </row>
    <row r="545" customFormat="false" ht="11.25" hidden="false" customHeight="false" outlineLevel="0" collapsed="false">
      <c r="T545" s="13"/>
    </row>
    <row r="546" customFormat="false" ht="11.25" hidden="false" customHeight="false" outlineLevel="0" collapsed="false">
      <c r="T546" s="13"/>
    </row>
    <row r="547" customFormat="false" ht="11.25" hidden="false" customHeight="false" outlineLevel="0" collapsed="false">
      <c r="T547" s="13"/>
    </row>
    <row r="548" customFormat="false" ht="11.25" hidden="false" customHeight="false" outlineLevel="0" collapsed="false">
      <c r="T548" s="13"/>
    </row>
    <row r="549" customFormat="false" ht="11.25" hidden="false" customHeight="false" outlineLevel="0" collapsed="false">
      <c r="T549" s="13"/>
    </row>
    <row r="550" customFormat="false" ht="11.25" hidden="false" customHeight="false" outlineLevel="0" collapsed="false">
      <c r="T550" s="13"/>
      <c r="X550" s="15" t="s">
        <v>33</v>
      </c>
    </row>
    <row r="551" customFormat="false" ht="12.65" hidden="false" customHeight="false" outlineLevel="0" collapsed="false">
      <c r="A551" s="61" t="s">
        <v>156</v>
      </c>
      <c r="T551" s="13"/>
      <c r="V551" s="3" t="s">
        <v>35</v>
      </c>
    </row>
    <row r="552" customFormat="false" ht="28.3" hidden="false" customHeight="false" outlineLevel="0" collapsed="false">
      <c r="A552" s="23" t="str">
        <f aca="false">CONCATENATE(A551,". Production - ",A5," 1970 to 2050")</f>
        <v> Gráfico 14. Produção - SumWorld de 1970 a 2050</v>
      </c>
      <c r="T552" s="13"/>
      <c r="U552" s="53" t="s">
        <v>37</v>
      </c>
      <c r="V552" s="54" t="s">
        <v>38</v>
      </c>
      <c r="W552" s="54" t="s">
        <v>39</v>
      </c>
      <c r="X552" s="55"/>
      <c r="Y552" s="55"/>
      <c r="AA552" s="52" t="s">
        <v>36</v>
      </c>
    </row>
    <row r="553" customFormat="false" ht="11.25" hidden="false" customHeight="false" outlineLevel="0" collapsed="false">
      <c r="T553" s="13"/>
      <c r="U553" s="15" t="str">
        <f aca="false">AA554</f>
        <v> Biocapacidade não utilizada (0 - 50%)</v>
      </c>
      <c r="V553" s="25" t="n">
        <v>50</v>
      </c>
      <c r="W553" s="70" t="n">
        <f aca="false">W558</f>
        <v>50</v>
      </c>
      <c r="AB553" s="24" t="n">
        <v>1970</v>
      </c>
      <c r="AC553" s="24" t="n">
        <v>1975</v>
      </c>
      <c r="AD553" s="24" t="n">
        <v>1980</v>
      </c>
      <c r="AE553" s="24" t="n">
        <v>1985</v>
      </c>
      <c r="AF553" s="24" t="n">
        <v>1990</v>
      </c>
      <c r="AG553" s="24" t="n">
        <v>1995</v>
      </c>
      <c r="AH553" s="24" t="n">
        <v>2000</v>
      </c>
      <c r="AI553" s="24" t="n">
        <v>2005</v>
      </c>
      <c r="AJ553" s="24" t="n">
        <v>2010</v>
      </c>
      <c r="AK553" s="24" t="n">
        <v>2015</v>
      </c>
      <c r="AL553" s="24" t="n">
        <v>2020</v>
      </c>
      <c r="AM553" s="24" t="n">
        <v>2025</v>
      </c>
      <c r="AN553" s="24" t="n">
        <v>2030</v>
      </c>
      <c r="AO553" s="24" t="n">
        <v>2035</v>
      </c>
      <c r="AP553" s="24" t="n">
        <v>2040</v>
      </c>
      <c r="AQ553" s="24" t="n">
        <v>2045</v>
      </c>
      <c r="AR553" s="24" t="n">
        <v>2050</v>
      </c>
    </row>
    <row r="554" customFormat="false" ht="11.25" hidden="false" customHeight="false" outlineLevel="0" collapsed="false">
      <c r="T554" s="13"/>
      <c r="U554" s="15" t="str">
        <f aca="false">AA555</f>
        <v> Percentagem do investimento no PIB (0 - 40%)</v>
      </c>
      <c r="V554" s="25" t="n">
        <v>40</v>
      </c>
      <c r="W554" s="70" t="n">
        <f aca="false">W559</f>
        <v>40</v>
      </c>
      <c r="AA554" s="29" t="str">
        <f aca="false">CONCATENATE("Unused bio-capacity (0 - ",W553," %)")</f>
        <v> Biocapacidade não utilizada (0 - 50%)</v>
      </c>
      <c r="AB554" s="57" t="n">
        <f aca="false">(100*B483/B478)/$W553</f>
        <v>0.796984476738167</v>
      </c>
      <c r="AC554" s="57" t="n">
        <f aca="false">(100*C483/C478)/$W553</f>
        <v>0.765110669208656</v>
      </c>
      <c r="AD554" s="57" t="n">
        <f aca="false">(100*D483/D478)/$W553</f>
        <v>0.736100872565498</v>
      </c>
      <c r="AE554" s="57" t="n">
        <f aca="false">(100*E483/E478)/$W553</f>
        <v>0.73970716371752</v>
      </c>
      <c r="AF554" s="57" t="n">
        <f aca="false">(100*F483/F478)/$W553</f>
        <v>0.679127939638493</v>
      </c>
      <c r="AG554" s="57" t="n">
        <f aca="false">(100*G483/G478)/$W553</f>
        <v>0.662112604066109</v>
      </c>
      <c r="AH554" s="57" t="n">
        <f aca="false">(100*H483/H478)/$W553</f>
        <v>0.640572023724639</v>
      </c>
      <c r="AI554" s="57" t="n">
        <f aca="false">(100*I483/I478)/$W553</f>
        <v>0.598375950150887</v>
      </c>
      <c r="AJ554" s="57" t="n">
        <f aca="false">(100*J483/J478)/$W553</f>
        <v>0.594284117823092</v>
      </c>
      <c r="AK554" s="57" t="n">
        <f aca="false">(100*K483/K478)/$W553</f>
        <v>0.573978833870489</v>
      </c>
      <c r="AL554" s="57" t="n">
        <f aca="false">(100*L483/L478)/$W553</f>
        <v>0.551029686435961</v>
      </c>
      <c r="AM554" s="57" t="n">
        <f aca="false">(100*M483/M478)/$W553</f>
        <v>0.537014620038476</v>
      </c>
      <c r="AN554" s="57" t="n">
        <f aca="false">(100*N483/N478)/$W553</f>
        <v>0.530843661042225</v>
      </c>
      <c r="AO554" s="57" t="n">
        <f aca="false">(100*O483/O478)/$W553</f>
        <v>0.519831137974211</v>
      </c>
      <c r="AP554" s="57" t="n">
        <f aca="false">(100*P483/P478)/$W553</f>
        <v>0.504507268200405</v>
      </c>
      <c r="AQ554" s="57" t="n">
        <f aca="false">(100*Q483/Q478)/$W553</f>
        <v>0.484241255530774</v>
      </c>
      <c r="AR554" s="57" t="n">
        <f aca="false">(100*R483/R478)/$W553</f>
        <v>0.428968288498269</v>
      </c>
    </row>
    <row r="555" s="3" customFormat="true" ht="11.25" hidden="false" customHeight="false" outlineLevel="0" collapsed="false">
      <c r="T555" s="13"/>
      <c r="U555" s="15" t="str">
        <f aca="false">AA556</f>
        <v> Consumo de energia (0 - 22 Mtoe por ano)</v>
      </c>
      <c r="V555" s="25" t="n">
        <v>22000</v>
      </c>
      <c r="W555" s="70" t="n">
        <f aca="false">W560</f>
        <v>22000</v>
      </c>
      <c r="AA555" s="29" t="str">
        <f aca="false">CONCATENATE("Investment share of GDP (0 - ",W554," %)")</f>
        <v> Percentagem do investimento no PIB (0 - 40%)</v>
      </c>
      <c r="AB555" s="57" t="n">
        <f aca="false">B137/$W554</f>
        <v>0.571672835444565</v>
      </c>
      <c r="AC555" s="57" t="n">
        <f aca="false">C137/$W554</f>
        <v>0.552790919493477</v>
      </c>
      <c r="AD555" s="57" t="n">
        <f aca="false">D137/$W554</f>
        <v>0.573816300654776</v>
      </c>
      <c r="AE555" s="57" t="n">
        <f aca="false">E137/$W554</f>
        <v>0.547737400432517</v>
      </c>
      <c r="AF555" s="57" t="n">
        <f aca="false">F137/$W554</f>
        <v>0.604953500007654</v>
      </c>
      <c r="AG555" s="57" t="n">
        <f aca="false">G137/$W554</f>
        <v>0.595040511420098</v>
      </c>
      <c r="AH555" s="57" t="n">
        <f aca="false">H137/$W554</f>
        <v>0.607124470532126</v>
      </c>
      <c r="AI555" s="57" t="n">
        <f aca="false">I137/$W554</f>
        <v>0.620478201750653</v>
      </c>
      <c r="AJ555" s="57" t="n">
        <f aca="false">J137/$W554</f>
        <v>0.593530019339994</v>
      </c>
      <c r="AK555" s="57" t="n">
        <f aca="false">K137/$W554</f>
        <v>0.618827236710053</v>
      </c>
      <c r="AL555" s="57" t="n">
        <f aca="false">L137/$W554</f>
        <v>0.670588698077439</v>
      </c>
      <c r="AM555" s="57" t="n">
        <f aca="false">M137/$W554</f>
        <v>0.706565355824234</v>
      </c>
      <c r="AN555" s="57" t="n">
        <f aca="false">N137/$W554</f>
        <v>0.737866268041705</v>
      </c>
      <c r="AO555" s="57" t="n">
        <f aca="false">O137/$W554</f>
        <v>0.765866097716043</v>
      </c>
      <c r="AP555" s="57" t="n">
        <f aca="false">P137/$W554</f>
        <v>0.793167707887355</v>
      </c>
      <c r="AQ555" s="57" t="n">
        <f aca="false">Q137/$W554</f>
        <v>0.835169036898811</v>
      </c>
      <c r="AR555" s="57" t="n">
        <f aca="false">R137/$W554</f>
        <v>0.883723567091263</v>
      </c>
    </row>
    <row r="556" s="3" customFormat="true" ht="11.25" hidden="false" customHeight="false" outlineLevel="0" collapsed="false">
      <c r="T556" s="13"/>
      <c r="U556" s="15" t="str">
        <f aca="false">AA557</f>
        <v> Produção de alimentos (0 - 11 Gt por ano)</v>
      </c>
      <c r="V556" s="25" t="n">
        <v>11000</v>
      </c>
      <c r="W556" s="70" t="n">
        <f aca="false">W561</f>
        <v>11000</v>
      </c>
      <c r="AA556" s="29" t="str">
        <f aca="false">CONCATENATE("Energy use (0 - ",W555/1000," Mtoe per yr)")</f>
        <v>Consumo de energia (0 - 22 Mtoe por ano)</v>
      </c>
      <c r="AB556" s="57" t="n">
        <f aca="false">B240/$W555</f>
        <v>0.222663101466907</v>
      </c>
      <c r="AC556" s="57" t="n">
        <f aca="false">C240/$W555</f>
        <v>0.258891078953428</v>
      </c>
      <c r="AD556" s="57" t="n">
        <f aca="false">D240/$W555</f>
        <v>0.296342795563109</v>
      </c>
      <c r="AE556" s="57" t="n">
        <f aca="false">E240/$W555</f>
        <v>0.318490834178643</v>
      </c>
      <c r="AF556" s="57" t="n">
        <f aca="false">F240/$W555</f>
        <v>0.361594801555634</v>
      </c>
      <c r="AG556" s="57" t="n">
        <f aca="false">G240/$W555</f>
        <v>0.381832738791037</v>
      </c>
      <c r="AH556" s="57" t="n">
        <f aca="false">H240/$W555</f>
        <v>0.416988268070203</v>
      </c>
      <c r="AI556" s="57" t="n">
        <f aca="false">I240/$W555</f>
        <v>0.480564931233533</v>
      </c>
      <c r="AJ556" s="57" t="n">
        <f aca="false">J240/$W555</f>
        <v>0.535526653162181</v>
      </c>
      <c r="AK556" s="57" t="n">
        <f aca="false">K240/$W555</f>
        <v>0.600491453482763</v>
      </c>
      <c r="AL556" s="57" t="n">
        <f aca="false">L240/$W555</f>
        <v>0.672459973094164</v>
      </c>
      <c r="AM556" s="57" t="n">
        <f aca="false">M240/$W555</f>
        <v>0.736883035798084</v>
      </c>
      <c r="AN556" s="57" t="n">
        <f aca="false">N240/$W555</f>
        <v>0.783448670920279</v>
      </c>
      <c r="AO556" s="57" t="n">
        <f aca="false">O240/$W555</f>
        <v>0.81231990907497</v>
      </c>
      <c r="AP556" s="57" t="n">
        <f aca="false">P240/$W555</f>
        <v>0.820010896905373</v>
      </c>
      <c r="AQ556" s="57" t="n">
        <f aca="false">Q240/$W555</f>
        <v>0.813751733945916</v>
      </c>
      <c r="AR556" s="57" t="n">
        <f aca="false">R240/$W555</f>
        <v>0.786532609243796</v>
      </c>
    </row>
    <row r="557" s="3" customFormat="true" ht="11.25" hidden="false" customHeight="false" outlineLevel="0" collapsed="false">
      <c r="T557" s="13"/>
      <c r="U557" s="15" t="str">
        <f aca="false">AA558</f>
        <v> Fração renovável (0 - 40%)</v>
      </c>
      <c r="V557" s="25" t="n">
        <v>40</v>
      </c>
      <c r="W557" s="70" t="n">
        <f aca="false">W562</f>
        <v>40</v>
      </c>
      <c r="AA557" s="29" t="str">
        <f aca="false">CONCATENATE("Food production (0 - ",W556/1000," Gt per year)")</f>
        <v> Produção de alimentos (0 - 11 Gt por ano)</v>
      </c>
      <c r="AB557" s="57" t="n">
        <f aca="false">B433/$W556</f>
        <v>0.274606418818182</v>
      </c>
      <c r="AC557" s="57" t="n">
        <f aca="false">C433/$W556</f>
        <v>0.304743231363636</v>
      </c>
      <c r="AD557" s="57" t="n">
        <f aca="false">D433/$W556</f>
        <v>0.336063111090909</v>
      </c>
      <c r="AE557" s="57" t="n">
        <f aca="false">E433/$W556</f>
        <v>0.391700531363636</v>
      </c>
      <c r="AF557" s="57" t="n">
        <f aca="false">F433/$W556</f>
        <v>0.416357602181818</v>
      </c>
      <c r="AG557" s="57" t="n">
        <f aca="false">G433/$W556</f>
        <v>0.433070966272727</v>
      </c>
      <c r="AH557" s="57" t="n">
        <f aca="false">H433/$W556</f>
        <v>0.489670484090909</v>
      </c>
      <c r="AI557" s="57" t="n">
        <f aca="false">I433/$W556</f>
        <v>0.549564568454546</v>
      </c>
      <c r="AJ557" s="57" t="n">
        <f aca="false">J433/$W556</f>
        <v>0.601525277727273</v>
      </c>
      <c r="AK557" s="57" t="n">
        <f aca="false">K433/$W556</f>
        <v>0.654545454545455</v>
      </c>
      <c r="AL557" s="57" t="n">
        <f aca="false">L433/$W556</f>
        <v>0.718636363636364</v>
      </c>
      <c r="AM557" s="57" t="n">
        <f aca="false">M433/$W556</f>
        <v>0.785454545454545</v>
      </c>
      <c r="AN557" s="57" t="n">
        <f aca="false">N433/$W556</f>
        <v>0.855</v>
      </c>
      <c r="AO557" s="57" t="n">
        <f aca="false">O433/$W556</f>
        <v>0.911818181818182</v>
      </c>
      <c r="AP557" s="57" t="n">
        <f aca="false">P433/$W556</f>
        <v>0.942727272727273</v>
      </c>
      <c r="AQ557" s="57" t="n">
        <f aca="false">Q433/$W556</f>
        <v>0.93</v>
      </c>
      <c r="AR557" s="57" t="n">
        <f aca="false">R433/$W556</f>
        <v>0.916363636363636</v>
      </c>
    </row>
    <row r="558" s="3" customFormat="true" ht="11.25" hidden="false" customHeight="false" outlineLevel="0" collapsed="false">
      <c r="T558" s="13"/>
      <c r="U558" s="37" t="str">
        <f aca="false">AA561</f>
        <v> Biocapacidade não utilizada (0 - 50%), Sua previsão</v>
      </c>
      <c r="W558" s="4" t="n">
        <v>50</v>
      </c>
      <c r="AA558" s="29" t="str">
        <f aca="false">CONCATENATE("Fraction renewable (0 - ",W557," %)")</f>
        <v> Fração renovável (0 - 40%)</v>
      </c>
      <c r="AB558" s="120" t="n">
        <f aca="false">B245/$W557</f>
        <v>0.133981511024615</v>
      </c>
      <c r="AC558" s="120" t="n">
        <f aca="false">C245/$W557</f>
        <v>0.140796260069414</v>
      </c>
      <c r="AD558" s="120" t="n">
        <f aca="false">D245/$W557</f>
        <v>0.144877263516815</v>
      </c>
      <c r="AE558" s="120" t="n">
        <f aca="false">E245/$W557</f>
        <v>0.156711763316642</v>
      </c>
      <c r="AF558" s="120" t="n">
        <f aca="false">F245/$W557</f>
        <v>0.158835318090728</v>
      </c>
      <c r="AG558" s="120" t="n">
        <f aca="false">G245/$W557</f>
        <v>0.173164916871647</v>
      </c>
      <c r="AH558" s="120" t="n">
        <f aca="false">H245/$W557</f>
        <v>0.175442220779459</v>
      </c>
      <c r="AI558" s="120" t="n">
        <f aca="false">I245/$W557</f>
        <v>0.17604896634856</v>
      </c>
      <c r="AJ558" s="120" t="n">
        <f aca="false">J245/$W557</f>
        <v>0.205985934730861</v>
      </c>
      <c r="AK558" s="120" t="n">
        <f aca="false">K245/$W557</f>
        <v>0.249361397194315</v>
      </c>
      <c r="AL558" s="120" t="n">
        <f aca="false">L245/$W557</f>
        <v>0.299363617098729</v>
      </c>
      <c r="AM558" s="120" t="n">
        <f aca="false">M245/$W557</f>
        <v>0.372769124873645</v>
      </c>
      <c r="AN558" s="120" t="n">
        <f aca="false">N245/$W557</f>
        <v>0.449190407836081</v>
      </c>
      <c r="AO558" s="120" t="n">
        <f aca="false">O245/$W557</f>
        <v>0.545664089248133</v>
      </c>
      <c r="AP558" s="120" t="n">
        <f aca="false">P245/$W557</f>
        <v>0.645403196954527</v>
      </c>
      <c r="AQ558" s="120" t="n">
        <f aca="false">Q245/$W557</f>
        <v>0.773726818388405</v>
      </c>
      <c r="AR558" s="120" t="n">
        <f aca="false">R245/$W557</f>
        <v>0.926376545064812</v>
      </c>
    </row>
    <row r="559" s="3" customFormat="true" ht="11.25" hidden="false" customHeight="false" outlineLevel="0" collapsed="false">
      <c r="T559" s="13"/>
      <c r="U559" s="37" t="str">
        <f aca="false">AA562</f>
        <v> Participação do investimento no PIB (0 - 40%), Sua previsão</v>
      </c>
      <c r="W559" s="4" t="n">
        <v>40</v>
      </c>
      <c r="AA559" s="29" t="str">
        <f aca="false">CONCATENATE("Sea level rise (0 - ",W586/1000," m)")</f>
        <v> Aumento do nível do mar (0 - 0,8 m)</v>
      </c>
      <c r="AB559" s="29"/>
      <c r="AC559" s="29"/>
      <c r="AD559" s="29"/>
      <c r="AE559" s="29"/>
      <c r="AF559" s="29"/>
      <c r="AG559" s="29"/>
      <c r="AH559" s="29"/>
      <c r="AI559" s="57" t="n">
        <f aca="false">I403/$V$586</f>
        <v>0.0234931063652039</v>
      </c>
      <c r="AJ559" s="57" t="n">
        <f aca="false">J403/$V$586</f>
        <v>0.0558284044265747</v>
      </c>
      <c r="AK559" s="57" t="n">
        <f aca="false">K403/$V$586</f>
        <v>0.0902567386627197</v>
      </c>
      <c r="AL559" s="57" t="n">
        <f aca="false">L403/$V$586</f>
        <v>0.128428058624268</v>
      </c>
      <c r="AM559" s="57" t="n">
        <f aca="false">M403/$V$586</f>
        <v>0.171287422180176</v>
      </c>
      <c r="AN559" s="57" t="n">
        <f aca="false">N403/$V$586</f>
        <v>0.218884449005127</v>
      </c>
      <c r="AO559" s="57" t="n">
        <f aca="false">O403/$V$586</f>
        <v>0.270819759368896</v>
      </c>
      <c r="AP559" s="57" t="n">
        <f aca="false">P403/$V$586</f>
        <v>0.327321701049805</v>
      </c>
      <c r="AQ559" s="57" t="n">
        <f aca="false">Q403/$V$586</f>
        <v>0.388355827331543</v>
      </c>
      <c r="AR559" s="57" t="n">
        <f aca="false">R403/$V$586</f>
        <v>0.454001922607422</v>
      </c>
    </row>
    <row r="560" s="3" customFormat="true" ht="11.25" hidden="false" customHeight="false" outlineLevel="0" collapsed="false">
      <c r="T560" s="13"/>
      <c r="U560" s="37" t="str">
        <f aca="false">AA563</f>
        <v> Consumo de energia (0 - 22 Mtoe por ano), Sua previsão</v>
      </c>
      <c r="W560" s="4" t="n">
        <v>22000</v>
      </c>
      <c r="AB560" s="24" t="n">
        <v>1970</v>
      </c>
      <c r="AC560" s="24" t="n">
        <v>1975</v>
      </c>
      <c r="AD560" s="24" t="n">
        <v>1980</v>
      </c>
      <c r="AE560" s="24" t="n">
        <v>1985</v>
      </c>
      <c r="AF560" s="24" t="n">
        <v>1990</v>
      </c>
      <c r="AG560" s="24" t="n">
        <v>1995</v>
      </c>
      <c r="AH560" s="24" t="n">
        <v>2000</v>
      </c>
      <c r="AI560" s="24" t="n">
        <v>2005</v>
      </c>
      <c r="AJ560" s="24" t="n">
        <v>2010</v>
      </c>
      <c r="AK560" s="24" t="n">
        <v>2015</v>
      </c>
      <c r="AL560" s="24" t="n">
        <v>2020</v>
      </c>
      <c r="AM560" s="24" t="n">
        <v>2025</v>
      </c>
      <c r="AN560" s="24" t="n">
        <v>2030</v>
      </c>
      <c r="AO560" s="24" t="n">
        <v>2035</v>
      </c>
      <c r="AP560" s="24" t="n">
        <v>2040</v>
      </c>
      <c r="AQ560" s="24" t="n">
        <v>2045</v>
      </c>
      <c r="AR560" s="24" t="n">
        <v>2050</v>
      </c>
    </row>
    <row r="561" s="3" customFormat="true" ht="11.25" hidden="false" customHeight="false" outlineLevel="0" collapsed="false">
      <c r="T561" s="13"/>
      <c r="U561" s="37" t="str">
        <f aca="false">AA564</f>
        <v> Produção de alimentos (0 - 11 Gt por ano), Sua previsão</v>
      </c>
      <c r="W561" s="4" t="n">
        <v>11000</v>
      </c>
      <c r="AA561" s="29" t="str">
        <f aca="false">CONCATENATE("Unused bio-capacity (0 - ",W558," %), Your forecast")</f>
        <v> Biocapacidade não utilizada (0 - 50%), Sua previsão</v>
      </c>
      <c r="AB561" s="29"/>
      <c r="AC561" s="29"/>
      <c r="AD561" s="29"/>
      <c r="AE561" s="29"/>
      <c r="AF561" s="29"/>
      <c r="AG561" s="29"/>
      <c r="AH561" s="29"/>
      <c r="AI561" s="29"/>
      <c r="AJ561" s="29"/>
      <c r="AK561" s="57" t="n">
        <f aca="false">(100*K492/K487)/$W558</f>
        <v>0.573974894979258</v>
      </c>
      <c r="AL561" s="57" t="n">
        <f aca="false">(100*L492/L487)/$W558</f>
        <v>0.521905568346341</v>
      </c>
      <c r="AM561" s="57" t="n">
        <f aca="false">(100*M492/M487)/$W558</f>
        <v>0.507900183711523</v>
      </c>
      <c r="AN561" s="57" t="n">
        <f aca="false">(100*N492/N487)/$W558</f>
        <v>0.501765434132834</v>
      </c>
      <c r="AO561" s="57" t="n">
        <f aca="false">(100*O492/O487)/$W558</f>
        <v>0.490549763553941</v>
      </c>
      <c r="AP561" s="57" t="n">
        <f aca="false">(100*P492/P487)/$W558</f>
        <v>0.47477360875879</v>
      </c>
      <c r="AQ561" s="57" t="n">
        <f aca="false">(100*Q492/Q487)/$W558</f>
        <v>0.453781417817429</v>
      </c>
      <c r="AR561" s="57" t="n">
        <f aca="false">(100*R492/R487)/$W558</f>
        <v>0.396885052423056</v>
      </c>
    </row>
    <row r="562" s="3" customFormat="true" ht="11.25" hidden="false" customHeight="false" outlineLevel="0" collapsed="false">
      <c r="T562" s="13"/>
      <c r="U562" s="37" t="str">
        <f aca="false">AA565</f>
        <v> Fração renovável (0 - 40%), Sua previsão</v>
      </c>
      <c r="W562" s="4" t="n">
        <v>40</v>
      </c>
      <c r="AA562" s="29" t="str">
        <f aca="false">CONCATENATE("Investment share of GDP (0 - ",W559," %), Your forecast")</f>
        <v> Participação do investimento no PIB (0 - 40%), Sua previsão</v>
      </c>
      <c r="AB562" s="29"/>
      <c r="AC562" s="29"/>
      <c r="AD562" s="29"/>
      <c r="AE562" s="29"/>
      <c r="AF562" s="29"/>
      <c r="AG562" s="29"/>
      <c r="AH562" s="29"/>
      <c r="AI562" s="29"/>
      <c r="AJ562" s="29"/>
      <c r="AK562" s="57" t="n">
        <f aca="false">K143/$W559</f>
        <v>0.618828785144136</v>
      </c>
      <c r="AL562" s="57" t="n">
        <f aca="false">L143/$W559</f>
        <v>0.66894123256688</v>
      </c>
      <c r="AM562" s="57" t="n">
        <f aca="false">M143/$W559</f>
        <v>0.703885865851528</v>
      </c>
      <c r="AN562" s="57" t="n">
        <f aca="false">N143/$W559</f>
        <v>0.734396030601227</v>
      </c>
      <c r="AO562" s="57" t="n">
        <f aca="false">O143/$W559</f>
        <v>0.761763242035431</v>
      </c>
      <c r="AP562" s="57" t="n">
        <f aca="false">P143/$W559</f>
        <v>0.788510955193726</v>
      </c>
      <c r="AQ562" s="57" t="n">
        <f aca="false">Q143/$W559</f>
        <v>0.829684900484452</v>
      </c>
      <c r="AR562" s="57" t="n">
        <f aca="false">R143/$W559</f>
        <v>0.877289222031365</v>
      </c>
    </row>
    <row r="563" s="3" customFormat="true" ht="11.25" hidden="false" customHeight="false" outlineLevel="0" collapsed="false">
      <c r="T563" s="13"/>
      <c r="AA563" s="29" t="str">
        <f aca="false">CONCATENATE("Energy use (0 - ",W560/1000," Mtoe per yr), Your forecast")</f>
        <v> Consumo de energia (0 - 22 Mtoe por ano), Sua previsão</v>
      </c>
      <c r="AB563" s="29"/>
      <c r="AC563" s="29"/>
      <c r="AD563" s="29"/>
      <c r="AE563" s="29"/>
      <c r="AF563" s="29"/>
      <c r="AG563" s="29"/>
      <c r="AH563" s="29"/>
      <c r="AI563" s="29"/>
      <c r="AJ563" s="29"/>
      <c r="AK563" s="57" t="n">
        <f aca="false">K255/$W560</f>
        <v>0.60048513828055</v>
      </c>
      <c r="AL563" s="57" t="n">
        <f aca="false">L255/$W560</f>
        <v>0.655285566832033</v>
      </c>
      <c r="AM563" s="57" t="n">
        <f aca="false">M255/$W560</f>
        <v>0.714115772098838</v>
      </c>
      <c r="AN563" s="57" t="n">
        <f aca="false">N255/$W560</f>
        <v>0.755235657121531</v>
      </c>
      <c r="AO563" s="57" t="n">
        <f aca="false">O255/$W560</f>
        <v>0.779368880491425</v>
      </c>
      <c r="AP563" s="57" t="n">
        <f aca="false">P255/$W560</f>
        <v>0.783733026012591</v>
      </c>
      <c r="AQ563" s="57" t="n">
        <f aca="false">Q255/$W560</f>
        <v>0.77557816529943</v>
      </c>
      <c r="AR563" s="57" t="n">
        <f aca="false">R255/$W560</f>
        <v>0.7483046362216</v>
      </c>
    </row>
    <row r="564" s="3" customFormat="true" ht="11.25" hidden="false" customHeight="false" outlineLevel="0" collapsed="false">
      <c r="T564" s="13"/>
      <c r="AA564" s="29" t="str">
        <f aca="false">CONCATENATE("Food production (0 - ",W561/1000," Gt per year), Your forecast")</f>
        <v> Produção de alimentos (0 - 11 Gt por ano), Sua previsão</v>
      </c>
      <c r="AB564" s="29"/>
      <c r="AC564" s="29"/>
      <c r="AD564" s="29"/>
      <c r="AE564" s="29"/>
      <c r="AF564" s="29"/>
      <c r="AG564" s="29"/>
      <c r="AH564" s="29"/>
      <c r="AI564" s="29"/>
      <c r="AJ564" s="29"/>
      <c r="AK564" s="57" t="n">
        <f aca="false">K441/$W561</f>
        <v>0.654545454545455</v>
      </c>
      <c r="AL564" s="57" t="n">
        <f aca="false">L441/$W561</f>
        <v>0.690178363636364</v>
      </c>
      <c r="AM564" s="57" t="n">
        <f aca="false">M441/$W561</f>
        <v>0.754350545454545</v>
      </c>
      <c r="AN564" s="57" t="n">
        <f aca="false">N441/$W561</f>
        <v>0.821142</v>
      </c>
      <c r="AO564" s="57" t="n">
        <f aca="false">O441/$W561</f>
        <v>0.875710181818182</v>
      </c>
      <c r="AP564" s="57" t="n">
        <f aca="false">P441/$W561</f>
        <v>0.905395272727273</v>
      </c>
      <c r="AQ564" s="57" t="n">
        <f aca="false">Q441/$W561</f>
        <v>0.893172</v>
      </c>
      <c r="AR564" s="57" t="n">
        <f aca="false">R441/$W561</f>
        <v>0.880075636363636</v>
      </c>
    </row>
    <row r="565" s="3" customFormat="true" ht="11.25" hidden="false" customHeight="false" outlineLevel="0" collapsed="false">
      <c r="T565" s="13"/>
      <c r="AA565" s="29" t="str">
        <f aca="false">CONCATENATE("Fraction renewable (0 - ",W562," %), Your forecast")</f>
        <v> Fração renovável (0 - 40%), Sua previsão</v>
      </c>
      <c r="AB565" s="29"/>
      <c r="AC565" s="29"/>
      <c r="AD565" s="29"/>
      <c r="AE565" s="29"/>
      <c r="AF565" s="29"/>
      <c r="AG565" s="29"/>
      <c r="AH565" s="29"/>
      <c r="AI565" s="29"/>
      <c r="AJ565" s="29"/>
      <c r="AK565" s="120" t="n">
        <f aca="false">K260/$W562</f>
        <v>0.249362179240748</v>
      </c>
      <c r="AL565" s="120" t="n">
        <f aca="false">L260/$W562</f>
        <v>0.293362606984357</v>
      </c>
      <c r="AM565" s="120" t="n">
        <f aca="false">M260/$W562</f>
        <v>0.365277137441426</v>
      </c>
      <c r="AN565" s="120" t="n">
        <f aca="false">N260/$W562</f>
        <v>0.440169882254232</v>
      </c>
      <c r="AO565" s="120" t="n">
        <f aca="false">O260/$W562</f>
        <v>0.534658162046542</v>
      </c>
      <c r="AP565" s="120" t="n">
        <f aca="false">P260/$W562</f>
        <v>0.632395248064888</v>
      </c>
      <c r="AQ565" s="120" t="n">
        <f aca="false">Q260/$W562</f>
        <v>0.758249729314151</v>
      </c>
      <c r="AR565" s="120" t="n">
        <f aca="false">R260/$W562</f>
        <v>0.908000854585323</v>
      </c>
    </row>
    <row r="566" customFormat="false" ht="11.25" hidden="false" customHeight="false" outlineLevel="0" collapsed="false">
      <c r="T566" s="13"/>
    </row>
    <row r="567" customFormat="false" ht="11.25" hidden="false" customHeight="false" outlineLevel="0" collapsed="false">
      <c r="T567" s="13"/>
    </row>
    <row r="568" customFormat="false" ht="11.25" hidden="false" customHeight="false" outlineLevel="0" collapsed="false">
      <c r="T568" s="13"/>
    </row>
    <row r="569" customFormat="false" ht="11.25" hidden="false" customHeight="false" outlineLevel="0" collapsed="false">
      <c r="T569" s="13"/>
    </row>
    <row r="570" customFormat="false" ht="11.25" hidden="false" customHeight="false" outlineLevel="0" collapsed="false">
      <c r="T570" s="13"/>
    </row>
    <row r="571" customFormat="false" ht="11.25" hidden="false" customHeight="false" outlineLevel="0" collapsed="false">
      <c r="T571" s="13"/>
    </row>
    <row r="572" customFormat="false" ht="11.25" hidden="false" customHeight="false" outlineLevel="0" collapsed="false">
      <c r="T572" s="13"/>
    </row>
    <row r="573" customFormat="false" ht="11.25" hidden="false" customHeight="false" outlineLevel="0" collapsed="false">
      <c r="T573" s="13"/>
    </row>
    <row r="574" customFormat="false" ht="11.25" hidden="false" customHeight="false" outlineLevel="0" collapsed="false">
      <c r="T574" s="13"/>
    </row>
    <row r="575" customFormat="false" ht="11.25" hidden="false" customHeight="false" outlineLevel="0" collapsed="false">
      <c r="T575" s="13"/>
    </row>
    <row r="576" customFormat="false" ht="11.25" hidden="false" customHeight="false" outlineLevel="0" collapsed="false">
      <c r="T576" s="13"/>
    </row>
    <row r="577" customFormat="false" ht="11.25" hidden="false" customHeight="false" outlineLevel="0" collapsed="false">
      <c r="T577" s="13"/>
    </row>
    <row r="578" customFormat="false" ht="11.25" hidden="false" customHeight="false" outlineLevel="0" collapsed="false">
      <c r="T578" s="13"/>
    </row>
    <row r="579" customFormat="false" ht="11.25" hidden="false" customHeight="false" outlineLevel="0" collapsed="false">
      <c r="T579" s="13"/>
    </row>
    <row r="580" customFormat="false" ht="12.65" hidden="false" customHeight="false" outlineLevel="0" collapsed="false">
      <c r="A580" s="61" t="s">
        <v>157</v>
      </c>
      <c r="T580" s="13"/>
      <c r="V580" s="3" t="s">
        <v>35</v>
      </c>
    </row>
    <row r="581" customFormat="false" ht="28.3" hidden="false" customHeight="false" outlineLevel="0" collapsed="false">
      <c r="A581" s="23" t="str">
        <f aca="false">CONCATENATE(A580,". Standard of Living - ",A5," 1970 to 2050")</f>
        <v> Gráfico 15. Padrão de Vida - SumWorld 1970 a 2050</v>
      </c>
      <c r="T581" s="13"/>
      <c r="U581" s="53" t="s">
        <v>37</v>
      </c>
      <c r="V581" s="54" t="s">
        <v>38</v>
      </c>
      <c r="W581" s="54" t="s">
        <v>39</v>
      </c>
      <c r="X581" s="55"/>
      <c r="Y581" s="55"/>
      <c r="AA581" s="52" t="s">
        <v>36</v>
      </c>
    </row>
    <row r="582" customFormat="false" ht="11.25" hidden="false" customHeight="false" outlineLevel="0" collapsed="false">
      <c r="S582" s="154"/>
      <c r="T582" s="13"/>
      <c r="U582" s="15" t="str">
        <f aca="false">AA583</f>
        <v> PIB per capita (0 - 20.000 dólares por pessoa-ano)</v>
      </c>
      <c r="V582" s="25" t="n">
        <v>20</v>
      </c>
      <c r="W582" s="56" t="n">
        <f aca="false">W587</f>
        <v>20</v>
      </c>
      <c r="AB582" s="24" t="n">
        <v>1970</v>
      </c>
      <c r="AC582" s="24" t="n">
        <v>1975</v>
      </c>
      <c r="AD582" s="24" t="n">
        <v>1980</v>
      </c>
      <c r="AE582" s="24" t="n">
        <v>1985</v>
      </c>
      <c r="AF582" s="24" t="n">
        <v>1990</v>
      </c>
      <c r="AG582" s="24" t="n">
        <v>1995</v>
      </c>
      <c r="AH582" s="24" t="n">
        <v>2000</v>
      </c>
      <c r="AI582" s="24" t="n">
        <v>2005</v>
      </c>
      <c r="AJ582" s="24" t="n">
        <v>2010</v>
      </c>
      <c r="AK582" s="24" t="n">
        <v>2015</v>
      </c>
      <c r="AL582" s="24" t="n">
        <v>2020</v>
      </c>
      <c r="AM582" s="24" t="n">
        <v>2025</v>
      </c>
      <c r="AN582" s="24" t="n">
        <v>2030</v>
      </c>
      <c r="AO582" s="24" t="n">
        <v>2035</v>
      </c>
      <c r="AP582" s="24" t="n">
        <v>2040</v>
      </c>
      <c r="AQ582" s="24" t="n">
        <v>2045</v>
      </c>
      <c r="AR582" s="24" t="n">
        <v>2050</v>
      </c>
    </row>
    <row r="583" customFormat="false" ht="11.25" hidden="false" customHeight="false" outlineLevel="0" collapsed="false">
      <c r="S583" s="154"/>
      <c r="T583" s="13"/>
      <c r="U583" s="15" t="str">
        <f aca="false">AA584</f>
        <v> Consumo por pessoa (0 - 20.000 dólares por pessoa-ano)</v>
      </c>
      <c r="V583" s="25" t="n">
        <v>20</v>
      </c>
      <c r="W583" s="56" t="n">
        <f aca="false">W588</f>
        <v>20</v>
      </c>
      <c r="AA583" s="29" t="str">
        <f aca="false">CONCATENATE("GDP per person (0 - ",W582," 000 $ per person-yr)")</f>
        <v> PIB per capita (0 - 20.000 dólares por pessoa-ano)</v>
      </c>
      <c r="AB583" s="120" t="n">
        <f aca="false">B96/B9*1000/$W$582</f>
        <v>0.224873662243777</v>
      </c>
      <c r="AC583" s="120" t="n">
        <f aca="false">C96/C9*1000/$W$582</f>
        <v>0.248221557110144</v>
      </c>
      <c r="AD583" s="120" t="n">
        <f aca="false">D96/D9*1000/$W$582</f>
        <v>0.274578329762653</v>
      </c>
      <c r="AE583" s="120" t="n">
        <f aca="false">E96/E9*1000/$W$582</f>
        <v>0.288156902965071</v>
      </c>
      <c r="AF583" s="120" t="n">
        <f aca="false">F96/F9*1000/$W$582</f>
        <v>0.341365572672181</v>
      </c>
      <c r="AG583" s="120" t="n">
        <f aca="false">G96/G9*1000/$W$582</f>
        <v>0.362420175934756</v>
      </c>
      <c r="AH583" s="120" t="n">
        <f aca="false">H96/H9*1000/$W$582</f>
        <v>0.399525069035182</v>
      </c>
      <c r="AI583" s="120" t="n">
        <f aca="false">I96/I9*1000/$W$582</f>
        <v>0.456084720754498</v>
      </c>
      <c r="AJ583" s="120" t="n">
        <f aca="false">J96/J9*1000/$W$582</f>
        <v>0.48437675501821</v>
      </c>
      <c r="AK583" s="120" t="n">
        <f aca="false">K96/K9*1000/$W$582</f>
        <v>0.534469508385476</v>
      </c>
      <c r="AL583" s="120" t="n">
        <f aca="false">L96/L9*1000/$W$582</f>
        <v>0.594163363672067</v>
      </c>
      <c r="AM583" s="120" t="n">
        <f aca="false">M96/M9*1000/$W$582</f>
        <v>0.664600469055647</v>
      </c>
      <c r="AN583" s="120" t="n">
        <f aca="false">N96/N9*1000/$W$582</f>
        <v>0.732584206838964</v>
      </c>
      <c r="AO583" s="120" t="n">
        <f aca="false">O96/O9*1000/$W$582</f>
        <v>0.789313348074131</v>
      </c>
      <c r="AP583" s="120" t="n">
        <f aca="false">P96/P9*1000/$W$582</f>
        <v>0.837508012151168</v>
      </c>
      <c r="AQ583" s="120" t="n">
        <f aca="false">Q96/Q9*1000/$W$582</f>
        <v>0.88262396388933</v>
      </c>
      <c r="AR583" s="120" t="n">
        <f aca="false">R96/R9*1000/$W$582</f>
        <v>0.912490589536867</v>
      </c>
    </row>
    <row r="584" customFormat="false" ht="11.25" hidden="false" customHeight="false" outlineLevel="0" collapsed="false">
      <c r="S584" s="154"/>
      <c r="T584" s="13"/>
      <c r="U584" s="15" t="str">
        <f aca="false">AA585</f>
        <v> Alimentos por pessoa (0 - 1,5 t por pessoa-ano)</v>
      </c>
      <c r="V584" s="25" t="n">
        <v>1.5</v>
      </c>
      <c r="W584" s="56" t="n">
        <f aca="false">W589</f>
        <v>1.5</v>
      </c>
      <c r="AA584" s="29" t="str">
        <f aca="false">CONCATENATE("Consumption per person (0 - ",W583," 000 $ per person-yr)")</f>
        <v>Consumo por pessoa (0 - 20.000 dólares por pessoa-ano)</v>
      </c>
      <c r="AB584" s="120" t="n">
        <f aca="false">B136/B9*1000/$W$583</f>
        <v>0.173451996599095</v>
      </c>
      <c r="AC584" s="120" t="n">
        <f aca="false">C136/C9*1000/$W$583</f>
        <v>0.193335707992937</v>
      </c>
      <c r="AD584" s="120" t="n">
        <f aca="false">D136/D9*1000/$W$583</f>
        <v>0.211555321192904</v>
      </c>
      <c r="AE584" s="120" t="n">
        <f aca="false">E136/E9*1000/$W$583</f>
        <v>0.225023177786362</v>
      </c>
      <c r="AF584" s="120" t="n">
        <f aca="false">F136/F9*1000/$W$583</f>
        <v>0.25876145348412</v>
      </c>
      <c r="AG584" s="120" t="n">
        <f aca="false">G136/G9*1000/$W$583</f>
        <v>0.276158301199885</v>
      </c>
      <c r="AH584" s="120" t="n">
        <f aca="false">H136/H9*1000/$W$583</f>
        <v>0.302500490634264</v>
      </c>
      <c r="AI584" s="120" t="n">
        <f aca="false">I136/I9*1000/$W$583</f>
        <v>0.342888469802618</v>
      </c>
      <c r="AJ584" s="120" t="n">
        <f aca="false">J136/J9*1000/$W$583</f>
        <v>0.369379897108689</v>
      </c>
      <c r="AK584" s="120" t="n">
        <f aca="false">K136/K9*1000/$W$583</f>
        <v>0.40217179279349</v>
      </c>
      <c r="AL584" s="120" t="n">
        <f aca="false">L136/L9*1000/$W$583</f>
        <v>0.434787669076002</v>
      </c>
      <c r="AM584" s="120" t="n">
        <f aca="false">M136/M9*1000/$W$583</f>
        <v>0.476767002295945</v>
      </c>
      <c r="AN584" s="120" t="n">
        <f aca="false">N136/N9*1000/$W$583</f>
        <v>0.51636453694834</v>
      </c>
      <c r="AO584" s="120" t="n">
        <f aca="false">O136/O9*1000/$W$583</f>
        <v>0.547510014568243</v>
      </c>
      <c r="AP584" s="120" t="n">
        <f aca="false">P136/P9*1000/$W$583</f>
        <v>0.571794288017073</v>
      </c>
      <c r="AQ584" s="120" t="n">
        <f aca="false">Q136/Q9*1000/$W$583</f>
        <v>0.587767881543225</v>
      </c>
      <c r="AR584" s="120" t="n">
        <f aca="false">R136/R9*1000/$W$583</f>
        <v>0.589934814047776</v>
      </c>
    </row>
    <row r="585" customFormat="false" ht="11.25" hidden="false" customHeight="false" outlineLevel="0" collapsed="false">
      <c r="S585" s="154"/>
      <c r="T585" s="13"/>
      <c r="U585" s="15" t="str">
        <f aca="false">AA586</f>
        <v> Consumo de energia por pessoa (0 - 3 toe por pessoa-ano)</v>
      </c>
      <c r="V585" s="25" t="n">
        <v>3</v>
      </c>
      <c r="W585" s="56" t="n">
        <f aca="false">W590</f>
        <v>3</v>
      </c>
      <c r="AA585" s="29" t="str">
        <f aca="false">CONCATENATE("Food per person (0 - ",W584," t per person-yr)")</f>
        <v> Alimentos por pessoa (0 - 1,5 t por pessoa-ano)</v>
      </c>
      <c r="AB585" s="120" t="n">
        <f aca="false">B433/B9/$W$584</f>
        <v>0.544826542265391</v>
      </c>
      <c r="AC585" s="120" t="n">
        <f aca="false">C433/C9/$W$584</f>
        <v>0.548222246826114</v>
      </c>
      <c r="AD585" s="120" t="n">
        <f aca="false">D433/D9/$W$584</f>
        <v>0.553437834282179</v>
      </c>
      <c r="AE585" s="120" t="n">
        <f aca="false">E433/E9/$W$584</f>
        <v>0.590643494779288</v>
      </c>
      <c r="AF585" s="120" t="n">
        <f aca="false">F433/F9/$W$584</f>
        <v>0.575394732622411</v>
      </c>
      <c r="AG585" s="120" t="n">
        <f aca="false">G433/G9/$W$584</f>
        <v>0.554614220252279</v>
      </c>
      <c r="AH585" s="120" t="n">
        <f aca="false">H433/H9/$W$584</f>
        <v>0.586485651805717</v>
      </c>
      <c r="AI585" s="120" t="n">
        <f aca="false">I433/I9/$W$584</f>
        <v>0.619387961495045</v>
      </c>
      <c r="AJ585" s="120" t="n">
        <f aca="false">J433/J9/$W$584</f>
        <v>0.63968334735169</v>
      </c>
      <c r="AK585" s="120" t="n">
        <f aca="false">K433/K9/$W$584</f>
        <v>0.663665086995049</v>
      </c>
      <c r="AL585" s="120" t="n">
        <f aca="false">L433/L9/$W$584</f>
        <v>0.701524139171201</v>
      </c>
      <c r="AM585" s="120" t="n">
        <f aca="false">M433/M9/$W$584</f>
        <v>0.744709082058166</v>
      </c>
      <c r="AN585" s="120" t="n">
        <f aca="false">N433/N9/$W$584</f>
        <v>0.793188504750999</v>
      </c>
      <c r="AO585" s="120" t="n">
        <f aca="false">O433/O9/$W$584</f>
        <v>0.83395054893271</v>
      </c>
      <c r="AP585" s="120" t="n">
        <f aca="false">P433/P9/$W$584</f>
        <v>0.856901421206641</v>
      </c>
      <c r="AQ585" s="120" t="n">
        <f aca="false">Q433/Q9/$W$584</f>
        <v>0.847232668971879</v>
      </c>
      <c r="AR585" s="120" t="n">
        <f aca="false">R433/R9/$W$584</f>
        <v>0.843623257625766</v>
      </c>
    </row>
    <row r="586" customFormat="false" ht="11.25" hidden="false" customHeight="false" outlineLevel="0" collapsed="false">
      <c r="T586" s="13"/>
      <c r="U586" s="15" t="str">
        <f aca="false">AA559</f>
        <v> Aumento do nível do mar (0 - 0,8 m)</v>
      </c>
      <c r="V586" s="25" t="n">
        <v>800</v>
      </c>
      <c r="W586" s="70" t="n">
        <v>800</v>
      </c>
      <c r="AA586" s="29" t="str">
        <f aca="false">CONCATENATE("Energy use per person (0 - ",W585," toe per person-yr)")</f>
        <v> Consumo de energia por pessoa (0 - 3 toe por pessoa-ano)</v>
      </c>
      <c r="AB586" s="120" t="n">
        <f aca="false">B240/B9/$W585</f>
        <v>0.441769599503151</v>
      </c>
      <c r="AC586" s="120" t="n">
        <f aca="false">C240/C9/$W585</f>
        <v>0.465735853597112</v>
      </c>
      <c r="AD586" s="120" t="n">
        <f aca="false">D240/D9/$W585</f>
        <v>0.488025342767262</v>
      </c>
      <c r="AE586" s="120" t="n">
        <f aca="false">E240/E9/$W585</f>
        <v>0.480250916942994</v>
      </c>
      <c r="AF586" s="120" t="n">
        <f aca="false">F240/F9/$W585</f>
        <v>0.499714051258996</v>
      </c>
      <c r="AG586" s="120" t="n">
        <f aca="false">G240/G9/$W585</f>
        <v>0.488995760934989</v>
      </c>
      <c r="AH586" s="120" t="n">
        <f aca="false">H240/H9/$W585</f>
        <v>0.499433076201275</v>
      </c>
      <c r="AI586" s="120" t="n">
        <f aca="false">I240/I9/$W585</f>
        <v>0.541621767865778</v>
      </c>
      <c r="AJ586" s="120" t="n">
        <f aca="false">J240/J9/$W585</f>
        <v>0.569498065626012</v>
      </c>
      <c r="AK586" s="120" t="n">
        <f aca="false">K240/K9/$W585</f>
        <v>0.608857963870783</v>
      </c>
      <c r="AL586" s="120" t="n">
        <f aca="false">L240/L9/$W585</f>
        <v>0.656447304398697</v>
      </c>
      <c r="AM586" s="120" t="n">
        <f aca="false">M240/M9/$W585</f>
        <v>0.698657220012463</v>
      </c>
      <c r="AN586" s="120" t="n">
        <f aca="false">N240/N9/$W585</f>
        <v>0.726809917937326</v>
      </c>
      <c r="AO586" s="120" t="n">
        <f aca="false">O240/O9/$W585</f>
        <v>0.742949249741021</v>
      </c>
      <c r="AP586" s="120" t="n">
        <f aca="false">P240/P9/$W585</f>
        <v>0.745357139112306</v>
      </c>
      <c r="AQ586" s="120" t="n">
        <f aca="false">Q240/Q9/$W585</f>
        <v>0.7413301649801</v>
      </c>
      <c r="AR586" s="120" t="n">
        <f aca="false">R240/R9/$W585</f>
        <v>0.724098137145892</v>
      </c>
    </row>
    <row r="587" customFormat="false" ht="11.25" hidden="false" customHeight="false" outlineLevel="0" collapsed="false">
      <c r="T587" s="13"/>
      <c r="U587" s="37" t="str">
        <f aca="false">AA588</f>
        <v> PIB per capita (0 - 20.000 dólares por pessoa por ano), sua previsão</v>
      </c>
      <c r="W587" s="4" t="n">
        <v>20</v>
      </c>
      <c r="AA587" s="29"/>
      <c r="AB587" s="24" t="n">
        <v>1970</v>
      </c>
      <c r="AC587" s="24" t="n">
        <v>1975</v>
      </c>
      <c r="AD587" s="24" t="n">
        <v>1980</v>
      </c>
      <c r="AE587" s="24" t="n">
        <v>1985</v>
      </c>
      <c r="AF587" s="24" t="n">
        <v>1990</v>
      </c>
      <c r="AG587" s="24" t="n">
        <v>1995</v>
      </c>
      <c r="AH587" s="24" t="n">
        <v>2000</v>
      </c>
      <c r="AI587" s="24" t="n">
        <v>2005</v>
      </c>
      <c r="AJ587" s="24" t="n">
        <v>2010</v>
      </c>
      <c r="AK587" s="24" t="n">
        <v>2015</v>
      </c>
      <c r="AL587" s="24" t="n">
        <v>2020</v>
      </c>
      <c r="AM587" s="24" t="n">
        <v>2025</v>
      </c>
      <c r="AN587" s="24" t="n">
        <v>2030</v>
      </c>
      <c r="AO587" s="24" t="n">
        <v>2035</v>
      </c>
      <c r="AP587" s="24" t="n">
        <v>2040</v>
      </c>
      <c r="AQ587" s="24" t="n">
        <v>2045</v>
      </c>
      <c r="AR587" s="24" t="n">
        <v>2050</v>
      </c>
    </row>
    <row r="588" customFormat="false" ht="11.25" hidden="false" customHeight="false" outlineLevel="0" collapsed="false">
      <c r="T588" s="13"/>
      <c r="U588" s="37" t="str">
        <f aca="false">AA589</f>
        <v> Consumo por pessoa (0 - 20.000 dólares por pessoa-ano), Sua previsão</v>
      </c>
      <c r="W588" s="155" t="n">
        <f aca="false">W587</f>
        <v>20</v>
      </c>
      <c r="AA588" s="29" t="str">
        <f aca="false">CONCATENATE("GDP per person (0 - ",W587," 000$ per person-yr), Your forecast")</f>
        <v> PIB per capita (0 - 20.000 dólares por pessoa por ano), sua previsão</v>
      </c>
      <c r="AB588" s="29"/>
      <c r="AC588" s="29"/>
      <c r="AD588" s="29"/>
      <c r="AE588" s="29"/>
      <c r="AF588" s="29"/>
      <c r="AG588" s="29"/>
      <c r="AH588" s="29"/>
      <c r="AI588" s="29"/>
      <c r="AJ588" s="29"/>
      <c r="AK588" s="120" t="n">
        <f aca="false">K104/K17*1000/$W587</f>
        <v>0.534463351308574</v>
      </c>
      <c r="AL588" s="120" t="n">
        <f aca="false">L104/L17*1000/$W587</f>
        <v>0.579382944744807</v>
      </c>
      <c r="AM588" s="120" t="n">
        <f aca="false">M104/M17*1000/$W587</f>
        <v>0.644472014128067</v>
      </c>
      <c r="AN588" s="120" t="n">
        <f aca="false">N104/N17*1000/$W587</f>
        <v>0.706286593269542</v>
      </c>
      <c r="AO588" s="120" t="n">
        <f aca="false">O104/O17*1000/$W587</f>
        <v>0.756983945045031</v>
      </c>
      <c r="AP588" s="120" t="n">
        <f aca="false">P104/P17*1000/$W587</f>
        <v>0.799453412473371</v>
      </c>
      <c r="AQ588" s="120" t="n">
        <f aca="false">Q104/Q17*1000/$W587</f>
        <v>0.839203545169131</v>
      </c>
      <c r="AR588" s="120" t="n">
        <f aca="false">R104/R17*1000/$W587</f>
        <v>0.865019708726474</v>
      </c>
    </row>
    <row r="589" customFormat="false" ht="11.25" hidden="false" customHeight="false" outlineLevel="0" collapsed="false">
      <c r="T589" s="13"/>
      <c r="U589" s="37" t="str">
        <f aca="false">AA590</f>
        <v> Alimentos por pessoa (0 - 1,5 t por pessoa-ano), Sua previsão</v>
      </c>
      <c r="W589" s="4" t="n">
        <v>1.5</v>
      </c>
      <c r="AA589" s="29" t="str">
        <f aca="false">CONCATENATE("Consumption per person (0 - ",W588," 000$ per person-yr), Your forecast")</f>
        <v> Consumo por pessoa (0 - 20.000 dólares por pessoa-ano), Sua previsão</v>
      </c>
      <c r="AB589" s="29"/>
      <c r="AC589" s="29"/>
      <c r="AD589" s="29"/>
      <c r="AE589" s="29"/>
      <c r="AF589" s="29"/>
      <c r="AG589" s="29"/>
      <c r="AH589" s="29"/>
      <c r="AI589" s="29"/>
      <c r="AJ589" s="29"/>
      <c r="AK589" s="120" t="n">
        <f aca="false">K142/K17*1000/$W588</f>
        <v>0.402166828750835</v>
      </c>
      <c r="AL589" s="120" t="n">
        <f aca="false">L142/L17*1000/$W588</f>
        <v>0.424353688270479</v>
      </c>
      <c r="AM589" s="120" t="n">
        <f aca="false">M142/M17*1000/$W588</f>
        <v>0.463018117455422</v>
      </c>
      <c r="AN589" s="120" t="n">
        <f aca="false">N142/N17*1000/$W588</f>
        <v>0.498808965043936</v>
      </c>
      <c r="AO589" s="120" t="n">
        <f aca="false">O142/O17*1000/$W588</f>
        <v>0.526326927386522</v>
      </c>
      <c r="AP589" s="120" t="n">
        <f aca="false">P142/P17*1000/$W588</f>
        <v>0.547302302912466</v>
      </c>
      <c r="AQ589" s="120" t="n">
        <f aca="false">Q142/Q17*1000/$W588</f>
        <v>0.560693741225191</v>
      </c>
      <c r="AR589" s="120" t="n">
        <f aca="false">R142/R17*1000/$W588</f>
        <v>0.561470721802296</v>
      </c>
    </row>
    <row r="590" customFormat="false" ht="11.25" hidden="false" customHeight="false" outlineLevel="0" collapsed="false">
      <c r="T590" s="13"/>
      <c r="U590" s="37" t="str">
        <f aca="false">AA591</f>
        <v> Consumo de energia por pessoa (0 a 3 toneladas equivalentes de petróleo por pessoa-ano), sua previsão</v>
      </c>
      <c r="W590" s="4" t="n">
        <v>3</v>
      </c>
      <c r="AA590" s="29" t="str">
        <f aca="false">CONCATENATE("Food per person (0 - ",W589," t per person-yr), Your forecast")</f>
        <v> Alimentos por pessoa (0 - 1,5 t por pessoa-ano), Sua previsão</v>
      </c>
      <c r="AB590" s="29"/>
      <c r="AC590" s="29"/>
      <c r="AD590" s="29"/>
      <c r="AE590" s="29"/>
      <c r="AF590" s="29"/>
      <c r="AG590" s="29"/>
      <c r="AH590" s="29"/>
      <c r="AI590" s="29"/>
      <c r="AJ590" s="29"/>
      <c r="AK590" s="120" t="n">
        <f aca="false">K441/K17/$W589</f>
        <v>0.663664177606721</v>
      </c>
      <c r="AL590" s="120" t="n">
        <f aca="false">L441/L17/$W589</f>
        <v>0.674244865934579</v>
      </c>
      <c r="AM590" s="120" t="n">
        <f aca="false">M441/M17/$W589</f>
        <v>0.716173391352393</v>
      </c>
      <c r="AN590" s="120" t="n">
        <f aca="false">N441/N17/$W589</f>
        <v>0.763145921744579</v>
      </c>
      <c r="AO590" s="120" t="n">
        <f aca="false">O441/O17/$W589</f>
        <v>0.80262280313938</v>
      </c>
      <c r="AP590" s="120" t="n">
        <f aca="false">P441/P17/$W589</f>
        <v>0.82485353129816</v>
      </c>
      <c r="AQ590" s="120" t="n">
        <f aca="false">Q441/Q17/$W589</f>
        <v>0.815555403237061</v>
      </c>
      <c r="AR590" s="120" t="n">
        <f aca="false">R441/R17/$W589</f>
        <v>0.811959319887021</v>
      </c>
    </row>
    <row r="591" s="3" customFormat="true" ht="11.25" hidden="false" customHeight="false" outlineLevel="0" collapsed="false">
      <c r="T591" s="13"/>
      <c r="AA591" s="29" t="str">
        <f aca="false">CONCATENATE("Energy use per person (0 - ",W590," toe per person-yr), Your forecast")</f>
        <v> Consumo de energia por pessoa (0 a 3 toneladas equivalentes de petróleo por pessoa-ano), sua previsão</v>
      </c>
      <c r="AB591" s="29"/>
      <c r="AC591" s="29"/>
      <c r="AD591" s="29"/>
      <c r="AE591" s="29"/>
      <c r="AF591" s="29"/>
      <c r="AG591" s="29"/>
      <c r="AH591" s="29"/>
      <c r="AI591" s="29"/>
      <c r="AJ591" s="29"/>
      <c r="AK591" s="120" t="n">
        <f aca="false">K255/K17/$W590</f>
        <v>0.608850726400307</v>
      </c>
      <c r="AL591" s="120" t="n">
        <f aca="false">L255/L17/$W590</f>
        <v>0.640157606259465</v>
      </c>
      <c r="AM591" s="120" t="n">
        <f aca="false">M255/M17/$W590</f>
        <v>0.677974871767457</v>
      </c>
      <c r="AN591" s="120" t="n">
        <f aca="false">N255/N17/$W590</f>
        <v>0.701894449058</v>
      </c>
      <c r="AO591" s="120" t="n">
        <f aca="false">O255/O17/$W590</f>
        <v>0.714322213589958</v>
      </c>
      <c r="AP591" s="120" t="n">
        <f aca="false">P255/P17/$W590</f>
        <v>0.714014059466168</v>
      </c>
      <c r="AQ591" s="120" t="n">
        <f aca="false">Q255/Q17/$W590</f>
        <v>0.708180466184158</v>
      </c>
      <c r="AR591" s="120" t="n">
        <f aca="false">R255/R17/$W590</f>
        <v>0.69038716490925</v>
      </c>
    </row>
    <row r="592" customFormat="false" ht="11.25" hidden="false" customHeight="false" outlineLevel="0" collapsed="false">
      <c r="T592" s="13"/>
    </row>
    <row r="593" customFormat="false" ht="11.25" hidden="false" customHeight="false" outlineLevel="0" collapsed="false">
      <c r="T593" s="13"/>
    </row>
    <row r="594" customFormat="false" ht="11.25" hidden="false" customHeight="false" outlineLevel="0" collapsed="false">
      <c r="T594" s="13"/>
    </row>
    <row r="595" customFormat="false" ht="11.25" hidden="false" customHeight="false" outlineLevel="0" collapsed="false">
      <c r="T595" s="13"/>
    </row>
    <row r="596" customFormat="false" ht="11.25" hidden="false" customHeight="false" outlineLevel="0" collapsed="false">
      <c r="T596" s="13"/>
    </row>
    <row r="597" customFormat="false" ht="11.25" hidden="false" customHeight="false" outlineLevel="0" collapsed="false">
      <c r="T597" s="13"/>
    </row>
    <row r="598" customFormat="false" ht="11.25" hidden="false" customHeight="false" outlineLevel="0" collapsed="false">
      <c r="T598" s="13"/>
    </row>
    <row r="599" customFormat="false" ht="11.25" hidden="false" customHeight="false" outlineLevel="0" collapsed="false">
      <c r="T599" s="13"/>
    </row>
    <row r="600" customFormat="false" ht="11.25" hidden="false" customHeight="false" outlineLevel="0" collapsed="false">
      <c r="T600" s="13"/>
    </row>
    <row r="601" customFormat="false" ht="11.25" hidden="false" customHeight="false" outlineLevel="0" collapsed="false">
      <c r="T601" s="13"/>
    </row>
    <row r="602" customFormat="false" ht="11.25" hidden="false" customHeight="false" outlineLevel="0" collapsed="false">
      <c r="T602" s="13"/>
    </row>
    <row r="603" customFormat="false" ht="11.25" hidden="false" customHeight="false" outlineLevel="0" collapsed="false">
      <c r="T603" s="13"/>
    </row>
    <row r="604" customFormat="false" ht="11.25" hidden="false" customHeight="false" outlineLevel="0" collapsed="false">
      <c r="T604" s="13"/>
    </row>
    <row r="605" customFormat="false" ht="11.25" hidden="false" customHeight="false" outlineLevel="0" collapsed="false">
      <c r="T605" s="13"/>
    </row>
    <row r="606" customFormat="false" ht="11.25" hidden="false" customHeight="false" outlineLevel="0" collapsed="false">
      <c r="T606" s="13"/>
    </row>
    <row r="607" customFormat="false" ht="11.25" hidden="false" customHeight="false" outlineLevel="0" collapsed="false">
      <c r="T607" s="13"/>
    </row>
    <row r="608" customFormat="false" ht="11.25" hidden="false" customHeight="false" outlineLevel="0" collapsed="false">
      <c r="T608" s="13"/>
    </row>
  </sheetData>
  <sheetProtection sheet="true" password="dbc0" objects="true" scenarios="true"/>
  <mergeCells count="2">
    <mergeCell ref="D6:E6"/>
    <mergeCell ref="V260:Y261"/>
  </mergeCells>
  <conditionalFormatting sqref="K262:R262">
    <cfRule type="cellIs" priority="2" operator="lessThan" aboveAverage="0" equalAverage="0" bottom="0" percent="0" rank="0" text="" dxfId="10">
      <formula>0</formula>
    </cfRule>
  </conditionalFormatting>
  <conditionalFormatting sqref="K247:R247">
    <cfRule type="cellIs" priority="3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DocSecurity>1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2011-09-29T13:31:18Z</dcterms:created>
  <dc:creator>ug</dc:creator>
  <dc:description/>
  <dc:language>pt-BR</dc:language>
  <cp:lastModifiedBy>ug</cp:lastModifiedBy>
  <cp:lastPrinted>2011-10-09T06:52:09Z</cp:lastPrinted>
  <dcterms:modified xsi:type="dcterms:W3CDTF">2014-11-07T09:10:27Z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